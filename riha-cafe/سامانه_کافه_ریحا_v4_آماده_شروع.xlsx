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شبورد" sheetId="1" state="visible" r:id="rId1"/>
    <sheet xmlns:r="http://schemas.openxmlformats.org/officeDocument/2006/relationships" name="فروش" sheetId="2" state="visible" r:id="rId2"/>
    <sheet xmlns:r="http://schemas.openxmlformats.org/officeDocument/2006/relationships" name="فاکتور" sheetId="3" state="visible" r:id="rId3"/>
    <sheet xmlns:r="http://schemas.openxmlformats.org/officeDocument/2006/relationships" name="خرید و انبار" sheetId="4" state="visible" r:id="rId4"/>
    <sheet xmlns:r="http://schemas.openxmlformats.org/officeDocument/2006/relationships" name="منو و دستورپخت" sheetId="5" state="visible" r:id="rId5"/>
    <sheet xmlns:r="http://schemas.openxmlformats.org/officeDocument/2006/relationships" name="هزینه و صندوق" sheetId="6" state="visible" r:id="rId6"/>
    <sheet xmlns:r="http://schemas.openxmlformats.org/officeDocument/2006/relationships" name="حضور و حقوق" sheetId="7" state="visible" r:id="rId7"/>
    <sheet xmlns:r="http://schemas.openxmlformats.org/officeDocument/2006/relationships" name="پایه‌ها و تنظیمات" sheetId="8" state="visible" r:id="rId8"/>
    <sheet xmlns:r="http://schemas.openxmlformats.org/officeDocument/2006/relationships" name="فهرست‌ها" sheetId="9" state="visible" r:id="rId9"/>
    <sheet xmlns:r="http://schemas.openxmlformats.org/officeDocument/2006/relationships" name="پشتیبان" sheetId="10" state="hidden" r:id="rId10"/>
    <sheet xmlns:r="http://schemas.openxmlformats.org/officeDocument/2006/relationships" name="تقویم" sheetId="11" state="hidden" r:id="rId11"/>
  </sheets>
  <definedNames>
    <definedName name="CalKey">'تقویم'!$A$2:$A$19359</definedName>
    <definedName name="CalSerial">'تقویم'!$B$2:$B$19359</definedName>
    <definedName name="CalText">'تقویم'!$C$2:$C$19359</definedName>
    <definedName name="MonKey">'تقویم'!$E$2:$E$637</definedName>
    <definedName name="MonStart">'تقویم'!$F$2:$F$637</definedName>
    <definedName name="MonEnd">'تقویم'!$G$2:$G$637</definedName>
    <definedName name="MonName">'تقویم'!$H$2:$H$637</definedName>
    <definedName name="MenuCategories">tblListMenuCat[دسته منو]</definedName>
    <definedName name="IngredientGroup">tblListGroup[گروه مواد]</definedName>
    <definedName name="Units">tblListUnit[واحد]</definedName>
    <definedName name="Roles">tblListRole[سمت]</definedName>
    <definedName name="ExpenseCategory">tblListExpCat[دسته هزینه]</definedName>
    <definedName name="PaymentMethods">'پشتیبان'!$A$5:$A$9</definedName>
    <definedName name="SaleStatus">'پشتیبان'!$B$5:$B$7</definedName>
    <definedName name="ApprovalStatus">'پشتیبان'!$C$5:$C$7</definedName>
    <definedName name="ActiveList">'پشتیبان'!$D$5:$D$6</definedName>
    <definedName name="StockTypes">'پشتیبان'!$E$5:$E$7</definedName>
    <definedName name="Cfg_StockStartS">'پشتیبان'!$S$5</definedName>
    <definedName name="Cfg_StockStartRaw">'پشتیبان'!$R$5</definedName>
    <definedName name="MonthlyStart">'پشتیبان'!$U$5:$U$16</definedName>
    <definedName name="MonthlyEnd">'پشتیبان'!$V$5:$V$16</definedName>
    <definedName name="MonthlyName">'پشتیبان'!$W$5:$W$16</definedName>
    <definedName name="ProductCodes">tblMenu[کد محصول]</definedName>
    <definedName name="IngredientCodes">tblIngredients[کد ماده]</definedName>
    <definedName name="Cfg_CafeName">'پایه‌ها و تنظیمات'!$V$6</definedName>
    <definedName name="Cfg_Tax">'پایه‌ها و تنظیمات'!$V$8</definedName>
    <definedName name="Cfg_StdHours">'پایه‌ها و تنظیمات'!$V$9</definedName>
    <definedName name="Cfg_OT">'پایه‌ها و تنظیمات'!$V$10</definedName>
    <definedName name="Cfg_WorkDays">'پایه‌ها و تنظیمات'!$V$11</definedName>
    <definedName name="Cfg_CashOpen">'پایه‌ها و تنظیمات'!$V$12</definedName>
    <definedName name="Cfg_StockStart">'پایه‌ها و تنظیمات'!$V$13</definedName>
    <definedName name="Cfg_SalaryCat">'پایه‌ها و تنظیمات'!$V$14</definedName>
    <definedName name="Cfg_Phone">'پایه‌ها و تنظیمات'!$V$15</definedName>
    <definedName name="Cfg_Address">'پایه‌ها و تنظیمات'!$V$16</definedName>
    <definedName name="Cfg_Instagram">'پایه‌ها و تنظیمات'!$V$17</definedName>
    <definedName name="StaffCodes">tblStaff[کد پرسنل]</definedName>
    <definedName name="SupplierCodes">tblSuppliers[کد تأمین‌کننده]</definedName>
    <definedName name="LastInvoice">'پشتیبان'!$Z$5</definedName>
    <definedName name="InvoiceList">OFFSET('پشتیبان'!$Z$5,0,0,MAX(1,COUNT('پشتیبان'!$Y$5:$Y$304)),1)</definedName>
    <definedName name="InvSel">'فاکتور'!$I$6</definedName>
    <definedName name="DataIssues">'داشبورد'!$M$3</definedName>
    <definedName name="RptFrom">'داشبورد'!$O$3</definedName>
    <definedName name="RptTo">'داشبورد'!$P$3</definedName>
    <definedName name="RptDay">'داشبورد'!$Q$3</definedName>
    <definedName name="RptYear">'داشبورد'!$U$3</definedName>
    <definedName name="RptMonths">'داشبورد'!$J$3</definedName>
    <definedName name="RptMonthStart">'داشبورد'!$T$3</definedName>
    <definedName name="DashSales">'داشبورد'!$C$14</definedName>
    <definedName name="DashInvoices">'داشبورد'!$A$10</definedName>
    <definedName name="_xlnm.Print_Area" localSheetId="0">'داشبورد'!$A$1:$L$86</definedName>
    <definedName name="_xlnm.Print_Titles" localSheetId="1">'فروش'!$5:$5</definedName>
    <definedName name="_xlnm.Print_Area" localSheetId="2">'فاکتور'!$A$1:$F$30</definedName>
    <definedName name="_xlnm.Print_Titles" localSheetId="3">'خرید و انبار'!$5:$5</definedName>
    <definedName name="_xlnm.Print_Titles" localSheetId="4">'منو و دستورپخت'!$5:$5</definedName>
    <definedName name="_xlnm.Print_Titles" localSheetId="5">'هزینه و صندوق'!$5:$5</definedName>
    <definedName name="_xlnm.Print_Titles" localSheetId="6">'حضور و حقوق'!$5:$5</definedName>
    <definedName name="_xlnm.Print_Titles" localSheetId="7">'پایه‌ها و تنظیمات'!$5:$5</definedName>
    <definedName name="_xlnm.Print_Titles" localSheetId="8">'فهرست‌ها'!$5:$5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;[Red]-#,##0.0;&quot;–&quot;"/>
    <numFmt numFmtId="165" formatCode="hh:mm"/>
    <numFmt numFmtId="166" formatCode="0.0%"/>
    <numFmt numFmtId="167" formatCode="#,##0;[Red]-#,##0;&quot;–&quot;"/>
    <numFmt numFmtId="168" formatCode="#,##0.0"/>
    <numFmt numFmtId="169" formatCode="#,##0.000"/>
    <numFmt numFmtId="170" formatCode="0.0"/>
  </numFmts>
  <fonts count="22">
    <font>
      <name val="Calibri"/>
      <family val="2"/>
      <color theme="1"/>
      <sz val="11"/>
      <scheme val="minor"/>
    </font>
    <font>
      <name val="Arial"/>
      <b val="1"/>
      <color rgb="0017241F"/>
      <sz val="9"/>
    </font>
    <font>
      <name val="Arial"/>
      <b val="1"/>
      <color rgb="00FFFFFF"/>
      <sz val="18"/>
    </font>
    <font>
      <name val="Arial"/>
      <i val="1"/>
      <color rgb="0040524A"/>
      <sz val="9"/>
    </font>
    <font>
      <name val="Arial"/>
      <b val="1"/>
      <color rgb="00FFFFFF"/>
      <sz val="9"/>
    </font>
    <font>
      <name val="Arial"/>
      <color rgb="0017241F"/>
      <sz val="9"/>
    </font>
    <font>
      <name val="Arial"/>
      <b val="1"/>
      <color rgb="00FFFFFF"/>
      <sz val="10"/>
    </font>
    <font>
      <name val="Arial"/>
      <i val="1"/>
      <color rgb="00B00020"/>
      <sz val="9"/>
    </font>
    <font>
      <name val="Arial"/>
      <b val="1"/>
      <color rgb="000B3025"/>
      <sz val="8"/>
    </font>
    <font>
      <name val="Arial"/>
      <b val="1"/>
      <color rgb="000B3025"/>
      <sz val="11"/>
    </font>
    <font>
      <name val="Arial"/>
      <color rgb="00584421"/>
      <sz val="9"/>
    </font>
    <font>
      <name val="Arial"/>
      <color rgb="0017241F"/>
      <sz val="10"/>
    </font>
    <font>
      <name val="Arial"/>
      <b val="1"/>
      <color rgb="00FFFFFF"/>
      <sz val="20"/>
    </font>
    <font>
      <name val="Arial"/>
      <b val="1"/>
      <color rgb="000B3025"/>
      <sz val="9"/>
    </font>
    <font>
      <name val="Arial"/>
      <color rgb="000B3025"/>
      <sz val="9"/>
    </font>
    <font>
      <name val="Arial"/>
      <color rgb="00666666"/>
      <sz val="9"/>
    </font>
    <font>
      <name val="Arial"/>
      <color rgb="00888888"/>
      <sz val="8"/>
    </font>
    <font>
      <name val="Arial"/>
      <b val="1"/>
      <color rgb="00B00020"/>
      <sz val="9"/>
    </font>
    <font>
      <name val="Arial"/>
      <b val="1"/>
      <color rgb="000B3025"/>
      <sz val="10"/>
    </font>
    <font>
      <name val="Arial"/>
      <b val="1"/>
      <color rgb="000B3025"/>
      <sz val="20"/>
    </font>
    <font>
      <name val="Arial"/>
      <i val="1"/>
      <color rgb="00666666"/>
      <sz val="8"/>
    </font>
    <font>
      <name val="Arial"/>
      <color rgb="000B3025"/>
      <sz val="10"/>
    </font>
  </fonts>
  <fills count="12">
    <fill>
      <patternFill/>
    </fill>
    <fill>
      <patternFill patternType="gray125"/>
    </fill>
    <fill>
      <patternFill patternType="solid">
        <fgColor rgb="000B3025"/>
      </patternFill>
    </fill>
    <fill>
      <patternFill patternType="solid">
        <fgColor rgb="00F6F1E7"/>
      </patternFill>
    </fill>
    <fill>
      <patternFill patternType="solid">
        <fgColor rgb="0015533E"/>
      </patternFill>
    </fill>
    <fill>
      <patternFill patternType="solid">
        <fgColor rgb="00FFF8E1"/>
      </patternFill>
    </fill>
    <fill>
      <patternFill patternType="solid">
        <fgColor rgb="0056665F"/>
      </patternFill>
    </fill>
    <fill>
      <patternFill patternType="solid">
        <fgColor rgb="00EEF1EF"/>
      </patternFill>
    </fill>
    <fill>
      <patternFill patternType="solid">
        <fgColor rgb="00E2EEE7"/>
      </patternFill>
    </fill>
    <fill>
      <patternFill patternType="solid">
        <fgColor rgb="00FFFFFF"/>
      </patternFill>
    </fill>
    <fill>
      <patternFill patternType="solid">
        <fgColor rgb="00FAF1DE"/>
      </patternFill>
    </fill>
    <fill>
      <patternFill patternType="solid">
        <fgColor rgb="00B49657"/>
      </patternFill>
    </fill>
  </fills>
  <borders count="4">
    <border>
      <left/>
      <right/>
      <top/>
      <bottom/>
      <diagonal/>
    </border>
    <border>
      <left style="thin">
        <color rgb="00D7DDD9"/>
      </left>
      <right style="thin">
        <color rgb="00D7DDD9"/>
      </right>
      <top style="medium">
        <color rgb="0015533E"/>
      </top>
      <bottom style="medium">
        <color rgb="0015533E"/>
      </bottom>
    </border>
    <border>
      <bottom style="thin">
        <color rgb="00D7DDD9"/>
      </bottom>
    </border>
    <border>
      <left style="thin">
        <color rgb="00D7DDD9"/>
      </left>
      <right style="thin">
        <color rgb="00D7DDD9"/>
      </right>
      <top style="thin">
        <color rgb="00D7DDD9"/>
      </top>
      <bottom style="thin">
        <color rgb="00D7DDD9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wrapText="1"/>
    </xf>
    <xf numFmtId="0" fontId="13" fillId="8" borderId="0" applyAlignment="1" pivotButton="0" quotePrefix="0" xfId="0">
      <alignment horizontal="center" vertical="center"/>
    </xf>
    <xf numFmtId="0" fontId="18" fillId="5" borderId="3" applyAlignment="1" pivotButton="0" quotePrefix="0" xfId="0">
      <alignment horizontal="center" vertical="center"/>
    </xf>
    <xf numFmtId="1" fontId="18" fillId="0" borderId="3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4" borderId="3" pivotButton="0" quotePrefix="0" xfId="0"/>
    <xf numFmtId="164" fontId="19" fillId="9" borderId="3" applyAlignment="1" pivotButton="0" quotePrefix="0" xfId="0">
      <alignment horizontal="center" vertical="center"/>
    </xf>
    <xf numFmtId="0" fontId="0" fillId="9" borderId="3" pivotButton="0" quotePrefix="0" xfId="0"/>
    <xf numFmtId="166" fontId="19" fillId="9" borderId="3" applyAlignment="1" pivotButton="0" quotePrefix="0" xfId="0">
      <alignment horizontal="center" vertical="center"/>
    </xf>
    <xf numFmtId="167" fontId="19" fillId="9" borderId="3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8" fillId="8" borderId="2" applyAlignment="1" pivotButton="0" quotePrefix="0" xfId="0">
      <alignment horizontal="right" vertical="center" indent="1"/>
    </xf>
    <xf numFmtId="0" fontId="0" fillId="0" borderId="2" pivotButton="0" quotePrefix="0" xfId="0"/>
    <xf numFmtId="164" fontId="18" fillId="1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right" vertical="center" indent="1"/>
    </xf>
    <xf numFmtId="0" fontId="21" fillId="3" borderId="2" applyAlignment="1" pivotButton="0" quotePrefix="0" xfId="0">
      <alignment horizontal="right" vertical="center" indent="1"/>
    </xf>
    <xf numFmtId="164" fontId="18" fillId="9" borderId="2" applyAlignment="1" pivotButton="0" quotePrefix="0" xfId="0">
      <alignment horizontal="center" vertical="center"/>
    </xf>
    <xf numFmtId="167" fontId="18" fillId="9" borderId="2" applyAlignment="1" pivotButton="0" quotePrefix="0" xfId="0">
      <alignment horizontal="center" vertical="center"/>
    </xf>
    <xf numFmtId="166" fontId="18" fillId="9" borderId="2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168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170" fontId="5" fillId="0" borderId="2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center" vertical="center"/>
    </xf>
    <xf numFmtId="166" fontId="5" fillId="7" borderId="2" applyAlignment="1" pivotButton="0" quotePrefix="0" xfId="0">
      <alignment horizontal="center" vertical="center"/>
    </xf>
    <xf numFmtId="167" fontId="5" fillId="7" borderId="2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 wrapText="1"/>
    </xf>
    <xf numFmtId="1" fontId="9" fillId="9" borderId="3" applyAlignment="1" pivotButton="0" quotePrefix="0" xfId="0">
      <alignment horizontal="center" vertical="center"/>
    </xf>
    <xf numFmtId="167" fontId="9" fillId="9" borderId="3" applyAlignment="1" pivotButton="0" quotePrefix="0" xfId="0">
      <alignment horizontal="center" vertical="center"/>
    </xf>
    <xf numFmtId="164" fontId="9" fillId="9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49" fontId="5" fillId="5" borderId="2" applyAlignment="1" pivotButton="0" quotePrefix="0" xfId="0">
      <alignment horizontal="center" vertical="center"/>
    </xf>
    <xf numFmtId="1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9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1" fontId="5" fillId="7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7" fillId="3" borderId="0" applyAlignment="1" pivotButton="0" quotePrefix="0" xfId="0">
      <alignment horizontal="center" vertical="center"/>
    </xf>
    <xf numFmtId="0" fontId="9" fillId="5" borderId="3" applyAlignment="1" pivotButton="0" quotePrefix="0" xfId="0">
      <alignment horizontal="right" vertical="center"/>
    </xf>
    <xf numFmtId="0" fontId="18" fillId="3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right" vertical="center"/>
    </xf>
    <xf numFmtId="0" fontId="11" fillId="3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1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164" fontId="18" fillId="10" borderId="0" applyAlignment="1" pivotButton="0" quotePrefix="0" xfId="0">
      <alignment horizontal="center" vertical="center"/>
    </xf>
    <xf numFmtId="164" fontId="18" fillId="11" borderId="0" applyAlignment="1" pivotButton="0" quotePrefix="0" xfId="0">
      <alignment horizontal="center" vertical="center"/>
    </xf>
    <xf numFmtId="168" fontId="5" fillId="5" borderId="2" applyAlignment="1" pivotButton="0" quotePrefix="0" xfId="0">
      <alignment horizontal="center" vertical="center"/>
    </xf>
    <xf numFmtId="4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8" fontId="5" fillId="7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center" vertical="center"/>
    </xf>
    <xf numFmtId="169" fontId="5" fillId="7" borderId="2" applyAlignment="1" pivotButton="0" quotePrefix="0" xfId="0">
      <alignment horizontal="center" vertical="center"/>
    </xf>
    <xf numFmtId="17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4" fontId="5" fillId="7" borderId="2" applyAlignment="1" pivotButton="0" quotePrefix="0" xfId="0">
      <alignment horizontal="center" vertical="center"/>
    </xf>
    <xf numFmtId="170" fontId="9" fillId="9" borderId="3" applyAlignment="1" pivotButton="0" quotePrefix="0" xfId="0">
      <alignment horizontal="center" vertical="center"/>
    </xf>
    <xf numFmtId="170" fontId="5" fillId="5" borderId="2" applyAlignment="1" pivotButton="0" quotePrefix="0" xfId="0">
      <alignment horizontal="center" vertical="center"/>
    </xf>
    <xf numFmtId="166" fontId="5" fillId="5" borderId="2" applyAlignment="1" pivotButton="0" quotePrefix="0" xfId="0">
      <alignment horizontal="center" vertical="center"/>
    </xf>
    <xf numFmtId="166" fontId="5" fillId="5" borderId="2" applyAlignment="1" pivotButton="0" quotePrefix="0" xfId="0">
      <alignment horizontal="right" vertical="center"/>
    </xf>
    <xf numFmtId="49" fontId="5" fillId="5" borderId="2" applyAlignment="1" pivotButton="0" quotePrefix="0" xfId="0">
      <alignment horizontal="right" vertical="center"/>
    </xf>
    <xf numFmtId="0" fontId="10" fillId="10" borderId="0" applyAlignment="1" pivotButton="0" quotePrefix="0" xfId="0">
      <alignment horizontal="right" vertical="center" wrapText="1"/>
    </xf>
    <xf numFmtId="0" fontId="7" fillId="0" borderId="0" pivotButton="0" quotePrefix="0" xfId="0"/>
    <xf numFmtId="0" fontId="4" fillId="4" borderId="0" pivotButton="0" quotePrefix="0" xfId="0"/>
    <xf numFmtId="0" fontId="1" fillId="0" borderId="0" pivotButton="0" quotePrefix="0" xfId="0"/>
    <xf numFmtId="0" fontId="5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D5EBD9"/>
        </patternFill>
      </fill>
    </dxf>
    <dxf>
      <fill>
        <patternFill patternType="solid">
          <fgColor rgb="00F4B6B6"/>
        </patternFill>
      </fill>
    </dxf>
    <dxf>
      <fill>
        <patternFill patternType="solid">
          <fgColor rgb="00F9E0E0"/>
        </patternFill>
      </fill>
    </dxf>
    <dxf>
      <fill>
        <patternFill patternType="solid">
          <fgColor rgb="00FFF0D4"/>
        </patternFill>
      </fill>
    </dxf>
    <dxf>
      <fill>
        <patternFill patternType="solid">
          <fgColor rgb="00E5E5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'پشتیبان'!M4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'پشتیبان'!$N$5:$N$35</f>
            </numRef>
          </cat>
          <val>
            <numRef>
              <f>'پشتیبان'!$M$5:$M$35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'پشتیبان'!P4</f>
            </strRef>
          </tx>
          <spPr>
            <a:ln xmlns:a="http://schemas.openxmlformats.org/drawingml/2006/main">
              <a:prstDash val="solid"/>
            </a:ln>
          </spPr>
          <cat>
            <numRef>
              <f>'پشتیبان'!$O$5:$O$15</f>
            </numRef>
          </cat>
          <val>
            <numRef>
              <f>'پشتیبان'!$P$5:$P$15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'داشبورد'!B56</f>
            </strRef>
          </tx>
          <spPr>
            <a:ln xmlns:a="http://schemas.openxmlformats.org/drawingml/2006/main">
              <a:prstDash val="solid"/>
            </a:ln>
          </spPr>
          <cat>
            <numRef>
              <f>'داشبورد'!$A$57:$A$68</f>
            </numRef>
          </cat>
          <val>
            <numRef>
              <f>'داشبورد'!$B$57:$B$68</f>
            </numRef>
          </val>
        </ser>
        <ser>
          <idx val="1"/>
          <order val="1"/>
          <tx>
            <strRef>
              <f>'داشبورد'!H56</f>
            </strRef>
          </tx>
          <spPr>
            <a:ln xmlns:a="http://schemas.openxmlformats.org/drawingml/2006/main">
              <a:prstDash val="solid"/>
            </a:ln>
          </spPr>
          <cat>
            <numRef>
              <f>'داشبورد'!$A$57:$A$68</f>
            </numRef>
          </cat>
          <val>
            <numRef>
              <f>'داشبورد'!$H$57:$H$68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619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25</row>
      <rowOff>0</rowOff>
    </from>
    <ext cx="619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70</row>
      <rowOff>0</rowOff>
    </from>
    <ext cx="12527999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onthly" displayName="tblMonthly" ref="A56:K68" headerRowCount="1">
  <autoFilter ref="A56:K68"/>
  <tableColumns count="11">
    <tableColumn id="1" name="ماه">
      <calculatedColumnFormula>IFERROR(INDEX(MonthlyName,ROW()-ROW(tblMonthly[[#Headers],[ماه]])),"")</calculatedColumnFormula>
    </tableColumn>
    <tableColumn id="2" name="فروش">
      <calculatedColumnFormula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calculatedColumnFormula>
    </tableColumn>
    <tableColumn id="3" name="بهای تمام‌شده">
      <calculatedColumnFormula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calculatedColumnFormula>
    </tableColumn>
    <tableColumn id="4" name="سود ناخالص">
      <calculatedColumnFormula>tblMonthly[[#This Row],[فروش]]-tblMonthly[[#This Row],[بهای تمام‌شده]]</calculatedColumnFormula>
    </tableColumn>
    <tableColumn id="5" name="هزینه">
      <calculatedColumnFormula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calculatedColumnFormula>
    </tableColumn>
    <tableColumn id="6" name="حقوق">
      <calculatedColumnFormula>SUMIFS(tblPayroll[حقوق نهایی],tblPayroll[شروع ماه],INDEX(MonthlyStart,ROW()-ROW(tblMonthly[[#Headers],[ماه]])),tblPayroll[وضعیت مؤثر],"تایید شده")</calculatedColumnFormula>
    </tableColumn>
    <tableColumn id="7" name="سود خالص">
      <calculatedColumnFormula>tblMonthly[[#This Row],[سود ناخالص]]-tblMonthly[[#This Row],[هزینه]]-tblMonthly[[#This Row],[حقوق]]</calculatedColumnFormula>
    </tableColumn>
    <tableColumn id="8" name="هدف فروش">
      <calculatedColumnFormula>SUMIFS(tblTargets[هدف فروش],tblTargets[شروع ماه],INDEX(MonthlyStart,ROW()-ROW(tblMonthly[[#Headers],[ماه]])))</calculatedColumnFormula>
    </tableColumn>
    <tableColumn id="9" name="تحقق هدف">
      <calculatedColumnFormula>IF(tblMonthly[[#This Row],[هدف فروش]]=0,"",tblMonthly[[#This Row],[فروش]]/tblMonthly[[#This Row],[هدف فروش]])</calculatedColumnFormula>
    </tableColumn>
    <tableColumn id="10" name="بهای مواد درصد">
      <calculatedColumnFormula>IFERROR(tblMonthly[[#This Row],[بهای تمام‌شده]]/tblMonthly[[#This Row],[فروش]],0)</calculatedColumnFormula>
    </tableColumn>
    <tableColumn id="11" name="اقلام">
      <calculatedColumnFormula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calculatedColumnFormula>
    </tableColumn>
  </tableColumns>
  <tableStyleInfo name="TableStyleLight1" showRowStripes="0"/>
</table>
</file>

<file path=xl/tables/table2.xml><?xml version="1.0" encoding="utf-8"?>
<table xmlns="http://schemas.openxmlformats.org/spreadsheetml/2006/main" id="2" name="tblSales" displayName="tblSales" ref="A5:AA6" headerRowCount="1">
  <autoFilter ref="A5:AA6"/>
  <tableColumns count="27">
    <tableColumn id="1" name="تاریخ"/>
    <tableColumn id="2" name="فاکتور روز"/>
    <tableColumn id="3" name="شماره فاکتور">
      <calculatedColumnFormula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calculatedColumnFormula>
    </tableColumn>
    <tableColumn id="4" name="کد محصول"/>
    <tableColumn id="5" name="نام محصول">
      <calculatedColumnFormula>IF(tblSales[[#This Row],[کد محصول]]="","",IFERROR(INDEX(tblMenu[نام محصول],MATCH(tblSales[[#This Row],[کد محصول]],tblMenu[کد محصول],0)),"کد نامعتبر"))</calculatedColumnFormula>
    </tableColumn>
    <tableColumn id="6" name="تعداد"/>
    <tableColumn id="7" name="قیمت واحد">
      <calculatedColumnFormula>IF(tblSales[[#This Row],[کد محصول]]="","",IFERROR(INDEX(tblMenu[قیمت فروش],MATCH(tblSales[[#This Row],[کد محصول]],tblMenu[کد محصول],0)),0))</calculatedColumnFormula>
    </tableColumn>
    <tableColumn id="8" name="درصد تخفیف"/>
    <tableColumn id="9" name="فروش خالص">
      <calculatedColumnFormula>IF(tblSales[[#This Row],[کد محصول]]="","",tblSales[[#This Row],[تعداد]]*tblSales[[#This Row],[قیمت واحد]]-tblSales[[#This Row],[مبلغ تخفیف]])</calculatedColumnFormula>
    </tableColumn>
    <tableColumn id="10" name="روش پرداخت"/>
    <tableColumn id="11" name="وضعیت"/>
    <tableColumn id="12" name="کد پرسنل"/>
    <tableColumn id="13" name="ساعت"/>
    <tableColumn id="14" name="میز/سفارش"/>
    <tableColumn id="15" name="نام مشتری"/>
    <tableColumn id="16" name="تلفن"/>
    <tableColumn id="17" name="یادداشت"/>
    <tableColumn id="18" name="دسته">
      <calculatedColumnFormula>IF(tblSales[[#This Row],[کد محصول]]="","",IFERROR(INDEX(tblMenu[دسته],MATCH(tblSales[[#This Row],[کد محصول]],tblMenu[کد محصول],0)),""))</calculatedColumnFormula>
    </tableColumn>
    <tableColumn id="19" name="مبلغ تخفیف">
      <calculatedColumnFormula>IF(tblSales[[#This Row],[کد محصول]]="","",tblSales[[#This Row],[تعداد]]*tblSales[[#This Row],[قیمت واحد]]*tblSales[[#This Row],[درصد تخفیف]])</calculatedColumnFormula>
    </tableColumn>
    <tableColumn id="20" name="بهای واحد">
      <calculatedColumnFormula>IF(tblSales[[#This Row],[کد محصول]]="","",IFERROR(INDEX(tblMenu[هزینه استاندارد],MATCH(tblSales[[#This Row],[کد محصول]],tblMenu[کد محصول],0)),0))</calculatedColumnFormula>
    </tableColumn>
    <tableColumn id="21" name="بهای تمام‌شده">
      <calculatedColumnFormula>IF(tblSales[[#This Row],[کد محصول]]="","",tblSales[[#This Row],[تعداد]]*tblSales[[#This Row],[بهای واحد]])</calculatedColumnFormula>
    </tableColumn>
    <tableColumn id="22" name="سود ناخالص">
      <calculatedColumnFormula>IF(tblSales[[#This Row],[کد محصول]]="","",tblSales[[#This Row],[فروش خالص]]-tblSales[[#This Row],[بهای تمام‌شده]])</calculatedColumnFormula>
    </tableColumn>
    <tableColumn id="23" name="حاشیه سود">
      <calculatedColumnFormula>IFERROR(tblSales[[#This Row],[سود ناخالص]]/tblSales[[#This Row],[فروش خالص]],0)</calculatedColumnFormula>
    </tableColumn>
    <tableColumn id="24" name="وضعیت مؤثر">
      <calculatedColumnFormula>IF(AND(tblSales[[#This Row],[کد محصول]]="",tblSales[[#This Row],[شماره فاکتور]]=""),"",IF(tblSales[[#This Row],[وضعیت]]="","نهایی",tblSales[[#This Row],[وضعیت]]))</calculatedColumnFormula>
    </tableColumn>
    <tableColumn id="25" name="شروع فاکتور">
      <calculatedColumnFormula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calculatedColumnFormula>
    </tableColumn>
    <tableColumn id="26" name="تاریخ میلادی">
      <calculatedColumnFormula>IF(tblSales[[#This Row],[تاریخ]]="",IF(OR(tblSales[[#This Row],[کد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  <tableColumn id="27" name="کلید فاکتور">
      <calculatedColumnFormula>IF(tblSales[[#This Row],[شماره فاکتور]]="","",INDEX(CalKey,MATCH(tblSales[[#This Row],[تاریخ میلادی]],CalSerial,0))*1000+tblSales[[#This Row],[فاکتور روز]])</calculatedColumnFormula>
    </tableColumn>
  </tableColumns>
  <tableStyleInfo name="TableStyleLight1" showRowStripes="0"/>
</table>
</file>

<file path=xl/tables/table3.xml><?xml version="1.0" encoding="utf-8"?>
<table xmlns="http://schemas.openxmlformats.org/spreadsheetml/2006/main" id="3" name="tblStockLog" displayName="tblStockLog" ref="A5:S6" headerRowCount="1">
  <autoFilter ref="A5:S6"/>
  <tableColumns count="19">
    <tableColumn id="1" name="تاریخ"/>
    <tableColumn id="2" name="شماره سند"/>
    <tableColumn id="3" name="نوع"/>
    <tableColumn id="4" name="کد ماده"/>
    <tableColumn id="5" name="نام ماده">
      <calculatedColumnFormula>IF(tblStockLog[[#This Row],[کد ماده]]="","",IFERROR(INDEX(tblIngredients[نام ماده],MATCH(tblStockLog[[#This Row],[کد ماده]],tblIngredients[کد ماده],0)),"کد نامعتبر"))</calculatedColumnFormula>
    </tableColumn>
    <tableColumn id="6" name="مقدار"/>
    <tableColumn id="7" name="بهای واحد"/>
    <tableColumn id="8" name="تخفیف"/>
    <tableColumn id="9" name="کد تأمین‌کننده"/>
    <tableColumn id="10" name="نام تأمین‌کننده">
      <calculatedColumnFormula>IF(tblStockLog[[#This Row],[کد تأمین‌کننده]]="","",IFERROR(INDEX(tblSuppliers[نام تأمین‌کننده],MATCH(tblStockLog[[#This Row],[کد تأمین‌کننده]],tblSuppliers[کد تأمین‌کننده],0)),"کد نامعتبر"))</calculatedColumnFormula>
    </tableColumn>
    <tableColumn id="11" name="روش پرداخت"/>
    <tableColumn id="12" name="وضعیت"/>
    <tableColumn id="13" name="توضیح"/>
    <tableColumn id="14" name="پیام بررسی">
      <calculatedColumnFormula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calculatedColumnFormula>
    </tableColumn>
    <tableColumn id="15" name="معتبر">
      <calculatedColumnFormula>IF(tblStockLog[[#This Row],[کد ماده]]="","",IF(tblStockLog[[#This Row],[پیام بررسی]]="",1,0))</calculatedColumnFormula>
    </tableColumn>
    <tableColumn id="16" name="اثر بر موجودی">
      <calculatedColumnFormula>IF(tblStockLog[[#This Row],[کد ماده]]="","",IF(tblStockLog[[#This Row],[معتبر]]=1,IF(tblStockLog[[#This Row],[نوع]]="ضایعات",-ABS(tblStockLog[[#This Row],[مقدار]]),tblStockLog[[#This Row],[مقدار]]),0))</calculatedColumnFormula>
    </tableColumn>
    <tableColumn id="17" name="مبلغ خالص">
      <calculatedColumnFormula>IF(tblStockLog[[#This Row],[کد ماده]]="","",IF(AND(tblStockLog[[#This Row],[معتبر]]=1,tblStockLog[[#This Row],[نوع]]="خرید"),tblStockLog[[#This Row],[مقدار]]*tblStockLog[[#This Row],[بهای واحد]]-N(tblStockLog[[#This Row],[تخفیف]]),0))</calculatedColumnFormula>
    </tableColumn>
    <tableColumn id="18" name="وضعیت مؤثر">
      <calculatedColumnFormula>IF(tblStockLog[[#This Row],[کد ماده]]="","",IF(tblStockLog[[#This Row],[وضعیت]]="","تایید شده",tblStockLog[[#This Row],[وضعیت]]))</calculatedColumnFormula>
    </tableColumn>
    <tableColumn id="19" name="تاریخ میلادی">
      <calculatedColumnFormula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</tableColumns>
  <tableStyleInfo name="TableStyleLight1" showRowStripes="0"/>
</table>
</file>

<file path=xl/tables/table4.xml><?xml version="1.0" encoding="utf-8"?>
<table xmlns="http://schemas.openxmlformats.org/spreadsheetml/2006/main" id="4" name="tblIngredients" displayName="tblIngredients" ref="U5:AM35" headerRowCount="1">
  <autoFilter ref="U5:AM35"/>
  <tableColumns count="19">
    <tableColumn id="21" name="کد ماده"/>
    <tableColumn id="22" name="نام ماده"/>
    <tableColumn id="23" name="گروه"/>
    <tableColumn id="24" name="واحد"/>
    <tableColumn id="25" name="موجودی آغازین"/>
    <tableColumn id="26" name="بهای آغازین"/>
    <tableColumn id="27" name="حد سفارش"/>
    <tableColumn id="28" name="تأمین‌کننده"/>
    <tableColumn id="29" name="ورودی خرید">
      <calculatedColumnFormula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calculatedColumnFormula>
    </tableColumn>
    <tableColumn id="30" name="مصرف کل">
      <calculatedColumnFormula>IF(tblIngredients[[#This Row],[کد ماده]]="","",SUMIFS(tblRecipe[مصرف کل],tblRecipe[کد ماده],tblIngredients[[#This Row],[کد ماده]]))</calculatedColumnFormula>
    </tableColumn>
    <tableColumn id="31" name="ضایعات و اصلاح">
      <calculatedColumnFormula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calculatedColumnFormula>
    </tableColumn>
    <tableColumn id="32" name="موجودی فعلی">
      <calculatedColumnFormula>IF(tblIngredients[[#This Row],[کد ماده]]="","",N(tblIngredients[[#This Row],[موجودی آغازین]])+tblIngredients[[#This Row],[ورودی خرید]]+tblIngredients[[#This Row],[ضایعات و اصلاح]]-tblIngredients[[#This Row],[مصرف کل]])</calculatedColumnFormula>
    </tableColumn>
    <tableColumn id="33" name="بهای میانگین">
      <calculatedColumnFormula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calculatedColumnFormula>
    </tableColumn>
    <tableColumn id="34" name="ارزش موجودی">
      <calculatedColumnFormula>IF(tblIngredients[[#This Row],[کد ماده]]="","",MAX(tblIngredients[[#This Row],[موجودی فعلی]],0)*tblIngredients[[#This Row],[بهای میانگین]])</calculatedColumnFormula>
    </tableColumn>
    <tableColumn id="35" name="وضعیت">
      <calculatedColumnFormula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calculatedColumnFormula>
    </tableColumn>
    <tableColumn id="36" name="کمبود تا حد سفارش">
      <calculatedColumnFormula>IF(tblIngredients[[#This Row],[کد ماده]]="","",MAX(N(tblIngredients[[#This Row],[حد سفارش]])-tblIngredients[[#This Row],[موجودی فعلی]],0))</calculatedColumnFormula>
    </tableColumn>
    <tableColumn id="37" name="مصرف بازه">
      <calculatedColumnFormula>IF(tblIngredients[[#This Row],[کد ماده]]="","",SUMIFS(tblRecipe[مصرف بازه],tblRecipe[کد ماده],tblIngredients[[#This Row],[کد ماده]]))</calculatedColumnFormula>
    </tableColumn>
    <tableColumn id="38" name="پوشش روز">
      <calculatedColumnFormula>IF(tblIngredients[[#This Row],[کد ماده]]="","",IFERROR(IF(tblIngredients[[#This Row],[مصرف بازه]]&lt;=0,"",MAX(tblIngredients[[#This Row],[موجودی فعلی]],0)/(tblIngredients[[#This Row],[مصرف بازه]]/MAX(RptTo-RptFrom+1,1))),""))</calculatedColumnFormula>
    </tableColumn>
    <tableColumn id="39" name="ردیف هشدار">
      <calculatedColumnFormula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calculatedColumnFormula>
    </tableColumn>
  </tableColumns>
  <tableStyleInfo name="TableStyleLight1" showRowStripes="0"/>
</table>
</file>

<file path=xl/tables/table5.xml><?xml version="1.0" encoding="utf-8"?>
<table xmlns="http://schemas.openxmlformats.org/spreadsheetml/2006/main" id="5" name="tblMenu" displayName="tblMenu" ref="A5:K48" headerRowCount="1">
  <autoFilter ref="A5:K48"/>
  <tableColumns count="11">
    <tableColumn id="1" name="کد محصول"/>
    <tableColumn id="2" name="نام محصول"/>
    <tableColumn id="3" name="دسته"/>
    <tableColumn id="4" name="قیمت فروش"/>
    <tableColumn id="5" name="هزینه استاندارد">
      <calculatedColumnFormula>IF(tblMenu[[#This Row],[کد محصول]]="","",SUMIFS(tblRecipe[هزینه خط],tblRecipe[کد محصول],tblMenu[[#This Row],[کد محصول]]))</calculatedColumnFormula>
    </tableColumn>
    <tableColumn id="6" name="سود ناخالص واحد">
      <calculatedColumnFormula>IF(tblMenu[[#This Row],[کد محصول]]="","",tblMenu[[#This Row],[قیمت فروش]]-tblMenu[[#This Row],[هزینه استاندارد]])</calculatedColumnFormula>
    </tableColumn>
    <tableColumn id="7" name="درصد بهای مواد">
      <calculatedColumnFormula>IFERROR(tblMenu[[#This Row],[هزینه استاندارد]]/tblMenu[[#This Row],[قیمت فروش]],0)</calculatedColumnFormula>
    </tableColumn>
    <tableColumn id="8" name="فعال؟"/>
    <tableColumn id="9" name="توضیح"/>
    <tableColumn id="10" name="وضعیت رسپی">
      <calculatedColumnFormula>IF(tblMenu[[#This Row],[کد محصول]]="","",IF(COUNTIF(tblRecipe[کد محصول],tblMenu[[#This Row],[کد محصول]])=0,"بدون رسپی","کامل"))</calculatedColumnFormula>
    </tableColumn>
    <tableColumn id="11" name="فروش بازه">
      <calculatedColumnFormula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calculatedColumnFormula>
    </tableColumn>
  </tableColumns>
  <tableStyleInfo name="TableStyleLight1" showRowStripes="0"/>
</table>
</file>

<file path=xl/tables/table6.xml><?xml version="1.0" encoding="utf-8"?>
<table xmlns="http://schemas.openxmlformats.org/spreadsheetml/2006/main" id="6" name="tblRecipe" displayName="tblRecipe" ref="M5:Y144" headerRowCount="1">
  <autoFilter ref="M5:Y144"/>
  <tableColumns count="13">
    <tableColumn id="13" name="کد محصول"/>
    <tableColumn id="14" name="نام محصول">
      <calculatedColumnFormula>IF(tblRecipe[[#This Row],[کد محصول]]="","",IFERROR(INDEX(tblMenu[نام محصول],MATCH(tblRecipe[[#This Row],[کد محصول]],tblMenu[کد محصول],0)),"کد نامعتبر"))</calculatedColumnFormula>
    </tableColumn>
    <tableColumn id="15" name="کد ماده"/>
    <tableColumn id="16" name="نام ماده">
      <calculatedColumnFormula>IF(tblRecipe[[#This Row],[کد ماده]]="","",IFERROR(INDEX(tblIngredients[نام ماده],MATCH(tblRecipe[[#This Row],[کد ماده]],tblIngredients[کد ماده],0)),"کد نامعتبر"))</calculatedColumnFormula>
    </tableColumn>
    <tableColumn id="17" name="واحد">
      <calculatedColumnFormula>IF(tblRecipe[[#This Row],[کد ماده]]="","",IFERROR(INDEX(tblIngredients[واحد],MATCH(tblRecipe[[#This Row],[کد ماده]],tblIngredients[کد ماده],0)),""))</calculatedColumnFormula>
    </tableColumn>
    <tableColumn id="18" name="مقدار استاندارد"/>
    <tableColumn id="19" name="بهای واحد ماده">
      <calculatedColumnFormula>IF(tblRecipe[[#This Row],[کد ماده]]="","",IFERROR(INDEX(tblIngredients[بهای میانگین],MATCH(tblRecipe[[#This Row],[کد ماده]],tblIngredients[کد ماده],0)),0))</calculatedColumnFormula>
    </tableColumn>
    <tableColumn id="20" name="هزینه خط">
      <calculatedColumnFormula>IF(tblRecipe[[#This Row],[کد ماده]]="","",tblRecipe[[#This Row],[مقدار استاندارد]]*tblRecipe[[#This Row],[بهای واحد ماده]])</calculatedColumnFormula>
    </tableColumn>
    <tableColumn id="21" name="فروش کل">
      <calculatedColumnFormula>IF(tblRecipe[[#This Row],[کد محصول]]="","",SUMIFS(tblSales[تعداد],tblSales[کد محصول],tblRecipe[[#This Row],[کد محصول]],tblSales[وضعیت مؤثر],"نهایی",tblSales[تاریخ میلادی],"&gt;="&amp;Cfg_StockStartS))</calculatedColumnFormula>
    </tableColumn>
    <tableColumn id="22" name="مصرف کل">
      <calculatedColumnFormula>IF(tblRecipe[[#This Row],[کد ماده]]="","",tblRecipe[[#This Row],[مقدار استاندارد]]*tblRecipe[[#This Row],[فروش کل]])</calculatedColumnFormula>
    </tableColumn>
    <tableColumn id="23" name="فروش بازه">
      <calculatedColumnFormula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calculatedColumnFormula>
    </tableColumn>
    <tableColumn id="24" name="مصرف بازه">
      <calculatedColumnFormula>IF(tblRecipe[[#This Row],[کد ماده]]="","",tblRecipe[[#This Row],[مقدار استاندارد]]*tblRecipe[[#This Row],[فروش بازه]])</calculatedColumnFormula>
    </tableColumn>
    <tableColumn id="25" name="یادداشت"/>
  </tableColumns>
  <tableStyleInfo name="TableStyleLight1" showRowStripes="0"/>
</table>
</file>

<file path=xl/tables/table7.xml><?xml version="1.0" encoding="utf-8"?>
<table xmlns="http://schemas.openxmlformats.org/spreadsheetml/2006/main" id="7" name="tblExpenses" displayName="tblExpenses" ref="A5:K6" headerRowCount="1">
  <autoFilter ref="A5:K6"/>
  <tableColumns count="11">
    <tableColumn id="1" name="تاریخ"/>
    <tableColumn id="2" name="شماره هزینه"/>
    <tableColumn id="3" name="دسته هزینه"/>
    <tableColumn id="4" name="شرح"/>
    <tableColumn id="5" name="مبلغ"/>
    <tableColumn id="6" name="روش پرداخت"/>
    <tableColumn id="7" name="ثبت‌کننده"/>
    <tableColumn id="8" name="وضعیت"/>
    <tableColumn id="9" name="یادداشت"/>
    <tableColumn id="10" name="وضعیت مؤثر">
      <calculatedColumnFormula>IF(tblExpenses[[#This Row],[مبلغ]]="","",IF(tblExpenses[[#This Row],[وضعیت]]="","تایید شده",tblExpenses[[#This Row],[وضعیت]]))</calculatedColumnFormula>
    </tableColumn>
    <tableColumn id="11" name="تاریخ میلادی">
      <calculatedColumnFormula>IF(tblExpenses[[#This Row],[تاریخ]]="",IF(tblExpenses[[#This Row],[مبلغ]]&lt;&gt;"","تاریخ نامعتبر",""),IF(AND(ISNUMBER(tblExpenses[[#This Row],[تاریخ]]),tblExpenses[[#This Row],[تاریخ]]&lt;100000),tblExpenses[[#This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</tableColumns>
  <tableStyleInfo name="TableStyleLight1" showRowStripes="0"/>
</table>
</file>

<file path=xl/tables/table8.xml><?xml version="1.0" encoding="utf-8"?>
<table xmlns="http://schemas.openxmlformats.org/spreadsheetml/2006/main" id="8" name="tblCash" displayName="tblCash" ref="M5:AD6" headerRowCount="1">
  <autoFilter ref="M5:AD6"/>
  <tableColumns count="18">
    <tableColumn id="13" name="تاریخ"/>
    <tableColumn id="14" name="افتتاحیه دستی"/>
    <tableColumn id="15" name="موجودی اول">
      <calculatedColumnFormula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calculatedColumnFormula>
    </tableColumn>
    <tableColumn id="16" name="فروش نقدی">
      <calculatedColumnFormula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calculatedColumnFormula>
    </tableColumn>
    <tableColumn id="17" name="هزینه نقدی">
      <calculatedColumnFormula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calculatedColumnFormula>
    </tableColumn>
    <tableColumn id="18" name="انتقال به بانک"/>
    <tableColumn id="19" name="انتظار">
      <calculatedColumnFormula>IF(ISNUMBER(tblCash[[#This Row],[تاریخ میلادی]]),tblCash[[#This Row],[موجودی اول]]+tblCash[[#This Row],[فروش نقدی]]-tblCash[[#This Row],[هزینه نقدی]]-N(tblCash[[#This Row],[انتقال به بانک]]),"")</calculatedColumnFormula>
    </tableColumn>
    <tableColumn id="20" name="موجودی واقعی"/>
    <tableColumn id="21" name="اختلاف">
      <calculatedColumnFormula>IF(OR(tblCash[[#This Row],[موجودی واقعی]]="",tblCash[[#This Row],[انتظار]]=""),"",tblCash[[#This Row],[موجودی واقعی]]-tblCash[[#This Row],[انتظار]])</calculatedColumnFormula>
    </tableColumn>
    <tableColumn id="22" name="اختلاف انباشته">
      <calculatedColumnFormula>IF(tblCash[[#This Row],[اختلاف]]="","",SUMIFS(tblCash[اختلاف],tblCash[تاریخ میلادی],"&lt;="&amp;tblCash[[#This Row],[تاریخ میلادی]]))</calculatedColumnFormula>
    </tableColumn>
    <tableColumn id="23" name="فروش کارت">
      <calculatedColumnFormula>IF(ISNUMBER(tblCash[[#This Row],[تاریخ میلادی]]),SUMIFS(tblSales[فروش خالص],tblSales[تاریخ میلادی],tblCash[[#This Row],[تاریخ میلادی]],tblSales[روش پرداخت],"کارت",tblSales[وضعیت مؤثر],"نهایی"),"")</calculatedColumnFormula>
    </tableColumn>
    <tableColumn id="24" name="انتقال یا آنلاین">
      <calculatedColumnFormula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calculatedColumnFormula>
    </tableColumn>
    <tableColumn id="25" name="نسیه">
      <calculatedColumnFormula>IF(ISNUMBER(tblCash[[#This Row],[تاریخ میلادی]]),SUMIFS(tblSales[فروش خالص],tblSales[تاریخ میلادی],tblCash[[#This Row],[تاریخ میلادی]],tblSales[روش پرداخت],"نسیه",tblSales[وضعیت مؤثر],"نهایی"),"")</calculatedColumnFormula>
    </tableColumn>
    <tableColumn id="26" name="جمع فروش روز">
      <calculatedColumnFormula>IF(ISNUMBER(tblCash[[#This Row],[تاریخ میلادی]]),SUMIFS(tblSales[فروش خالص],tblSales[تاریخ میلادی],tblCash[[#This Row],[تاریخ میلادی]],tblSales[وضعیت مؤثر],"نهایی"),"")</calculatedColumnFormula>
    </tableColumn>
    <tableColumn id="27" name="مسئول"/>
    <tableColumn id="28" name="یادداشت"/>
    <tableColumn id="29" name="تاریخ میلادی">
      <calculatedColumnFormula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  <tableColumn id="30" name="تاریخ قبلی">
      <calculatedColumnFormula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calculatedColumnFormula>
    </tableColumn>
  </tableColumns>
  <tableStyleInfo name="TableStyleLight1" showRowStripes="0"/>
</table>
</file>

<file path=xl/tables/table9.xml><?xml version="1.0" encoding="utf-8"?>
<table xmlns="http://schemas.openxmlformats.org/spreadsheetml/2006/main" id="9" name="tblAttendance" displayName="tblAttendance" ref="A5:P6" headerRowCount="1">
  <autoFilter ref="A5:P6"/>
  <tableColumns count="16">
    <tableColumn id="1" name="تاریخ"/>
    <tableColumn id="2" name="کد پرسنل"/>
    <tableColumn id="3" name="نام">
      <calculatedColumnFormula>IF(tblAttendance[[#This Row],[کد پرسنل]]="","",IFERROR(INDEX(tblStaff[نام و نام خانوادگی],MATCH(tblAttendance[[#This Row],[کد پرسنل]],tblStaff[کد پرسنل],0)),"کد نامعتبر"))</calculatedColumnFormula>
    </tableColumn>
    <tableColumn id="4" name="ساعت برنامه">
      <calculatedColumnFormula>IF(tblAttendance[[#This Row],[کد پرسنل]]="","",IFERROR(INDEX(tblStaff[ساعت روزانه],MATCH(tblAttendance[[#This Row],[کد پرسنل]],tblStaff[کد پرسنل],0)),Cfg_StdHours))</calculatedColumnFormula>
    </tableColumn>
    <tableColumn id="5" name="ورود"/>
    <tableColumn id="6" name="خروج"/>
    <tableColumn id="7" name="استراحت"/>
    <tableColumn id="8" name="ساعات کار">
      <calculatedColumnFormula>IF(OR(tblAttendance[[#This Row],[ورود]]="",tblAttendance[[#This Row],[خروج]]=""),"",MAX(0,MOD(tblAttendance[[#This Row],[خروج]]-tblAttendance[[#This Row],[ورود]],1)*24-N(tblAttendance[[#This Row],[استراحت]])))</calculatedColumnFormula>
    </tableColumn>
    <tableColumn id="9" name="عادی">
      <calculatedColumnFormula>IF(tblAttendance[[#This Row],[ساعات کار]]="","",MIN(tblAttendance[[#This Row],[ساعات کار]],tblAttendance[[#This Row],[ساعت برنامه]]))</calculatedColumnFormula>
    </tableColumn>
    <tableColumn id="10" name="اضافه‌کاری">
      <calculatedColumnFormula>IF(tblAttendance[[#This Row],[ساعات کار]]="","",MAX(tblAttendance[[#This Row],[ساعات کار]]-tblAttendance[[#This Row],[عادی]],0))</calculatedColumnFormula>
    </tableColumn>
    <tableColumn id="11" name="وضعیت"/>
    <tableColumn id="12" name="یادداشت"/>
    <tableColumn id="13" name="وضعیت مؤثر">
      <calculatedColumnFormula>IF(tblAttendance[[#This Row],[کد پرسنل]]="","",IF(tblAttendance[[#This Row],[وضعیت]]="","تایید شده",tblAttendance[[#This Row],[وضعیت]]))</calculatedColumnFormula>
    </tableColumn>
    <tableColumn id="14" name="تاریخ میلادی">
      <calculatedColumnFormula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  <tableColumn id="15" name="پیام بررسی">
      <calculatedColumnFormula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calculatedColumnFormula>
    </tableColumn>
    <tableColumn id="16" name="معتبر">
      <calculatedColumnFormula>IF(tblAttendance[[#This Row],[کد پرسنل]]="","",IF(tblAttendance[[#This Row],[پیام بررسی]]="",1,0))</calculatedColumnFormula>
    </tableColumn>
  </tableColumns>
  <tableStyleInfo name="TableStyleLight1" showRowStripes="0"/>
</table>
</file>

<file path=xl/tables/table10.xml><?xml version="1.0" encoding="utf-8"?>
<table xmlns="http://schemas.openxmlformats.org/spreadsheetml/2006/main" id="10" name="tblPayroll" displayName="tblPayroll" ref="R5:AL6" headerRowCount="1">
  <autoFilter ref="R5:AL6"/>
  <tableColumns count="21">
    <tableColumn id="18" name="ماه"/>
    <tableColumn id="19" name="کد پرسنل"/>
    <tableColumn id="20" name="نام">
      <calculatedColumnFormula>IF(tblPayroll[[#This Row],[کد پرسنل]]="","",IFERROR(INDEX(tblStaff[نام و نام خانوادگی],MATCH(tblPayroll[[#This Row],[کد پرسنل]],tblStaff[کد پرسنل],0)),"کد نامعتبر"))</calculatedColumnFormula>
    </tableColumn>
    <tableColumn id="21" name="حقوق پایه">
      <calculatedColumnFormula>IF(tblPayroll[[#This Row],[کد پرسنل]]="","",IFERROR(INDEX(tblStaff[حقوق پایه],MATCH(tblPayroll[[#This Row],[کد پرسنل]],tblStaff[کد پرسنل],0)),0))</calculatedColumnFormula>
    </tableColumn>
    <tableColumn id="22" name="روز حضور">
      <calculatedColumnFormula>IF(tblPayroll[[#This Row],[کد پرسنل]]="","",COUNTIFS(tblAttendance[کد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calculatedColumnFormula>
    </tableColumn>
    <tableColumn id="23" name="مرخصی با حقوق"/>
    <tableColumn id="24" name="ساعت عادی">
      <calculatedColumnFormula>IF(tblPayroll[[#This Row],[کد پرسنل]]="","",SUMIFS(tblAttendance[عادی],tblAttendance[کد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calculatedColumnFormula>
    </tableColumn>
    <tableColumn id="25" name="اضافه‌کاری">
      <calculatedColumnFormula>IF(tblPayroll[[#This Row],[کد پرسنل]]="","",SUMIFS(tblAttendance[اضافه‌کاری],tblAttendance[کد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calculatedColumnFormula>
    </tableColumn>
    <tableColumn id="26" name="نرخ ساعتی">
      <calculatedColumnFormula>IF(tblPayroll[[#This Row],[کد پرسنل]]="","",IFERROR(tblPayroll[[#This Row],[حقوق پایه]]/(Cfg_WorkDays*Cfg_StdHours),0))</calculatedColumnFormula>
    </tableColumn>
    <tableColumn id="27" name="مبلغ اضافه‌کاری">
      <calculatedColumnFormula>IF(tblPayroll[[#This Row],[کد پرسنل]]="","",tblPayroll[[#This Row],[اضافه‌کاری]]*tblPayroll[[#This Row],[نرخ ساعتی]]*Cfg_OT)</calculatedColumnFormula>
    </tableColumn>
    <tableColumn id="28" name="کمیسیون">
      <calculatedColumnFormula>IF(tblPayroll[[#This Row],[کد پرسنل]]="","",SUMIFS(tblSales[فروش خالص],tblSales[کد پرسنل],tblPayroll[[#This Row],[کد پرسنل]],tblSales[تاریخ میلادی],"&gt;="&amp;tblPayroll[[#This Row],[شروع ماه]],tblSales[تاریخ میلادی],"&lt;="&amp;tblPayroll[[#This Row],[پایان ماه]],tblSales[وضعیت مؤثر],"نهایی")*IFERROR(INDEX(tblStaff[درصد کمیسیون],MATCH(tblPayroll[[#This Row],[کد پرسنل]],tblStaff[کد پرسنل],0)),0))</calculatedColumnFormula>
    </tableColumn>
    <tableColumn id="29" name="پاداش"/>
    <tableColumn id="30" name="کسورات"/>
    <tableColumn id="31" name="حقوق پایه پرداختنی">
      <calculatedColumnFormula>IF(tblPayroll[[#This Row],[کد پرسنل]]="","",IFERROR(tblPayroll[[#This Row],[حقوق پایه]]*MIN(1,(tblPayroll[[#This Row],[روز حضور]]+N(tblPayroll[[#This Row],[مرخصی با حقوق]]))/Cfg_WorkDays),0))</calculatedColumnFormula>
    </tableColumn>
    <tableColumn id="32" name="حقوق نهایی">
      <calculatedColumnFormula>IF(tblPayroll[[#This Row],[کد پرسنل]]="","",tblPayroll[[#This Row],[حقوق پایه پرداختنی]]+tblPayroll[[#This Row],[مبلغ اضافه‌کاری]]+tblPayroll[[#This Row],[کمیسیون]]+N(tblPayroll[[#This Row],[پاداش]])-N(tblPayroll[[#This Row],[کسورات]]))</calculatedColumnFormula>
    </tableColumn>
    <tableColumn id="33" name="وضعیت"/>
    <tableColumn id="34" name="یادداشت"/>
    <tableColumn id="35" name="وضعیت مؤثر">
      <calculatedColumnFormula>IF(tblPayroll[[#This Row],[کد پرسنل]]="","",IF(tblPayroll[[#This Row],[وضعیت]]="","تایید شده",tblPayroll[[#This Row],[وضعیت]]))</calculatedColumnFormula>
    </tableColumn>
    <tableColumn id="36" name="شروع ماه">
      <calculatedColumnFormula>IF(tblPayroll[[#This Row],[ماه]]="",IF(tblPayroll[[#This Row],[کد پرسنل]]&lt;&gt;"","تاریخ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calculatedColumnFormula>
    </tableColumn>
    <tableColumn id="37" name="پایان ماه">
      <calculatedColumnFormula>IF(tblPayroll[[#This Row],[شروع ماه]]="","",IFERROR(INDEX(MonEnd,MATCH(tblPayroll[[#This Row],[شروع ماه]],MonStart,0)),"تاریخ نامعتبر"))</calculatedColumnFormula>
    </tableColumn>
    <tableColumn id="38" name="پیام بررسی">
      <calculatedColumnFormula>IF(tblPayroll[[#This Row],[کد پرسنل]]="","",IF(tblPayroll[[#This Row],[نام]]="کد نامعتبر","کد پرسنل نامعتبر",IF(tblPayroll[[#This Row],[شروع ماه]]="تاریخ نامعتبر","ماه نامعتبر",IF(COUNTIFS(tblPayroll[کد پرسنل],tblPayroll[[#This Row],[کد پرسنل]],tblPayroll[شروع ماه],tblPayroll[[#This Row],[شروع ماه]],tblPayroll[وضعیت مؤثر],"&lt;&gt;ابطال")&gt;1,"ردیف تکراری برای این ماه",IF(AND(tblPayroll[[#This Row],[روز حضور]]=0,N(tblPayroll[[#This Row],[مرخصی با حقوق]])=0),"بدون حضور ثبت‌شده؛ حقوق پایه صفر","")))))</calculatedColumnFormula>
    </tableColumn>
  </tableColumns>
  <tableStyleInfo name="TableStyleLight1" showRowStripes="0"/>
</table>
</file>

<file path=xl/tables/table11.xml><?xml version="1.0" encoding="utf-8"?>
<table xmlns="http://schemas.openxmlformats.org/spreadsheetml/2006/main" id="11" name="tblStaff" displayName="tblStaff" ref="A5:K10" headerRowCount="1">
  <autoFilter ref="A5:K10"/>
  <tableColumns count="11">
    <tableColumn id="1" name="کد پرسنل"/>
    <tableColumn id="2" name="نام و نام خانوادگی"/>
    <tableColumn id="3" name="سمت"/>
    <tableColumn id="4" name="موبایل"/>
    <tableColumn id="5" name="تاریخ استخدام"/>
    <tableColumn id="6" name="حقوق پایه"/>
    <tableColumn id="7" name="درصد کمیسیون"/>
    <tableColumn id="8" name="هدف فروش فردی"/>
    <tableColumn id="9" name="ساعت روزانه"/>
    <tableColumn id="10" name="فعال؟"/>
    <tableColumn id="11" name="یادداشت"/>
  </tableColumns>
  <tableStyleInfo name="TableStyleLight1" showRowStripes="0"/>
</table>
</file>

<file path=xl/tables/table12.xml><?xml version="1.0" encoding="utf-8"?>
<table xmlns="http://schemas.openxmlformats.org/spreadsheetml/2006/main" id="12" name="tblSuppliers" displayName="tblSuppliers" ref="M5:S9" headerRowCount="1">
  <autoFilter ref="M5:S9"/>
  <tableColumns count="7">
    <tableColumn id="13" name="کد تأمین‌کننده"/>
    <tableColumn id="14" name="نام تأمین‌کننده"/>
    <tableColumn id="15" name="شخص تماس"/>
    <tableColumn id="16" name="موبایل"/>
    <tableColumn id="17" name="حوزه تأمین"/>
    <tableColumn id="18" name="شرایط پرداخت"/>
    <tableColumn id="19" name="فعال؟"/>
  </tableColumns>
  <tableStyleInfo name="TableStyleLight1" showRowStripes="0"/>
</table>
</file>

<file path=xl/tables/table13.xml><?xml version="1.0" encoding="utf-8"?>
<table xmlns="http://schemas.openxmlformats.org/spreadsheetml/2006/main" id="13" name="tblSettings" displayName="tblSettings" ref="U5:W17" headerRowCount="1">
  <autoFilter ref="U5:W17"/>
  <tableColumns count="3">
    <tableColumn id="21" name="عنوان"/>
    <tableColumn id="22" name="مقدار"/>
    <tableColumn id="23" name="توضیح"/>
  </tableColumns>
  <tableStyleInfo name="TableStyleLight1" showRowStripes="0"/>
</table>
</file>

<file path=xl/tables/table14.xml><?xml version="1.0" encoding="utf-8"?>
<table xmlns="http://schemas.openxmlformats.org/spreadsheetml/2006/main" id="14" name="tblTargets" displayName="tblTargets" ref="Y5:AF6" headerRowCount="1">
  <autoFilter ref="Y5:AF6"/>
  <tableColumns count="8">
    <tableColumn id="25" name="ماه"/>
    <tableColumn id="26" name="هدف فروش"/>
    <tableColumn id="27" name="هدف سود ناخالص"/>
    <tableColumn id="28" name="هدف سود خالص"/>
    <tableColumn id="29" name="سقف بهای مواد"/>
    <tableColumn id="30" name="سقف هزینه"/>
    <tableColumn id="31" name="یادداشت"/>
    <tableColumn id="32" name="شروع ماه">
      <calculatedColumnFormula>IF(tblTargets[[#This Row],[ماه]]="",IF(tblTargets[[#This Row],[هدف فروش]]&lt;&gt;"","تاریخ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calculatedColumnFormula>
    </tableColumn>
  </tableColumns>
  <tableStyleInfo name="TableStyleLight1" showRowStripes="0"/>
</table>
</file>

<file path=xl/tables/table15.xml><?xml version="1.0" encoding="utf-8"?>
<table xmlns="http://schemas.openxmlformats.org/spreadsheetml/2006/main" id="15" name="tblListMenuCat" displayName="tblListMenuCat" ref="A5:A12" headerRowCount="1">
  <autoFilter ref="A5:A12"/>
  <tableColumns count="1">
    <tableColumn id="1" name="دسته منو"/>
  </tableColumns>
  <tableStyleInfo name="TableStyleLight1" showRowStripes="0"/>
</table>
</file>

<file path=xl/tables/table16.xml><?xml version="1.0" encoding="utf-8"?>
<table xmlns="http://schemas.openxmlformats.org/spreadsheetml/2006/main" id="16" name="tblListGroup" displayName="tblListGroup" ref="D5:D15" headerRowCount="1">
  <autoFilter ref="D5:D15"/>
  <tableColumns count="1">
    <tableColumn id="4" name="گروه مواد"/>
  </tableColumns>
  <tableStyleInfo name="TableStyleLight1" showRowStripes="0"/>
</table>
</file>

<file path=xl/tables/table17.xml><?xml version="1.0" encoding="utf-8"?>
<table xmlns="http://schemas.openxmlformats.org/spreadsheetml/2006/main" id="17" name="tblListUnit" displayName="tblListUnit" ref="G5:G10" headerRowCount="1">
  <autoFilter ref="G5:G10"/>
  <tableColumns count="1">
    <tableColumn id="7" name="واحد"/>
  </tableColumns>
  <tableStyleInfo name="TableStyleLight1" showRowStripes="0"/>
</table>
</file>

<file path=xl/tables/table18.xml><?xml version="1.0" encoding="utf-8"?>
<table xmlns="http://schemas.openxmlformats.org/spreadsheetml/2006/main" id="18" name="tblListRole" displayName="tblListRole" ref="J5:J11" headerRowCount="1">
  <autoFilter ref="J5:J11"/>
  <tableColumns count="1">
    <tableColumn id="10" name="سمت"/>
  </tableColumns>
  <tableStyleInfo name="TableStyleLight1" showRowStripes="0"/>
</table>
</file>

<file path=xl/tables/table19.xml><?xml version="1.0" encoding="utf-8"?>
<table xmlns="http://schemas.openxmlformats.org/spreadsheetml/2006/main" id="19" name="tblListExpCat" displayName="tblListExpCat" ref="M5:M14" headerRowCount="1">
  <autoFilter ref="M5:M14"/>
  <tableColumns count="1">
    <tableColumn id="13" name="دسته هزینه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Relationship Type="http://schemas.openxmlformats.org/officeDocument/2006/relationships/table" Target="/xl/tables/table13.xml" Id="rId3"/><Relationship Type="http://schemas.openxmlformats.org/officeDocument/2006/relationships/table" Target="/xl/tables/table14.xml" Id="rId4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Relationship Type="http://schemas.openxmlformats.org/officeDocument/2006/relationships/table" Target="/xl/tables/table17.xml" Id="rId3"/><Relationship Type="http://schemas.openxmlformats.org/officeDocument/2006/relationships/table" Target="/xl/tables/table18.xml" Id="rId4"/><Relationship Type="http://schemas.openxmlformats.org/officeDocument/2006/relationships/table" Target="/xl/tables/table19.xml" Id="rId5"/></Relationships>
</file>

<file path=xl/worksheets/sheet1.xml><?xml version="1.0" encoding="utf-8"?>
<worksheet xmlns="http://schemas.openxmlformats.org/spreadsheetml/2006/main">
  <sheetPr>
    <tabColor rgb="0015533E"/>
    <outlinePr summaryBelow="1" summaryRight="1"/>
    <pageSetUpPr fitToPage="1"/>
  </sheetPr>
  <dimension ref="A1:U7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9.5" customHeight="1"/>
  <cols>
    <col width="14.5" customWidth="1" min="1" max="1"/>
    <col width="14.5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14.5" customWidth="1" min="10" max="10"/>
    <col width="14.5" customWidth="1" min="11" max="11"/>
    <col width="14.5" customWidth="1" min="12" max="12"/>
    <col hidden="1" width="14.5" customWidth="1" min="13" max="13"/>
    <col hidden="1" width="14.5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30" customHeight="1">
      <c r="A1" s="1" t="inlineStr">
        <is>
          <t>داشبورد مدیریتی و گزارش‌ها</t>
        </is>
      </c>
    </row>
    <row r="2" ht="20" customHeight="1">
      <c r="A2" s="2" t="inlineStr">
        <is>
          <t>همه ارقام به هزار تومان و فقط از داده‌های «نهایی» / «تایید شده». تاریخ‌ها شمسی (مثل 1405/08/02)؛ خانه‌های زرد ردیف ۳ بازه گزارش را تعیین می‌کنند.</t>
        </is>
      </c>
    </row>
    <row r="3" ht="26" customHeight="1">
      <c r="A3" s="3" t="inlineStr">
        <is>
          <t>از تاریخ</t>
        </is>
      </c>
      <c r="B3" s="4">
        <f>IFERROR(IFERROR(INDEX(CalText,MATCH(INDEX(MonStart,MATCH(INT(INDEX(CalKey,MATCH(TODAY(),CalSerial,0))/100),MonKey,0)),CalSerial,0)),""),"")</f>
        <v/>
      </c>
      <c r="C3" s="3" t="inlineStr">
        <is>
          <t>تا تاریخ</t>
        </is>
      </c>
      <c r="D3" s="4">
        <f>IFERROR(IFERROR(INDEX(CalText,MATCH(INDEX(MonEnd,MATCH(INT(INDEX(CalKey,MATCH(TODAY(),CalSerial,0))/100),MonKey,0)),CalSerial,0)),""),"")</f>
        <v/>
      </c>
      <c r="E3" s="3" t="inlineStr">
        <is>
          <t>روز گزارش</t>
        </is>
      </c>
      <c r="F3" s="4">
        <f>IFERROR(IFERROR(INDEX(CalText,MATCH(TODAY(),CalSerial,0)),""),"")</f>
        <v/>
      </c>
      <c r="G3" s="3" t="inlineStr">
        <is>
          <t>سال گزارش</t>
        </is>
      </c>
      <c r="H3" s="4">
        <f>IFERROR(INT(INDEX(CalKey,MATCH(TODAY(),CalSerial,0))/10000),1405)</f>
        <v/>
      </c>
      <c r="I3" s="3" t="inlineStr">
        <is>
          <t>ماه‌های بازه</t>
        </is>
      </c>
      <c r="J3" s="5">
        <f>IFERROR((INT(S3/100)-INT(R3/100))*12+MOD(S3,100)-MOD(R3,100)+1,1)</f>
        <v/>
      </c>
      <c r="K3" s="6">
        <f>IF($M$3=0,"✔ داده سالم","⚠ "&amp;$M$3&amp;" مورد بررسی")</f>
        <v/>
      </c>
      <c r="M3">
        <f>COUNTIF(tblSales[نام محصول],"کد نامعتبر")+COUNTIF(tblSales[تاریخ میلادی],"تاریخ نامعتبر")+COUNTIFS(tblSales[کد محصول],"?*",tblSales[شماره فاکتور],"")+SUMPRODUCT(--(LEN(tblStockLog[پیام بررسی])&gt;0))+SUMPRODUCT(--(LEN(tblAttendance[پیام بررسی])&gt;0))+SUMPRODUCT(--(LEN(tblPayroll[پیام بررسی])&gt;0))+COUNTIF(tblRecipe[نام ماده],"کد نامعتبر")+COUNTIF(tblRecipe[نام محصول],"کد نامعتبر")+COUNTIF(tblExpenses[تاریخ میلادی],"تاریخ نامعتبر")+COUNTIF(tblCash[تاریخ میلادی],"تاریخ نامعتبر")+COUNTIF(tblTargets[شروع ماه],"تاریخ نامعتبر")+COUNTIF(tblMenu[وضعیت رسپی],"بدون رسپی")+SUMPRODUCT((tblMenu[کد محصول]&lt;&gt;"")*(COUNTIF(tblMenu[کد محصول],tblMenu[کد محصول])&gt;1)/COUNTIF(tblMenu[کد محصول],tblMenu[کد محصول]&amp;""))+SUMPRODUCT((tblIngredients[کد ماده]&lt;&gt;"")*(COUNTIF(tblIngredients[کد ماده],tblIngredients[کد ماده])&gt;1)/COUNTIF(tblIngredients[کد ماده],tblIngredients[کد ماده]&amp;""))+SUMPRODUCT((tblStaff[کد پرسنل]&lt;&gt;"")*(COUNTIF(tblStaff[کد پرسنل],tblStaff[کد پرسنل])&gt;1)/COUNTIF(tblStaff[کد پرسنل],tblStaff[کد پرسنل]&amp;""))+SUMPRODUCT((tblSuppliers[کد تأمین‌کننده]&lt;&gt;"")*(COUNTIF(tblSuppliers[کد تأمین‌کننده],tblSuppliers[کد تأمین‌کننده])&gt;1)/COUNTIF(tblSuppliers[کد تأمین‌کننده],tblSuppliers[کد تأمین‌کننده]&amp;""))+IF(Cfg_StockStartRaw="تاریخ نامعتبر",1,0)+IF(AND(ISNUMBER($O$3),ISNUMBER($P$3),ISNUMBER($Q$3)),IF($P$3&lt;$O$3,1,0),1)+IF(AND($U$3&gt;=1398,$U$3&lt;=1450),0,1)</f>
        <v/>
      </c>
      <c r="O3">
        <f>IF($B$3="",IF(TRUE,"تاریخ نامعتبر",""),IF(AND(ISNUMBER($B$3),$B$3&lt;100000),$B$3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P3">
        <f>IF($D$3="",IF(TRUE,"تاریخ نامعتبر",""),IF(AND(ISNUMBER($D$3),$D$3&lt;100000),$D$3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Q3">
        <f>IF($F$3="",IF(TRUE,"تاریخ نامعتبر",""),IF(AND(ISNUMBER($F$3),$F$3&lt;100000),$F$3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R3">
        <f>IFERROR(INT(INDEX(CalKey,MATCH(O3,CalSerial,0))/100),"")</f>
        <v/>
      </c>
      <c r="S3">
        <f>IFERROR(INT(INDEX(CalKey,MATCH(P3,CalSerial,0))/100),"")</f>
        <v/>
      </c>
      <c r="T3">
        <f>IFERROR(INDEX(MonStart,MATCH(R3,MonKey,0)),"")</f>
        <v/>
      </c>
      <c r="U3">
        <f>IFERROR(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H$3),"-","/"),".","/")," ","/"),"٫","/"),"،","/"),"۰","0"),"٠","0"),"۱","1"),"١","1"),"۲","2"),"٢","2"),"۳","3"),"٣","3"),"۴","4"),"٤","4"),"۵","5"),"٥","5"),"۶","6"),"٦","6"),"۷","7"),"٧","7"),"۸","8"),"٨","8"),"۹","9"),"٩","9")),0)</f>
        <v/>
      </c>
    </row>
    <row r="4" ht="6" customHeight="1"/>
    <row r="5">
      <c r="A5" s="7" t="inlineStr">
        <is>
          <t>فروش خالص</t>
        </is>
      </c>
      <c r="B5" s="8" t="n"/>
      <c r="C5" s="8" t="n"/>
      <c r="D5" s="7" t="inlineStr">
        <is>
          <t>سود ناخالص</t>
        </is>
      </c>
      <c r="E5" s="8" t="n"/>
      <c r="F5" s="8" t="n"/>
      <c r="G5" s="7" t="inlineStr">
        <is>
          <t>سود خالص</t>
        </is>
      </c>
      <c r="H5" s="8" t="n"/>
      <c r="I5" s="8" t="n"/>
      <c r="J5" s="7" t="inlineStr">
        <is>
          <t>تحقق هدف فروش</t>
        </is>
      </c>
      <c r="K5" s="8" t="n"/>
      <c r="L5" s="8" t="n"/>
    </row>
    <row r="6" ht="21" customHeight="1">
      <c r="A6" s="9">
        <f>C14</f>
        <v/>
      </c>
      <c r="B6" s="10" t="n"/>
      <c r="C6" s="10" t="n"/>
      <c r="D6" s="9">
        <f>C16</f>
        <v/>
      </c>
      <c r="E6" s="10" t="n"/>
      <c r="F6" s="10" t="n"/>
      <c r="G6" s="9">
        <f>C19</f>
        <v/>
      </c>
      <c r="H6" s="10" t="n"/>
      <c r="I6" s="10" t="n"/>
      <c r="J6" s="11">
        <f>IF(SUMIFS(tblTargets[هدف فروش],tblTargets[شروع ماه],"&gt;="&amp;RptMonthStart,tblTargets[شروع ماه],"&lt;="&amp;RptTo)=0,"هدف تعیین نشده",C14/SUMIFS(tblTargets[هدف فروش],tblTargets[شروع ماه],"&gt;="&amp;RptMonthStart,tblTargets[شروع ماه],"&lt;="&amp;RptTo))</f>
        <v/>
      </c>
      <c r="K6" s="10" t="n"/>
      <c r="L6" s="10" t="n"/>
    </row>
    <row r="7" ht="21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8" customHeight="1"/>
    <row r="9">
      <c r="A9" s="7" t="inlineStr">
        <is>
          <t>تعداد فاکتور</t>
        </is>
      </c>
      <c r="B9" s="8" t="n"/>
      <c r="C9" s="8" t="n"/>
      <c r="D9" s="7" t="inlineStr">
        <is>
          <t>میانگین هر فاکتور</t>
        </is>
      </c>
      <c r="E9" s="8" t="n"/>
      <c r="F9" s="8" t="n"/>
      <c r="G9" s="7" t="inlineStr">
        <is>
          <t>درصد بهای مواد</t>
        </is>
      </c>
      <c r="H9" s="8" t="n"/>
      <c r="I9" s="8" t="n"/>
      <c r="J9" s="7" t="inlineStr">
        <is>
          <t>ارزش موجودی انبار</t>
        </is>
      </c>
      <c r="K9" s="8" t="n"/>
      <c r="L9" s="8" t="n"/>
    </row>
    <row r="10" ht="21" customHeight="1">
      <c r="A10" s="12">
        <f>COUNTIFS(tblSales[تاریخ میلادی],"&gt;="&amp;RptFrom,tblSales[تاریخ میلادی],"&lt;="&amp;RptTo,tblSales[وضعیت مؤثر],"نهایی",tblSales[شروع فاکتور],1)</f>
        <v/>
      </c>
      <c r="B10" s="10" t="n"/>
      <c r="C10" s="10" t="n"/>
      <c r="D10" s="9">
        <f>IFERROR(C14/A10,0)</f>
        <v/>
      </c>
      <c r="E10" s="10" t="n"/>
      <c r="F10" s="10" t="n"/>
      <c r="G10" s="11">
        <f>C22</f>
        <v/>
      </c>
      <c r="H10" s="10" t="n"/>
      <c r="I10" s="10" t="n"/>
      <c r="J10" s="9">
        <f>SUM(tblIngredients[ارزش موجودی])</f>
        <v/>
      </c>
      <c r="K10" s="10" t="n"/>
      <c r="L10" s="10" t="n"/>
    </row>
    <row r="11" ht="21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8" customHeight="1"/>
    <row r="13">
      <c r="A13" s="13" t="inlineStr">
        <is>
          <t>صورت سود و زیان بازه انتخابی</t>
        </is>
      </c>
      <c r="B13" s="14" t="n"/>
      <c r="C13" s="14" t="n"/>
      <c r="D13" s="14" t="n"/>
      <c r="E13" s="14" t="n"/>
      <c r="F13" s="14" t="n"/>
      <c r="G13" s="13" t="inlineStr">
        <is>
          <t>گزارش روز انتخابی و صندوق</t>
        </is>
      </c>
      <c r="H13" s="14" t="n"/>
      <c r="I13" s="14" t="n"/>
      <c r="J13" s="14" t="n"/>
      <c r="K13" s="14" t="n"/>
      <c r="L13" s="14" t="n"/>
    </row>
    <row r="14">
      <c r="A14" s="15" t="inlineStr">
        <is>
          <t>فروش خالص</t>
        </is>
      </c>
      <c r="B14" s="16" t="n"/>
      <c r="C14" s="17">
        <f>SUMIFS(tblSales[فروش خالص],tblSales[تاریخ میلادی],"&gt;="&amp;RptFrom,tblSales[تاریخ میلادی],"&lt;="&amp;RptTo,tblSales[وضعیت مؤثر],"نهایی")</f>
        <v/>
      </c>
      <c r="D14" s="18" t="inlineStr">
        <is>
          <t>پس از تخفیف</t>
        </is>
      </c>
      <c r="E14" s="16" t="n"/>
      <c r="F14" s="16" t="n"/>
      <c r="G14" s="15" t="inlineStr">
        <is>
          <t>فروش خالص روز</t>
        </is>
      </c>
      <c r="H14" s="16" t="n"/>
      <c r="I14" s="17">
        <f>SUMIFS(tblSales[فروش خالص],tblSales[تاریخ میلادی],RptDay,tblSales[وضعیت مؤثر],"نهایی")</f>
        <v/>
      </c>
      <c r="J14" s="18" t="inlineStr"/>
      <c r="K14" s="16" t="n"/>
      <c r="L14" s="16" t="n"/>
    </row>
    <row r="15">
      <c r="A15" s="19" t="inlineStr">
        <is>
          <t>(−) بهای تمام‌شده</t>
        </is>
      </c>
      <c r="B15" s="16" t="n"/>
      <c r="C15" s="20">
        <f>SUMIFS(tblSales[بهای تمام‌شده],tblSales[تاریخ میلادی],"&gt;="&amp;RptFrom,tblSales[تاریخ میلادی],"&lt;="&amp;RptTo,tblSales[وضعیت مؤثر],"نهایی")</f>
        <v/>
      </c>
      <c r="D15" s="18" t="inlineStr">
        <is>
          <t>بر پایه رسپی</t>
        </is>
      </c>
      <c r="E15" s="16" t="n"/>
      <c r="F15" s="16" t="n"/>
      <c r="G15" s="19" t="inlineStr">
        <is>
          <t>تعداد فاکتور</t>
        </is>
      </c>
      <c r="H15" s="16" t="n"/>
      <c r="I15" s="21">
        <f>COUNTIFS(tblSales[تاریخ میلادی],RptDay,tblSales[وضعیت مؤثر],"نهایی",tblSales[شروع فاکتور],1)</f>
        <v/>
      </c>
      <c r="J15" s="18" t="inlineStr"/>
      <c r="K15" s="16" t="n"/>
      <c r="L15" s="16" t="n"/>
    </row>
    <row r="16">
      <c r="A16" s="15" t="inlineStr">
        <is>
          <t>سود ناخالص</t>
        </is>
      </c>
      <c r="B16" s="16" t="n"/>
      <c r="C16" s="17">
        <f>C14-C15</f>
        <v/>
      </c>
      <c r="D16" s="18" t="inlineStr"/>
      <c r="E16" s="16" t="n"/>
      <c r="F16" s="16" t="n"/>
      <c r="G16" s="19" t="inlineStr">
        <is>
          <t>سود ناخالص روز</t>
        </is>
      </c>
      <c r="H16" s="16" t="n"/>
      <c r="I16" s="20">
        <f>SUMIFS(tblSales[سود ناخالص],tblSales[تاریخ میلادی],RptDay,tblSales[وضعیت مؤثر],"نهایی")</f>
        <v/>
      </c>
      <c r="J16" s="18" t="inlineStr"/>
      <c r="K16" s="16" t="n"/>
      <c r="L16" s="16" t="n"/>
    </row>
    <row r="17">
      <c r="A17" s="19" t="inlineStr">
        <is>
          <t>(−) هزینه عملیاتی</t>
        </is>
      </c>
      <c r="B17" s="16" t="n"/>
      <c r="C17" s="20">
        <f>SUMIFS(tblExpenses[مبلغ],tblExpenses[تاریخ میلادی],"&gt;="&amp;RptFrom,tblExpenses[تاریخ میلادی],"&lt;="&amp;RptTo,tblExpenses[وضعیت مؤثر],"تایید شده",tblExpenses[دسته هزینه],"&lt;&gt;"&amp;Cfg_SalaryCat)</f>
        <v/>
      </c>
      <c r="D17" s="18" t="inlineStr">
        <is>
          <t>بدون دسته حقوق</t>
        </is>
      </c>
      <c r="E17" s="16" t="n"/>
      <c r="F17" s="16" t="n"/>
      <c r="G17" s="19" t="inlineStr">
        <is>
          <t>فروش نقدی</t>
        </is>
      </c>
      <c r="H17" s="16" t="n"/>
      <c r="I17" s="20">
        <f>SUMIFS(tblSales[فروش خالص],tblSales[تاریخ میلادی],RptDay,tblSales[وضعیت مؤثر],"نهایی",tblSales[روش پرداخت],"نقد")</f>
        <v/>
      </c>
      <c r="J17" s="18" t="inlineStr"/>
      <c r="K17" s="16" t="n"/>
      <c r="L17" s="16" t="n"/>
    </row>
    <row r="18">
      <c r="A18" s="19" t="inlineStr">
        <is>
          <t>(−) حقوق و مزایا</t>
        </is>
      </c>
      <c r="B18" s="16" t="n"/>
      <c r="C18" s="20">
        <f>SUMIFS(tblPayroll[حقوق نهایی],tblPayroll[شروع ماه],"&gt;="&amp;RptMonthStart,tblPayroll[شروع ماه],"&lt;="&amp;RptTo,tblPayroll[وضعیت مؤثر],"تایید شده")</f>
        <v/>
      </c>
      <c r="D18" s="18" t="inlineStr">
        <is>
          <t>ماه‌های بازه</t>
        </is>
      </c>
      <c r="E18" s="16" t="n"/>
      <c r="F18" s="16" t="n"/>
      <c r="G18" s="19" t="inlineStr">
        <is>
          <t>فروش کارت و انتقال</t>
        </is>
      </c>
      <c r="H18" s="16" t="n"/>
      <c r="I18" s="20">
        <f>SUMIFS(tblSales[فروش خالص],tblSales[تاریخ میلادی],RptDay,tblSales[وضعیت مؤثر],"نهایی",tblSales[روش پرداخت],"کارت")+SUMIFS(tblSales[فروش خالص],tblSales[تاریخ میلادی],RptDay,tblSales[وضعیت مؤثر],"نهایی",tblSales[روش پرداخت],"انتقال")+SUMIFS(tblSales[فروش خالص],tblSales[تاریخ میلادی],RptDay,tblSales[وضعیت مؤثر],"نهایی",tblSales[روش پرداخت],"آنلاین")</f>
        <v/>
      </c>
      <c r="J18" s="18" t="inlineStr">
        <is>
          <t>کارت + انتقال + آنلاین</t>
        </is>
      </c>
      <c r="K18" s="16" t="n"/>
      <c r="L18" s="16" t="n"/>
    </row>
    <row r="19">
      <c r="A19" s="15" t="inlineStr">
        <is>
          <t>سود خالص</t>
        </is>
      </c>
      <c r="B19" s="16" t="n"/>
      <c r="C19" s="17">
        <f>C16-C17-C18</f>
        <v/>
      </c>
      <c r="D19" s="18" t="inlineStr"/>
      <c r="E19" s="16" t="n"/>
      <c r="F19" s="16" t="n"/>
      <c r="G19" s="19" t="inlineStr">
        <is>
          <t>نسیه</t>
        </is>
      </c>
      <c r="H19" s="16" t="n"/>
      <c r="I19" s="20">
        <f>SUMIFS(tblSales[فروش خالص],tblSales[تاریخ میلادی],RptDay,tblSales[وضعیت مؤثر],"نهایی",tblSales[روش پرداخت],"نسیه")</f>
        <v/>
      </c>
      <c r="J19" s="18" t="inlineStr"/>
      <c r="K19" s="16" t="n"/>
      <c r="L19" s="16" t="n"/>
    </row>
    <row r="20">
      <c r="A20" s="19" t="inlineStr">
        <is>
          <t>حاشیه سود ناخالص</t>
        </is>
      </c>
      <c r="B20" s="16" t="n"/>
      <c r="C20" s="22">
        <f>IFERROR(C16/C14,0)</f>
        <v/>
      </c>
      <c r="D20" s="18" t="inlineStr"/>
      <c r="E20" s="16" t="n"/>
      <c r="F20" s="16" t="n"/>
      <c r="G20" s="19" t="inlineStr">
        <is>
          <t>هزینه تاییدشده روز</t>
        </is>
      </c>
      <c r="H20" s="16" t="n"/>
      <c r="I20" s="20">
        <f>SUMIFS(tblExpenses[مبلغ],tblExpenses[تاریخ میلادی],RptDay,tblExpenses[وضعیت مؤثر],"تایید شده")</f>
        <v/>
      </c>
      <c r="J20" s="18" t="inlineStr"/>
      <c r="K20" s="16" t="n"/>
      <c r="L20" s="16" t="n"/>
    </row>
    <row r="21">
      <c r="A21" s="19" t="inlineStr">
        <is>
          <t>حاشیه سود خالص</t>
        </is>
      </c>
      <c r="B21" s="16" t="n"/>
      <c r="C21" s="22">
        <f>IFERROR(C19/C14,0)</f>
        <v/>
      </c>
      <c r="D21" s="18" t="inlineStr"/>
      <c r="E21" s="16" t="n"/>
      <c r="F21" s="16" t="n"/>
      <c r="G21" s="19" t="inlineStr">
        <is>
          <t>انتظار صندوق</t>
        </is>
      </c>
      <c r="H21" s="16" t="n"/>
      <c r="I21" s="20">
        <f>IFERROR(INDEX(tblCash[انتظار],MATCH(RptDay,tblCash[تاریخ میلادی],0)),"ثبت نشده")</f>
        <v/>
      </c>
      <c r="J21" s="18" t="inlineStr">
        <is>
          <t>از جدول صندوق</t>
        </is>
      </c>
      <c r="K21" s="16" t="n"/>
      <c r="L21" s="16" t="n"/>
    </row>
    <row r="22">
      <c r="A22" s="19" t="inlineStr">
        <is>
          <t>درصد بهای مواد</t>
        </is>
      </c>
      <c r="B22" s="16" t="n"/>
      <c r="C22" s="22">
        <f>IFERROR(C15/C14,0)</f>
        <v/>
      </c>
      <c r="D22" s="18" t="inlineStr">
        <is>
          <t>سقف هدف در پایه‌ها</t>
        </is>
      </c>
      <c r="E22" s="16" t="n"/>
      <c r="F22" s="16" t="n"/>
      <c r="G22" s="15" t="inlineStr">
        <is>
          <t>اختلاف صندوق</t>
        </is>
      </c>
      <c r="H22" s="16" t="n"/>
      <c r="I22" s="17">
        <f>IFERROR(INDEX(tblCash[اختلاف],MATCH(RptDay,tblCash[تاریخ میلادی],0)),"ثبت نشده")</f>
        <v/>
      </c>
      <c r="J22" s="18" t="inlineStr">
        <is>
          <t>موجودی واقعی − انتظار</t>
        </is>
      </c>
      <c r="K22" s="16" t="n"/>
      <c r="L22" s="16" t="n"/>
    </row>
    <row r="23">
      <c r="A23" s="19" t="inlineStr">
        <is>
          <t>سهم هزینه و حقوق</t>
        </is>
      </c>
      <c r="B23" s="16" t="n"/>
      <c r="C23" s="22">
        <f>IFERROR((C17+C18)/C14,0)</f>
        <v/>
      </c>
      <c r="D23" s="18" t="inlineStr"/>
      <c r="E23" s="16" t="n"/>
      <c r="F23" s="16" t="n"/>
      <c r="G23" s="15" t="inlineStr">
        <is>
          <t>اختلاف انباشته</t>
        </is>
      </c>
      <c r="H23" s="16" t="n"/>
      <c r="I23" s="17">
        <f>IFERROR(INDEX(tblCash[اختلاف انباشته],MATCH(RptDay,tblCash[تاریخ میلادی],0)),"ثبت نشده")</f>
        <v/>
      </c>
      <c r="J23" s="18" t="inlineStr">
        <is>
          <t>مجموع تا این روز</t>
        </is>
      </c>
      <c r="K23" s="16" t="n"/>
      <c r="L23" s="16" t="n"/>
    </row>
    <row r="25">
      <c r="A25" s="13" t="inlineStr">
        <is>
          <t>فروش روزانه (۳۱ روز از ابتدای بازه)</t>
        </is>
      </c>
      <c r="B25" s="14" t="n"/>
      <c r="C25" s="14" t="n"/>
      <c r="D25" s="14" t="n"/>
      <c r="E25" s="14" t="n"/>
      <c r="F25" s="14" t="n"/>
      <c r="G25" s="13" t="inlineStr">
        <is>
          <t>فروش بر اساس دسته</t>
        </is>
      </c>
      <c r="H25" s="14" t="n"/>
      <c r="I25" s="14" t="n"/>
      <c r="J25" s="14" t="n"/>
      <c r="K25" s="14" t="n"/>
      <c r="L25" s="14" t="n"/>
    </row>
    <row r="42">
      <c r="A42" s="13">
        <f>"هشدار موجودی ("&amp;COUNT(tblIngredients[ردیف هشدار])&amp;" قلم؛ ۱۰ مورد اول نمایش داده می‌شود)"</f>
        <v/>
      </c>
      <c r="B42" s="14" t="n"/>
      <c r="C42" s="14" t="n"/>
      <c r="D42" s="14" t="n"/>
      <c r="E42" s="14" t="n"/>
      <c r="F42" s="14" t="n"/>
      <c r="G42" s="13" t="inlineStr">
        <is>
          <t>عملکرد پرسنل در بازه انتخابی</t>
        </is>
      </c>
      <c r="H42" s="14" t="n"/>
      <c r="I42" s="14" t="n"/>
      <c r="J42" s="14" t="n"/>
      <c r="K42" s="14" t="n"/>
      <c r="L42" s="14" t="n"/>
    </row>
    <row r="43">
      <c r="A43" s="23" t="inlineStr">
        <is>
          <t>کد</t>
        </is>
      </c>
      <c r="B43" s="23" t="inlineStr">
        <is>
          <t>نام ماده</t>
        </is>
      </c>
      <c r="C43" s="24" t="n"/>
      <c r="D43" s="23" t="inlineStr">
        <is>
          <t>موجودی</t>
        </is>
      </c>
      <c r="E43" s="23" t="inlineStr">
        <is>
          <t>حد سفارش</t>
        </is>
      </c>
      <c r="F43" s="23" t="inlineStr">
        <is>
          <t>وضعیت</t>
        </is>
      </c>
      <c r="G43" s="23" t="inlineStr">
        <is>
          <t>نام</t>
        </is>
      </c>
      <c r="H43" s="24" t="n"/>
      <c r="I43" s="23" t="inlineStr">
        <is>
          <t>فروش خالص</t>
        </is>
      </c>
      <c r="J43" s="23" t="inlineStr">
        <is>
          <t>ساعت کار</t>
        </is>
      </c>
      <c r="K43" s="23" t="inlineStr">
        <is>
          <t>اضافه‌کاری</t>
        </is>
      </c>
      <c r="L43" s="23" t="inlineStr">
        <is>
          <t>تحقق هدف</t>
        </is>
      </c>
    </row>
    <row r="44">
      <c r="A44" s="25">
        <f>IF($M44="","",INDEX(tblIngredients[کد ماده],$M44))</f>
        <v/>
      </c>
      <c r="B44" s="26">
        <f>IF($M44="","",INDEX(tblIngredients[نام ماده],$M44))</f>
        <v/>
      </c>
      <c r="C44" s="25" t="n"/>
      <c r="D44" s="27">
        <f>IF($M44="","",INDEX(tblIngredients[موجودی فعلی],$M44))</f>
        <v/>
      </c>
      <c r="E44" s="28">
        <f>IF($M44="","",INDEX(tblIngredients[حد سفارش],$M44))</f>
        <v/>
      </c>
      <c r="F44" s="25">
        <f>IF($M44="","",INDEX(tblIngredients[وضعیت],$M44))</f>
        <v/>
      </c>
      <c r="G44" s="26">
        <f>IF($N44="","",IFERROR(INDEX(tblStaff[نام و نام خانوادگی],MATCH($N44,tblStaff[کد پرسنل],0)),""))</f>
        <v/>
      </c>
      <c r="H44" s="25" t="n"/>
      <c r="I44" s="29">
        <f>IF($N44="","",SUMIFS(tblSales[فروش خالص],tblSales[کد پرسنل],$N44,tblSales[تاریخ میلادی],"&gt;="&amp;RptFrom,tblSales[تاریخ میلادی],"&lt;="&amp;RptTo,tblSales[وضعیت مؤثر],"نهایی"))</f>
        <v/>
      </c>
      <c r="J44" s="30">
        <f>IF($N44="","",SUMIFS(tblAttendance[ساعات کار],tblAttendance[کد پرسنل],$N44,tblAttendance[تاریخ میلادی],"&gt;="&amp;RptFrom,tblAttendance[تاریخ میلادی],"&lt;="&amp;RptTo,tblAttendance[وضعیت مؤثر],"تایید شده",tblAttendance[معتبر],1))</f>
        <v/>
      </c>
      <c r="K44" s="30">
        <f>IF($N44="","",SUMIFS(tblAttendance[اضافه‌کاری],tblAttendance[کد پرسنل],$N44,tblAttendance[تاریخ میلادی],"&gt;="&amp;RptFrom,tblAttendance[تاریخ میلادی],"&lt;="&amp;RptTo,tblAttendance[وضعیت مؤثر],"تایید شده",tblAttendance[معتبر],1))</f>
        <v/>
      </c>
      <c r="L44" s="31">
        <f>IF($N44="","",IF(N(IFERROR(INDEX(tblStaff[هدف فروش فردی],MATCH($N44,tblStaff[کد پرسنل],0)),0))=0,"",I44/(IFERROR(INDEX(tblStaff[هدف فروش فردی],MATCH($N44,tblStaff[کد پرسنل],0)),0)*RptMonths)))</f>
        <v/>
      </c>
      <c r="M44">
        <f>IFERROR(MATCH(ROWS($M$44:M44),tblIngredients[ردیف هشدار],0),"")</f>
        <v/>
      </c>
      <c r="N44">
        <f>IFERROR(INDEX(tblStaff[کد پرسنل],ROWS($N$44:N44))&amp;"","")</f>
        <v/>
      </c>
    </row>
    <row r="45">
      <c r="A45" s="25">
        <f>IF($M45="","",INDEX(tblIngredients[کد ماده],$M45))</f>
        <v/>
      </c>
      <c r="B45" s="26">
        <f>IF($M45="","",INDEX(tblIngredients[نام ماده],$M45))</f>
        <v/>
      </c>
      <c r="C45" s="25" t="n"/>
      <c r="D45" s="27">
        <f>IF($M45="","",INDEX(tblIngredients[موجودی فعلی],$M45))</f>
        <v/>
      </c>
      <c r="E45" s="28">
        <f>IF($M45="","",INDEX(tblIngredients[حد سفارش],$M45))</f>
        <v/>
      </c>
      <c r="F45" s="25">
        <f>IF($M45="","",INDEX(tblIngredients[وضعیت],$M45))</f>
        <v/>
      </c>
      <c r="G45" s="26">
        <f>IF($N45="","",IFERROR(INDEX(tblStaff[نام و نام خانوادگی],MATCH($N45,tblStaff[کد پرسنل],0)),""))</f>
        <v/>
      </c>
      <c r="H45" s="25" t="n"/>
      <c r="I45" s="29">
        <f>IF($N45="","",SUMIFS(tblSales[فروش خالص],tblSales[کد پرسنل],$N45,tblSales[تاریخ میلادی],"&gt;="&amp;RptFrom,tblSales[تاریخ میلادی],"&lt;="&amp;RptTo,tblSales[وضعیت مؤثر],"نهایی"))</f>
        <v/>
      </c>
      <c r="J45" s="30">
        <f>IF($N45="","",SUMIFS(tblAttendance[ساعات کار],tblAttendance[کد پرسنل],$N45,tblAttendance[تاریخ میلادی],"&gt;="&amp;RptFrom,tblAttendance[تاریخ میلادی],"&lt;="&amp;RptTo,tblAttendance[وضعیت مؤثر],"تایید شده",tblAttendance[معتبر],1))</f>
        <v/>
      </c>
      <c r="K45" s="30">
        <f>IF($N45="","",SUMIFS(tblAttendance[اضافه‌کاری],tblAttendance[کد پرسنل],$N45,tblAttendance[تاریخ میلادی],"&gt;="&amp;RptFrom,tblAttendance[تاریخ میلادی],"&lt;="&amp;RptTo,tblAttendance[وضعیت مؤثر],"تایید شده",tblAttendance[معتبر],1))</f>
        <v/>
      </c>
      <c r="L45" s="31">
        <f>IF($N45="","",IF(N(IFERROR(INDEX(tblStaff[هدف فروش فردی],MATCH($N45,tblStaff[کد پرسنل],0)),0))=0,"",I45/(IFERROR(INDEX(tblStaff[هدف فروش فردی],MATCH($N45,tblStaff[کد پرسنل],0)),0)*RptMonths)))</f>
        <v/>
      </c>
      <c r="M45">
        <f>IFERROR(MATCH(ROWS($M$44:M45),tblIngredients[ردیف هشدار],0),"")</f>
        <v/>
      </c>
      <c r="N45">
        <f>IFERROR(INDEX(tblStaff[کد پرسنل],ROWS($N$44:N45))&amp;"","")</f>
        <v/>
      </c>
    </row>
    <row r="46">
      <c r="A46" s="25">
        <f>IF($M46="","",INDEX(tblIngredients[کد ماده],$M46))</f>
        <v/>
      </c>
      <c r="B46" s="26">
        <f>IF($M46="","",INDEX(tblIngredients[نام ماده],$M46))</f>
        <v/>
      </c>
      <c r="C46" s="25" t="n"/>
      <c r="D46" s="27">
        <f>IF($M46="","",INDEX(tblIngredients[موجودی فعلی],$M46))</f>
        <v/>
      </c>
      <c r="E46" s="28">
        <f>IF($M46="","",INDEX(tblIngredients[حد سفارش],$M46))</f>
        <v/>
      </c>
      <c r="F46" s="25">
        <f>IF($M46="","",INDEX(tblIngredients[وضعیت],$M46))</f>
        <v/>
      </c>
      <c r="G46" s="26">
        <f>IF($N46="","",IFERROR(INDEX(tblStaff[نام و نام خانوادگی],MATCH($N46,tblStaff[کد پرسنل],0)),""))</f>
        <v/>
      </c>
      <c r="H46" s="25" t="n"/>
      <c r="I46" s="29">
        <f>IF($N46="","",SUMIFS(tblSales[فروش خالص],tblSales[کد پرسنل],$N46,tblSales[تاریخ میلادی],"&gt;="&amp;RptFrom,tblSales[تاریخ میلادی],"&lt;="&amp;RptTo,tblSales[وضعیت مؤثر],"نهایی"))</f>
        <v/>
      </c>
      <c r="J46" s="30">
        <f>IF($N46="","",SUMIFS(tblAttendance[ساعات کار],tblAttendance[کد پرسنل],$N46,tblAttendance[تاریخ میلادی],"&gt;="&amp;RptFrom,tblAttendance[تاریخ میلادی],"&lt;="&amp;RptTo,tblAttendance[وضعیت مؤثر],"تایید شده",tblAttendance[معتبر],1))</f>
        <v/>
      </c>
      <c r="K46" s="30">
        <f>IF($N46="","",SUMIFS(tblAttendance[اضافه‌کاری],tblAttendance[کد پرسنل],$N46,tblAttendance[تاریخ میلادی],"&gt;="&amp;RptFrom,tblAttendance[تاریخ میلادی],"&lt;="&amp;RptTo,tblAttendance[وضعیت مؤثر],"تایید شده",tblAttendance[معتبر],1))</f>
        <v/>
      </c>
      <c r="L46" s="31">
        <f>IF($N46="","",IF(N(IFERROR(INDEX(tblStaff[هدف فروش فردی],MATCH($N46,tblStaff[کد پرسنل],0)),0))=0,"",I46/(IFERROR(INDEX(tblStaff[هدف فروش فردی],MATCH($N46,tblStaff[کد پرسنل],0)),0)*RptMonths)))</f>
        <v/>
      </c>
      <c r="M46">
        <f>IFERROR(MATCH(ROWS($M$44:M46),tblIngredients[ردیف هشدار],0),"")</f>
        <v/>
      </c>
      <c r="N46">
        <f>IFERROR(INDEX(tblStaff[کد پرسنل],ROWS($N$44:N46))&amp;"","")</f>
        <v/>
      </c>
    </row>
    <row r="47">
      <c r="A47" s="25">
        <f>IF($M47="","",INDEX(tblIngredients[کد ماده],$M47))</f>
        <v/>
      </c>
      <c r="B47" s="26">
        <f>IF($M47="","",INDEX(tblIngredients[نام ماده],$M47))</f>
        <v/>
      </c>
      <c r="C47" s="25" t="n"/>
      <c r="D47" s="27">
        <f>IF($M47="","",INDEX(tblIngredients[موجودی فعلی],$M47))</f>
        <v/>
      </c>
      <c r="E47" s="28">
        <f>IF($M47="","",INDEX(tblIngredients[حد سفارش],$M47))</f>
        <v/>
      </c>
      <c r="F47" s="25">
        <f>IF($M47="","",INDEX(tblIngredients[وضعیت],$M47))</f>
        <v/>
      </c>
      <c r="G47" s="26">
        <f>IF($N47="","",IFERROR(INDEX(tblStaff[نام و نام خانوادگی],MATCH($N47,tblStaff[کد پرسنل],0)),""))</f>
        <v/>
      </c>
      <c r="H47" s="25" t="n"/>
      <c r="I47" s="29">
        <f>IF($N47="","",SUMIFS(tblSales[فروش خالص],tblSales[کد پرسنل],$N47,tblSales[تاریخ میلادی],"&gt;="&amp;RptFrom,tblSales[تاریخ میلادی],"&lt;="&amp;RptTo,tblSales[وضعیت مؤثر],"نهایی"))</f>
        <v/>
      </c>
      <c r="J47" s="30">
        <f>IF($N47="","",SUMIFS(tblAttendance[ساعات کار],tblAttendance[کد پرسنل],$N47,tblAttendance[تاریخ میلادی],"&gt;="&amp;RptFrom,tblAttendance[تاریخ میلادی],"&lt;="&amp;RptTo,tblAttendance[وضعیت مؤثر],"تایید شده",tblAttendance[معتبر],1))</f>
        <v/>
      </c>
      <c r="K47" s="30">
        <f>IF($N47="","",SUMIFS(tblAttendance[اضافه‌کاری],tblAttendance[کد پرسنل],$N47,tblAttendance[تاریخ میلادی],"&gt;="&amp;RptFrom,tblAttendance[تاریخ میلادی],"&lt;="&amp;RptTo,tblAttendance[وضعیت مؤثر],"تایید شده",tblAttendance[معتبر],1))</f>
        <v/>
      </c>
      <c r="L47" s="31">
        <f>IF($N47="","",IF(N(IFERROR(INDEX(tblStaff[هدف فروش فردی],MATCH($N47,tblStaff[کد پرسنل],0)),0))=0,"",I47/(IFERROR(INDEX(tblStaff[هدف فروش فردی],MATCH($N47,tblStaff[کد پرسنل],0)),0)*RptMonths)))</f>
        <v/>
      </c>
      <c r="M47">
        <f>IFERROR(MATCH(ROWS($M$44:M47),tblIngredients[ردیف هشدار],0),"")</f>
        <v/>
      </c>
      <c r="N47">
        <f>IFERROR(INDEX(tblStaff[کد پرسنل],ROWS($N$44:N47))&amp;"","")</f>
        <v/>
      </c>
    </row>
    <row r="48">
      <c r="A48" s="25">
        <f>IF($M48="","",INDEX(tblIngredients[کد ماده],$M48))</f>
        <v/>
      </c>
      <c r="B48" s="26">
        <f>IF($M48="","",INDEX(tblIngredients[نام ماده],$M48))</f>
        <v/>
      </c>
      <c r="C48" s="25" t="n"/>
      <c r="D48" s="27">
        <f>IF($M48="","",INDEX(tblIngredients[موجودی فعلی],$M48))</f>
        <v/>
      </c>
      <c r="E48" s="28">
        <f>IF($M48="","",INDEX(tblIngredients[حد سفارش],$M48))</f>
        <v/>
      </c>
      <c r="F48" s="25">
        <f>IF($M48="","",INDEX(tblIngredients[وضعیت],$M48))</f>
        <v/>
      </c>
      <c r="G48" s="26">
        <f>IF($N48="","",IFERROR(INDEX(tblStaff[نام و نام خانوادگی],MATCH($N48,tblStaff[کد پرسنل],0)),""))</f>
        <v/>
      </c>
      <c r="H48" s="25" t="n"/>
      <c r="I48" s="29">
        <f>IF($N48="","",SUMIFS(tblSales[فروش خالص],tblSales[کد پرسنل],$N48,tblSales[تاریخ میلادی],"&gt;="&amp;RptFrom,tblSales[تاریخ میلادی],"&lt;="&amp;RptTo,tblSales[وضعیت مؤثر],"نهایی"))</f>
        <v/>
      </c>
      <c r="J48" s="30">
        <f>IF($N48="","",SUMIFS(tblAttendance[ساعات کار],tblAttendance[کد پرسنل],$N48,tblAttendance[تاریخ میلادی],"&gt;="&amp;RptFrom,tblAttendance[تاریخ میلادی],"&lt;="&amp;RptTo,tblAttendance[وضعیت مؤثر],"تایید شده",tblAttendance[معتبر],1))</f>
        <v/>
      </c>
      <c r="K48" s="30">
        <f>IF($N48="","",SUMIFS(tblAttendance[اضافه‌کاری],tblAttendance[کد پرسنل],$N48,tblAttendance[تاریخ میلادی],"&gt;="&amp;RptFrom,tblAttendance[تاریخ میلادی],"&lt;="&amp;RptTo,tblAttendance[وضعیت مؤثر],"تایید شده",tblAttendance[معتبر],1))</f>
        <v/>
      </c>
      <c r="L48" s="31">
        <f>IF($N48="","",IF(N(IFERROR(INDEX(tblStaff[هدف فروش فردی],MATCH($N48,tblStaff[کد پرسنل],0)),0))=0,"",I48/(IFERROR(INDEX(tblStaff[هدف فروش فردی],MATCH($N48,tblStaff[کد پرسنل],0)),0)*RptMonths)))</f>
        <v/>
      </c>
      <c r="M48">
        <f>IFERROR(MATCH(ROWS($M$44:M48),tblIngredients[ردیف هشدار],0),"")</f>
        <v/>
      </c>
      <c r="N48">
        <f>IFERROR(INDEX(tblStaff[کد پرسنل],ROWS($N$44:N48))&amp;"","")</f>
        <v/>
      </c>
    </row>
    <row r="49">
      <c r="A49" s="25">
        <f>IF($M49="","",INDEX(tblIngredients[کد ماده],$M49))</f>
        <v/>
      </c>
      <c r="B49" s="26">
        <f>IF($M49="","",INDEX(tblIngredients[نام ماده],$M49))</f>
        <v/>
      </c>
      <c r="C49" s="25" t="n"/>
      <c r="D49" s="27">
        <f>IF($M49="","",INDEX(tblIngredients[موجودی فعلی],$M49))</f>
        <v/>
      </c>
      <c r="E49" s="28">
        <f>IF($M49="","",INDEX(tblIngredients[حد سفارش],$M49))</f>
        <v/>
      </c>
      <c r="F49" s="25">
        <f>IF($M49="","",INDEX(tblIngredients[وضعیت],$M49))</f>
        <v/>
      </c>
      <c r="G49" s="26">
        <f>IF($N49="","",IFERROR(INDEX(tblStaff[نام و نام خانوادگی],MATCH($N49,tblStaff[کد پرسنل],0)),""))</f>
        <v/>
      </c>
      <c r="H49" s="25" t="n"/>
      <c r="I49" s="29">
        <f>IF($N49="","",SUMIFS(tblSales[فروش خالص],tblSales[کد پرسنل],$N49,tblSales[تاریخ میلادی],"&gt;="&amp;RptFrom,tblSales[تاریخ میلادی],"&lt;="&amp;RptTo,tblSales[وضعیت مؤثر],"نهایی"))</f>
        <v/>
      </c>
      <c r="J49" s="30">
        <f>IF($N49="","",SUMIFS(tblAttendance[ساعات کار],tblAttendance[کد پرسنل],$N49,tblAttendance[تاریخ میلادی],"&gt;="&amp;RptFrom,tblAttendance[تاریخ میلادی],"&lt;="&amp;RptTo,tblAttendance[وضعیت مؤثر],"تایید شده",tblAttendance[معتبر],1))</f>
        <v/>
      </c>
      <c r="K49" s="30">
        <f>IF($N49="","",SUMIFS(tblAttendance[اضافه‌کاری],tblAttendance[کد پرسنل],$N49,tblAttendance[تاریخ میلادی],"&gt;="&amp;RptFrom,tblAttendance[تاریخ میلادی],"&lt;="&amp;RptTo,tblAttendance[وضعیت مؤثر],"تایید شده",tblAttendance[معتبر],1))</f>
        <v/>
      </c>
      <c r="L49" s="31">
        <f>IF($N49="","",IF(N(IFERROR(INDEX(tblStaff[هدف فروش فردی],MATCH($N49,tblStaff[کد پرسنل],0)),0))=0,"",I49/(IFERROR(INDEX(tblStaff[هدف فروش فردی],MATCH($N49,tblStaff[کد پرسنل],0)),0)*RptMonths)))</f>
        <v/>
      </c>
      <c r="M49">
        <f>IFERROR(MATCH(ROWS($M$44:M49),tblIngredients[ردیف هشدار],0),"")</f>
        <v/>
      </c>
      <c r="N49">
        <f>IFERROR(INDEX(tblStaff[کد پرسنل],ROWS($N$44:N49))&amp;"","")</f>
        <v/>
      </c>
    </row>
    <row r="50">
      <c r="A50" s="25">
        <f>IF($M50="","",INDEX(tblIngredients[کد ماده],$M50))</f>
        <v/>
      </c>
      <c r="B50" s="26">
        <f>IF($M50="","",INDEX(tblIngredients[نام ماده],$M50))</f>
        <v/>
      </c>
      <c r="C50" s="25" t="n"/>
      <c r="D50" s="27">
        <f>IF($M50="","",INDEX(tblIngredients[موجودی فعلی],$M50))</f>
        <v/>
      </c>
      <c r="E50" s="28">
        <f>IF($M50="","",INDEX(tblIngredients[حد سفارش],$M50))</f>
        <v/>
      </c>
      <c r="F50" s="25">
        <f>IF($M50="","",INDEX(tblIngredients[وضعیت],$M50))</f>
        <v/>
      </c>
      <c r="G50" s="26">
        <f>IF($N50="","",IFERROR(INDEX(tblStaff[نام و نام خانوادگی],MATCH($N50,tblStaff[کد پرسنل],0)),""))</f>
        <v/>
      </c>
      <c r="H50" s="25" t="n"/>
      <c r="I50" s="29">
        <f>IF($N50="","",SUMIFS(tblSales[فروش خالص],tblSales[کد پرسنل],$N50,tblSales[تاریخ میلادی],"&gt;="&amp;RptFrom,tblSales[تاریخ میلادی],"&lt;="&amp;RptTo,tblSales[وضعیت مؤثر],"نهایی"))</f>
        <v/>
      </c>
      <c r="J50" s="30">
        <f>IF($N50="","",SUMIFS(tblAttendance[ساعات کار],tblAttendance[کد پرسنل],$N50,tblAttendance[تاریخ میلادی],"&gt;="&amp;RptFrom,tblAttendance[تاریخ میلادی],"&lt;="&amp;RptTo,tblAttendance[وضعیت مؤثر],"تایید شده",tblAttendance[معتبر],1))</f>
        <v/>
      </c>
      <c r="K50" s="30">
        <f>IF($N50="","",SUMIFS(tblAttendance[اضافه‌کاری],tblAttendance[کد پرسنل],$N50,tblAttendance[تاریخ میلادی],"&gt;="&amp;RptFrom,tblAttendance[تاریخ میلادی],"&lt;="&amp;RptTo,tblAttendance[وضعیت مؤثر],"تایید شده",tblAttendance[معتبر],1))</f>
        <v/>
      </c>
      <c r="L50" s="31">
        <f>IF($N50="","",IF(N(IFERROR(INDEX(tblStaff[هدف فروش فردی],MATCH($N50,tblStaff[کد پرسنل],0)),0))=0,"",I50/(IFERROR(INDEX(tblStaff[هدف فروش فردی],MATCH($N50,tblStaff[کد پرسنل],0)),0)*RptMonths)))</f>
        <v/>
      </c>
      <c r="M50">
        <f>IFERROR(MATCH(ROWS($M$44:M50),tblIngredients[ردیف هشدار],0),"")</f>
        <v/>
      </c>
      <c r="N50">
        <f>IFERROR(INDEX(tblStaff[کد پرسنل],ROWS($N$44:N50))&amp;"","")</f>
        <v/>
      </c>
    </row>
    <row r="51">
      <c r="A51" s="25">
        <f>IF($M51="","",INDEX(tblIngredients[کد ماده],$M51))</f>
        <v/>
      </c>
      <c r="B51" s="26">
        <f>IF($M51="","",INDEX(tblIngredients[نام ماده],$M51))</f>
        <v/>
      </c>
      <c r="C51" s="25" t="n"/>
      <c r="D51" s="27">
        <f>IF($M51="","",INDEX(tblIngredients[موجودی فعلی],$M51))</f>
        <v/>
      </c>
      <c r="E51" s="28">
        <f>IF($M51="","",INDEX(tblIngredients[حد سفارش],$M51))</f>
        <v/>
      </c>
      <c r="F51" s="25">
        <f>IF($M51="","",INDEX(tblIngredients[وضعیت],$M51))</f>
        <v/>
      </c>
      <c r="G51" s="26">
        <f>IF($N51="","",IFERROR(INDEX(tblStaff[نام و نام خانوادگی],MATCH($N51,tblStaff[کد پرسنل],0)),""))</f>
        <v/>
      </c>
      <c r="H51" s="25" t="n"/>
      <c r="I51" s="29">
        <f>IF($N51="","",SUMIFS(tblSales[فروش خالص],tblSales[کد پرسنل],$N51,tblSales[تاریخ میلادی],"&gt;="&amp;RptFrom,tblSales[تاریخ میلادی],"&lt;="&amp;RptTo,tblSales[وضعیت مؤثر],"نهایی"))</f>
        <v/>
      </c>
      <c r="J51" s="30">
        <f>IF($N51="","",SUMIFS(tblAttendance[ساعات کار],tblAttendance[کد پرسنل],$N51,tblAttendance[تاریخ میلادی],"&gt;="&amp;RptFrom,tblAttendance[تاریخ میلادی],"&lt;="&amp;RptTo,tblAttendance[وضعیت مؤثر],"تایید شده",tblAttendance[معتبر],1))</f>
        <v/>
      </c>
      <c r="K51" s="30">
        <f>IF($N51="","",SUMIFS(tblAttendance[اضافه‌کاری],tblAttendance[کد پرسنل],$N51,tblAttendance[تاریخ میلادی],"&gt;="&amp;RptFrom,tblAttendance[تاریخ میلادی],"&lt;="&amp;RptTo,tblAttendance[وضعیت مؤثر],"تایید شده",tblAttendance[معتبر],1))</f>
        <v/>
      </c>
      <c r="L51" s="31">
        <f>IF($N51="","",IF(N(IFERROR(INDEX(tblStaff[هدف فروش فردی],MATCH($N51,tblStaff[کد پرسنل],0)),0))=0,"",I51/(IFERROR(INDEX(tblStaff[هدف فروش فردی],MATCH($N51,tblStaff[کد پرسنل],0)),0)*RptMonths)))</f>
        <v/>
      </c>
      <c r="M51">
        <f>IFERROR(MATCH(ROWS($M$44:M51),tblIngredients[ردیف هشدار],0),"")</f>
        <v/>
      </c>
      <c r="N51">
        <f>IFERROR(INDEX(tblStaff[کد پرسنل],ROWS($N$44:N51))&amp;"","")</f>
        <v/>
      </c>
    </row>
    <row r="52">
      <c r="A52" s="25">
        <f>IF($M52="","",INDEX(tblIngredients[کد ماده],$M52))</f>
        <v/>
      </c>
      <c r="B52" s="26">
        <f>IF($M52="","",INDEX(tblIngredients[نام ماده],$M52))</f>
        <v/>
      </c>
      <c r="C52" s="25" t="n"/>
      <c r="D52" s="27">
        <f>IF($M52="","",INDEX(tblIngredients[موجودی فعلی],$M52))</f>
        <v/>
      </c>
      <c r="E52" s="28">
        <f>IF($M52="","",INDEX(tblIngredients[حد سفارش],$M52))</f>
        <v/>
      </c>
      <c r="F52" s="25">
        <f>IF($M52="","",INDEX(tblIngredients[وضعیت],$M52))</f>
        <v/>
      </c>
      <c r="G52" s="26">
        <f>IF($N52="","",IFERROR(INDEX(tblStaff[نام و نام خانوادگی],MATCH($N52,tblStaff[کد پرسنل],0)),""))</f>
        <v/>
      </c>
      <c r="H52" s="25" t="n"/>
      <c r="I52" s="29">
        <f>IF($N52="","",SUMIFS(tblSales[فروش خالص],tblSales[کد پرسنل],$N52,tblSales[تاریخ میلادی],"&gt;="&amp;RptFrom,tblSales[تاریخ میلادی],"&lt;="&amp;RptTo,tblSales[وضعیت مؤثر],"نهایی"))</f>
        <v/>
      </c>
      <c r="J52" s="30">
        <f>IF($N52="","",SUMIFS(tblAttendance[ساعات کار],tblAttendance[کد پرسنل],$N52,tblAttendance[تاریخ میلادی],"&gt;="&amp;RptFrom,tblAttendance[تاریخ میلادی],"&lt;="&amp;RptTo,tblAttendance[وضعیت مؤثر],"تایید شده",tblAttendance[معتبر],1))</f>
        <v/>
      </c>
      <c r="K52" s="30">
        <f>IF($N52="","",SUMIFS(tblAttendance[اضافه‌کاری],tblAttendance[کد پرسنل],$N52,tblAttendance[تاریخ میلادی],"&gt;="&amp;RptFrom,tblAttendance[تاریخ میلادی],"&lt;="&amp;RptTo,tblAttendance[وضعیت مؤثر],"تایید شده",tblAttendance[معتبر],1))</f>
        <v/>
      </c>
      <c r="L52" s="31">
        <f>IF($N52="","",IF(N(IFERROR(INDEX(tblStaff[هدف فروش فردی],MATCH($N52,tblStaff[کد پرسنل],0)),0))=0,"",I52/(IFERROR(INDEX(tblStaff[هدف فروش فردی],MATCH($N52,tblStaff[کد پرسنل],0)),0)*RptMonths)))</f>
        <v/>
      </c>
      <c r="M52">
        <f>IFERROR(MATCH(ROWS($M$44:M52),tblIngredients[ردیف هشدار],0),"")</f>
        <v/>
      </c>
      <c r="N52">
        <f>IFERROR(INDEX(tblStaff[کد پرسنل],ROWS($N$44:N52))&amp;"","")</f>
        <v/>
      </c>
    </row>
    <row r="53">
      <c r="A53" s="25">
        <f>IF($M53="","",INDEX(tblIngredients[کد ماده],$M53))</f>
        <v/>
      </c>
      <c r="B53" s="26">
        <f>IF($M53="","",INDEX(tblIngredients[نام ماده],$M53))</f>
        <v/>
      </c>
      <c r="C53" s="25" t="n"/>
      <c r="D53" s="27">
        <f>IF($M53="","",INDEX(tblIngredients[موجودی فعلی],$M53))</f>
        <v/>
      </c>
      <c r="E53" s="28">
        <f>IF($M53="","",INDEX(tblIngredients[حد سفارش],$M53))</f>
        <v/>
      </c>
      <c r="F53" s="25">
        <f>IF($M53="","",INDEX(tblIngredients[وضعیت],$M53))</f>
        <v/>
      </c>
      <c r="G53" s="26">
        <f>IF($N53="","",IFERROR(INDEX(tblStaff[نام و نام خانوادگی],MATCH($N53,tblStaff[کد پرسنل],0)),""))</f>
        <v/>
      </c>
      <c r="H53" s="25" t="n"/>
      <c r="I53" s="29">
        <f>IF($N53="","",SUMIFS(tblSales[فروش خالص],tblSales[کد پرسنل],$N53,tblSales[تاریخ میلادی],"&gt;="&amp;RptFrom,tblSales[تاریخ میلادی],"&lt;="&amp;RptTo,tblSales[وضعیت مؤثر],"نهایی"))</f>
        <v/>
      </c>
      <c r="J53" s="30">
        <f>IF($N53="","",SUMIFS(tblAttendance[ساعات کار],tblAttendance[کد پرسنل],$N53,tblAttendance[تاریخ میلادی],"&gt;="&amp;RptFrom,tblAttendance[تاریخ میلادی],"&lt;="&amp;RptTo,tblAttendance[وضعیت مؤثر],"تایید شده",tblAttendance[معتبر],1))</f>
        <v/>
      </c>
      <c r="K53" s="30">
        <f>IF($N53="","",SUMIFS(tblAttendance[اضافه‌کاری],tblAttendance[کد پرسنل],$N53,tblAttendance[تاریخ میلادی],"&gt;="&amp;RptFrom,tblAttendance[تاریخ میلادی],"&lt;="&amp;RptTo,tblAttendance[وضعیت مؤثر],"تایید شده",tblAttendance[معتبر],1))</f>
        <v/>
      </c>
      <c r="L53" s="31">
        <f>IF($N53="","",IF(N(IFERROR(INDEX(tblStaff[هدف فروش فردی],MATCH($N53,tblStaff[کد پرسنل],0)),0))=0,"",I53/(IFERROR(INDEX(tblStaff[هدف فروش فردی],MATCH($N53,tblStaff[کد پرسنل],0)),0)*RptMonths)))</f>
        <v/>
      </c>
      <c r="M53">
        <f>IFERROR(MATCH(ROWS($M$44:M53),tblIngredients[ردیف هشدار],0),"")</f>
        <v/>
      </c>
      <c r="N53">
        <f>IFERROR(INDEX(tblStaff[کد پرسنل],ROWS($N$44:N53))&amp;"","")</f>
        <v/>
      </c>
    </row>
    <row r="55">
      <c r="A55" s="13" t="inlineStr">
        <is>
          <t>خلاصه ۱۲ ماهه سال شمسی گزارش (سال را در H3 تغییر دهید؛ هدف‌ها از «پایه‌ها و تنظیمات»)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 ht="34" customHeight="1">
      <c r="A56" s="32" t="inlineStr">
        <is>
          <t>ماه</t>
        </is>
      </c>
      <c r="B56" s="32" t="inlineStr">
        <is>
          <t>فروش</t>
        </is>
      </c>
      <c r="C56" s="32" t="inlineStr">
        <is>
          <t>بهای تمام‌شده</t>
        </is>
      </c>
      <c r="D56" s="32" t="inlineStr">
        <is>
          <t>سود ناخالص</t>
        </is>
      </c>
      <c r="E56" s="32" t="inlineStr">
        <is>
          <t>هزینه</t>
        </is>
      </c>
      <c r="F56" s="32" t="inlineStr">
        <is>
          <t>حقوق</t>
        </is>
      </c>
      <c r="G56" s="32" t="inlineStr">
        <is>
          <t>سود خالص</t>
        </is>
      </c>
      <c r="H56" s="32" t="inlineStr">
        <is>
          <t>هدف فروش</t>
        </is>
      </c>
      <c r="I56" s="32" t="inlineStr">
        <is>
          <t>تحقق هدف</t>
        </is>
      </c>
      <c r="J56" s="32" t="inlineStr">
        <is>
          <t>بهای مواد درصد</t>
        </is>
      </c>
      <c r="K56" s="32" t="inlineStr">
        <is>
          <t>اقلام</t>
        </is>
      </c>
    </row>
    <row r="57">
      <c r="A57" s="33">
        <f>IFERROR(INDEX(MonthlyName,ROW()-ROW(tblMonthly[[#Headers],[ماه]])),"")</f>
        <v/>
      </c>
      <c r="B57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57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57" s="34">
        <f>tblMonthly[[#This Row],[فروش]]-tblMonthly[[#This Row],[بهای تمام‌شده]]</f>
        <v/>
      </c>
      <c r="E57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57" s="34">
        <f>SUMIFS(tblPayroll[حقوق نهایی],tblPayroll[شروع ماه],INDEX(MonthlyStart,ROW()-ROW(tblMonthly[[#Headers],[ماه]])),tblPayroll[وضعیت مؤثر],"تایید شده")</f>
        <v/>
      </c>
      <c r="G57" s="34">
        <f>tblMonthly[[#This Row],[سود ناخالص]]-tblMonthly[[#This Row],[هزینه]]-tblMonthly[[#This Row],[حقوق]]</f>
        <v/>
      </c>
      <c r="H57" s="34">
        <f>SUMIFS(tblTargets[هدف فروش],tblTargets[شروع ماه],INDEX(MonthlyStart,ROW()-ROW(tblMonthly[[#Headers],[ماه]])))</f>
        <v/>
      </c>
      <c r="I57" s="35">
        <f>IF(tblMonthly[[#This Row],[هدف فروش]]=0,"",tblMonthly[[#This Row],[فروش]]/tblMonthly[[#This Row],[هدف فروش]])</f>
        <v/>
      </c>
      <c r="J57" s="35">
        <f>IFERROR(tblMonthly[[#This Row],[بهای تمام‌شده]]/tblMonthly[[#This Row],[فروش]],0)</f>
        <v/>
      </c>
      <c r="K57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58">
      <c r="A58" s="33">
        <f>IFERROR(INDEX(MonthlyName,ROW()-ROW(tblMonthly[[#Headers],[ماه]])),"")</f>
        <v/>
      </c>
      <c r="B58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58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58" s="34">
        <f>tblMonthly[[#This Row],[فروش]]-tblMonthly[[#This Row],[بهای تمام‌شده]]</f>
        <v/>
      </c>
      <c r="E58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58" s="34">
        <f>SUMIFS(tblPayroll[حقوق نهایی],tblPayroll[شروع ماه],INDEX(MonthlyStart,ROW()-ROW(tblMonthly[[#Headers],[ماه]])),tblPayroll[وضعیت مؤثر],"تایید شده")</f>
        <v/>
      </c>
      <c r="G58" s="34">
        <f>tblMonthly[[#This Row],[سود ناخالص]]-tblMonthly[[#This Row],[هزینه]]-tblMonthly[[#This Row],[حقوق]]</f>
        <v/>
      </c>
      <c r="H58" s="34">
        <f>SUMIFS(tblTargets[هدف فروش],tblTargets[شروع ماه],INDEX(MonthlyStart,ROW()-ROW(tblMonthly[[#Headers],[ماه]])))</f>
        <v/>
      </c>
      <c r="I58" s="35">
        <f>IF(tblMonthly[[#This Row],[هدف فروش]]=0,"",tblMonthly[[#This Row],[فروش]]/tblMonthly[[#This Row],[هدف فروش]])</f>
        <v/>
      </c>
      <c r="J58" s="35">
        <f>IFERROR(tblMonthly[[#This Row],[بهای تمام‌شده]]/tblMonthly[[#This Row],[فروش]],0)</f>
        <v/>
      </c>
      <c r="K58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59">
      <c r="A59" s="33">
        <f>IFERROR(INDEX(MonthlyName,ROW()-ROW(tblMonthly[[#Headers],[ماه]])),"")</f>
        <v/>
      </c>
      <c r="B59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59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59" s="34">
        <f>tblMonthly[[#This Row],[فروش]]-tblMonthly[[#This Row],[بهای تمام‌شده]]</f>
        <v/>
      </c>
      <c r="E59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59" s="34">
        <f>SUMIFS(tblPayroll[حقوق نهایی],tblPayroll[شروع ماه],INDEX(MonthlyStart,ROW()-ROW(tblMonthly[[#Headers],[ماه]])),tblPayroll[وضعیت مؤثر],"تایید شده")</f>
        <v/>
      </c>
      <c r="G59" s="34">
        <f>tblMonthly[[#This Row],[سود ناخالص]]-tblMonthly[[#This Row],[هزینه]]-tblMonthly[[#This Row],[حقوق]]</f>
        <v/>
      </c>
      <c r="H59" s="34">
        <f>SUMIFS(tblTargets[هدف فروش],tblTargets[شروع ماه],INDEX(MonthlyStart,ROW()-ROW(tblMonthly[[#Headers],[ماه]])))</f>
        <v/>
      </c>
      <c r="I59" s="35">
        <f>IF(tblMonthly[[#This Row],[هدف فروش]]=0,"",tblMonthly[[#This Row],[فروش]]/tblMonthly[[#This Row],[هدف فروش]])</f>
        <v/>
      </c>
      <c r="J59" s="35">
        <f>IFERROR(tblMonthly[[#This Row],[بهای تمام‌شده]]/tblMonthly[[#This Row],[فروش]],0)</f>
        <v/>
      </c>
      <c r="K59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0">
      <c r="A60" s="33">
        <f>IFERROR(INDEX(MonthlyName,ROW()-ROW(tblMonthly[[#Headers],[ماه]])),"")</f>
        <v/>
      </c>
      <c r="B60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0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0" s="34">
        <f>tblMonthly[[#This Row],[فروش]]-tblMonthly[[#This Row],[بهای تمام‌شده]]</f>
        <v/>
      </c>
      <c r="E60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0" s="34">
        <f>SUMIFS(tblPayroll[حقوق نهایی],tblPayroll[شروع ماه],INDEX(MonthlyStart,ROW()-ROW(tblMonthly[[#Headers],[ماه]])),tblPayroll[وضعیت مؤثر],"تایید شده")</f>
        <v/>
      </c>
      <c r="G60" s="34">
        <f>tblMonthly[[#This Row],[سود ناخالص]]-tblMonthly[[#This Row],[هزینه]]-tblMonthly[[#This Row],[حقوق]]</f>
        <v/>
      </c>
      <c r="H60" s="34">
        <f>SUMIFS(tblTargets[هدف فروش],tblTargets[شروع ماه],INDEX(MonthlyStart,ROW()-ROW(tblMonthly[[#Headers],[ماه]])))</f>
        <v/>
      </c>
      <c r="I60" s="35">
        <f>IF(tblMonthly[[#This Row],[هدف فروش]]=0,"",tblMonthly[[#This Row],[فروش]]/tblMonthly[[#This Row],[هدف فروش]])</f>
        <v/>
      </c>
      <c r="J60" s="35">
        <f>IFERROR(tblMonthly[[#This Row],[بهای تمام‌شده]]/tblMonthly[[#This Row],[فروش]],0)</f>
        <v/>
      </c>
      <c r="K60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1">
      <c r="A61" s="33">
        <f>IFERROR(INDEX(MonthlyName,ROW()-ROW(tblMonthly[[#Headers],[ماه]])),"")</f>
        <v/>
      </c>
      <c r="B61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1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1" s="34">
        <f>tblMonthly[[#This Row],[فروش]]-tblMonthly[[#This Row],[بهای تمام‌شده]]</f>
        <v/>
      </c>
      <c r="E61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1" s="34">
        <f>SUMIFS(tblPayroll[حقوق نهایی],tblPayroll[شروع ماه],INDEX(MonthlyStart,ROW()-ROW(tblMonthly[[#Headers],[ماه]])),tblPayroll[وضعیت مؤثر],"تایید شده")</f>
        <v/>
      </c>
      <c r="G61" s="34">
        <f>tblMonthly[[#This Row],[سود ناخالص]]-tblMonthly[[#This Row],[هزینه]]-tblMonthly[[#This Row],[حقوق]]</f>
        <v/>
      </c>
      <c r="H61" s="34">
        <f>SUMIFS(tblTargets[هدف فروش],tblTargets[شروع ماه],INDEX(MonthlyStart,ROW()-ROW(tblMonthly[[#Headers],[ماه]])))</f>
        <v/>
      </c>
      <c r="I61" s="35">
        <f>IF(tblMonthly[[#This Row],[هدف فروش]]=0,"",tblMonthly[[#This Row],[فروش]]/tblMonthly[[#This Row],[هدف فروش]])</f>
        <v/>
      </c>
      <c r="J61" s="35">
        <f>IFERROR(tblMonthly[[#This Row],[بهای تمام‌شده]]/tblMonthly[[#This Row],[فروش]],0)</f>
        <v/>
      </c>
      <c r="K61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2">
      <c r="A62" s="33">
        <f>IFERROR(INDEX(MonthlyName,ROW()-ROW(tblMonthly[[#Headers],[ماه]])),"")</f>
        <v/>
      </c>
      <c r="B62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2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2" s="34">
        <f>tblMonthly[[#This Row],[فروش]]-tblMonthly[[#This Row],[بهای تمام‌شده]]</f>
        <v/>
      </c>
      <c r="E62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2" s="34">
        <f>SUMIFS(tblPayroll[حقوق نهایی],tblPayroll[شروع ماه],INDEX(MonthlyStart,ROW()-ROW(tblMonthly[[#Headers],[ماه]])),tblPayroll[وضعیت مؤثر],"تایید شده")</f>
        <v/>
      </c>
      <c r="G62" s="34">
        <f>tblMonthly[[#This Row],[سود ناخالص]]-tblMonthly[[#This Row],[هزینه]]-tblMonthly[[#This Row],[حقوق]]</f>
        <v/>
      </c>
      <c r="H62" s="34">
        <f>SUMIFS(tblTargets[هدف فروش],tblTargets[شروع ماه],INDEX(MonthlyStart,ROW()-ROW(tblMonthly[[#Headers],[ماه]])))</f>
        <v/>
      </c>
      <c r="I62" s="35">
        <f>IF(tblMonthly[[#This Row],[هدف فروش]]=0,"",tblMonthly[[#This Row],[فروش]]/tblMonthly[[#This Row],[هدف فروش]])</f>
        <v/>
      </c>
      <c r="J62" s="35">
        <f>IFERROR(tblMonthly[[#This Row],[بهای تمام‌شده]]/tblMonthly[[#This Row],[فروش]],0)</f>
        <v/>
      </c>
      <c r="K62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3">
      <c r="A63" s="33">
        <f>IFERROR(INDEX(MonthlyName,ROW()-ROW(tblMonthly[[#Headers],[ماه]])),"")</f>
        <v/>
      </c>
      <c r="B63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3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3" s="34">
        <f>tblMonthly[[#This Row],[فروش]]-tblMonthly[[#This Row],[بهای تمام‌شده]]</f>
        <v/>
      </c>
      <c r="E63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3" s="34">
        <f>SUMIFS(tblPayroll[حقوق نهایی],tblPayroll[شروع ماه],INDEX(MonthlyStart,ROW()-ROW(tblMonthly[[#Headers],[ماه]])),tblPayroll[وضعیت مؤثر],"تایید شده")</f>
        <v/>
      </c>
      <c r="G63" s="34">
        <f>tblMonthly[[#This Row],[سود ناخالص]]-tblMonthly[[#This Row],[هزینه]]-tblMonthly[[#This Row],[حقوق]]</f>
        <v/>
      </c>
      <c r="H63" s="34">
        <f>SUMIFS(tblTargets[هدف فروش],tblTargets[شروع ماه],INDEX(MonthlyStart,ROW()-ROW(tblMonthly[[#Headers],[ماه]])))</f>
        <v/>
      </c>
      <c r="I63" s="35">
        <f>IF(tblMonthly[[#This Row],[هدف فروش]]=0,"",tblMonthly[[#This Row],[فروش]]/tblMonthly[[#This Row],[هدف فروش]])</f>
        <v/>
      </c>
      <c r="J63" s="35">
        <f>IFERROR(tblMonthly[[#This Row],[بهای تمام‌شده]]/tblMonthly[[#This Row],[فروش]],0)</f>
        <v/>
      </c>
      <c r="K63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4">
      <c r="A64" s="33">
        <f>IFERROR(INDEX(MonthlyName,ROW()-ROW(tblMonthly[[#Headers],[ماه]])),"")</f>
        <v/>
      </c>
      <c r="B64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4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4" s="34">
        <f>tblMonthly[[#This Row],[فروش]]-tblMonthly[[#This Row],[بهای تمام‌شده]]</f>
        <v/>
      </c>
      <c r="E64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4" s="34">
        <f>SUMIFS(tblPayroll[حقوق نهایی],tblPayroll[شروع ماه],INDEX(MonthlyStart,ROW()-ROW(tblMonthly[[#Headers],[ماه]])),tblPayroll[وضعیت مؤثر],"تایید شده")</f>
        <v/>
      </c>
      <c r="G64" s="34">
        <f>tblMonthly[[#This Row],[سود ناخالص]]-tblMonthly[[#This Row],[هزینه]]-tblMonthly[[#This Row],[حقوق]]</f>
        <v/>
      </c>
      <c r="H64" s="34">
        <f>SUMIFS(tblTargets[هدف فروش],tblTargets[شروع ماه],INDEX(MonthlyStart,ROW()-ROW(tblMonthly[[#Headers],[ماه]])))</f>
        <v/>
      </c>
      <c r="I64" s="35">
        <f>IF(tblMonthly[[#This Row],[هدف فروش]]=0,"",tblMonthly[[#This Row],[فروش]]/tblMonthly[[#This Row],[هدف فروش]])</f>
        <v/>
      </c>
      <c r="J64" s="35">
        <f>IFERROR(tblMonthly[[#This Row],[بهای تمام‌شده]]/tblMonthly[[#This Row],[فروش]],0)</f>
        <v/>
      </c>
      <c r="K64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5">
      <c r="A65" s="33">
        <f>IFERROR(INDEX(MonthlyName,ROW()-ROW(tblMonthly[[#Headers],[ماه]])),"")</f>
        <v/>
      </c>
      <c r="B65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5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5" s="34">
        <f>tblMonthly[[#This Row],[فروش]]-tblMonthly[[#This Row],[بهای تمام‌شده]]</f>
        <v/>
      </c>
      <c r="E65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5" s="34">
        <f>SUMIFS(tblPayroll[حقوق نهایی],tblPayroll[شروع ماه],INDEX(MonthlyStart,ROW()-ROW(tblMonthly[[#Headers],[ماه]])),tblPayroll[وضعیت مؤثر],"تایید شده")</f>
        <v/>
      </c>
      <c r="G65" s="34">
        <f>tblMonthly[[#This Row],[سود ناخالص]]-tblMonthly[[#This Row],[هزینه]]-tblMonthly[[#This Row],[حقوق]]</f>
        <v/>
      </c>
      <c r="H65" s="34">
        <f>SUMIFS(tblTargets[هدف فروش],tblTargets[شروع ماه],INDEX(MonthlyStart,ROW()-ROW(tblMonthly[[#Headers],[ماه]])))</f>
        <v/>
      </c>
      <c r="I65" s="35">
        <f>IF(tblMonthly[[#This Row],[هدف فروش]]=0,"",tblMonthly[[#This Row],[فروش]]/tblMonthly[[#This Row],[هدف فروش]])</f>
        <v/>
      </c>
      <c r="J65" s="35">
        <f>IFERROR(tblMonthly[[#This Row],[بهای تمام‌شده]]/tblMonthly[[#This Row],[فروش]],0)</f>
        <v/>
      </c>
      <c r="K65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6">
      <c r="A66" s="33">
        <f>IFERROR(INDEX(MonthlyName,ROW()-ROW(tblMonthly[[#Headers],[ماه]])),"")</f>
        <v/>
      </c>
      <c r="B66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6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6" s="34">
        <f>tblMonthly[[#This Row],[فروش]]-tblMonthly[[#This Row],[بهای تمام‌شده]]</f>
        <v/>
      </c>
      <c r="E66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6" s="34">
        <f>SUMIFS(tblPayroll[حقوق نهایی],tblPayroll[شروع ماه],INDEX(MonthlyStart,ROW()-ROW(tblMonthly[[#Headers],[ماه]])),tblPayroll[وضعیت مؤثر],"تایید شده")</f>
        <v/>
      </c>
      <c r="G66" s="34">
        <f>tblMonthly[[#This Row],[سود ناخالص]]-tblMonthly[[#This Row],[هزینه]]-tblMonthly[[#This Row],[حقوق]]</f>
        <v/>
      </c>
      <c r="H66" s="34">
        <f>SUMIFS(tblTargets[هدف فروش],tblTargets[شروع ماه],INDEX(MonthlyStart,ROW()-ROW(tblMonthly[[#Headers],[ماه]])))</f>
        <v/>
      </c>
      <c r="I66" s="35">
        <f>IF(tblMonthly[[#This Row],[هدف فروش]]=0,"",tblMonthly[[#This Row],[فروش]]/tblMonthly[[#This Row],[هدف فروش]])</f>
        <v/>
      </c>
      <c r="J66" s="35">
        <f>IFERROR(tblMonthly[[#This Row],[بهای تمام‌شده]]/tblMonthly[[#This Row],[فروش]],0)</f>
        <v/>
      </c>
      <c r="K66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7">
      <c r="A67" s="33">
        <f>IFERROR(INDEX(MonthlyName,ROW()-ROW(tblMonthly[[#Headers],[ماه]])),"")</f>
        <v/>
      </c>
      <c r="B67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7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7" s="34">
        <f>tblMonthly[[#This Row],[فروش]]-tblMonthly[[#This Row],[بهای تمام‌شده]]</f>
        <v/>
      </c>
      <c r="E67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7" s="34">
        <f>SUMIFS(tblPayroll[حقوق نهایی],tblPayroll[شروع ماه],INDEX(MonthlyStart,ROW()-ROW(tblMonthly[[#Headers],[ماه]])),tblPayroll[وضعیت مؤثر],"تایید شده")</f>
        <v/>
      </c>
      <c r="G67" s="34">
        <f>tblMonthly[[#This Row],[سود ناخالص]]-tblMonthly[[#This Row],[هزینه]]-tblMonthly[[#This Row],[حقوق]]</f>
        <v/>
      </c>
      <c r="H67" s="34">
        <f>SUMIFS(tblTargets[هدف فروش],tblTargets[شروع ماه],INDEX(MonthlyStart,ROW()-ROW(tblMonthly[[#Headers],[ماه]])))</f>
        <v/>
      </c>
      <c r="I67" s="35">
        <f>IF(tblMonthly[[#This Row],[هدف فروش]]=0,"",tblMonthly[[#This Row],[فروش]]/tblMonthly[[#This Row],[هدف فروش]])</f>
        <v/>
      </c>
      <c r="J67" s="35">
        <f>IFERROR(tblMonthly[[#This Row],[بهای تمام‌شده]]/tblMonthly[[#This Row],[فروش]],0)</f>
        <v/>
      </c>
      <c r="K67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8">
      <c r="A68" s="33">
        <f>IFERROR(INDEX(MonthlyName,ROW()-ROW(tblMonthly[[#Headers],[ماه]])),"")</f>
        <v/>
      </c>
      <c r="B68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8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8" s="34">
        <f>tblMonthly[[#This Row],[فروش]]-tblMonthly[[#This Row],[بهای تمام‌شده]]</f>
        <v/>
      </c>
      <c r="E68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8" s="34">
        <f>SUMIFS(tblPayroll[حقوق نهایی],tblPayroll[شروع ماه],INDEX(MonthlyStart,ROW()-ROW(tblMonthly[[#Headers],[ماه]])),tblPayroll[وضعیت مؤثر],"تایید شده")</f>
        <v/>
      </c>
      <c r="G68" s="34">
        <f>tblMonthly[[#This Row],[سود ناخالص]]-tblMonthly[[#This Row],[هزینه]]-tblMonthly[[#This Row],[حقوق]]</f>
        <v/>
      </c>
      <c r="H68" s="34">
        <f>SUMIFS(tblTargets[هدف فروش],tblTargets[شروع ماه],INDEX(MonthlyStart,ROW()-ROW(tblMonthly[[#Headers],[ماه]])))</f>
        <v/>
      </c>
      <c r="I68" s="35">
        <f>IF(tblMonthly[[#This Row],[هدف فروش]]=0,"",tblMonthly[[#This Row],[فروش]]/tblMonthly[[#This Row],[هدف فروش]])</f>
        <v/>
      </c>
      <c r="J68" s="35">
        <f>IFERROR(tblMonthly[[#This Row],[بهای تمام‌شده]]/tblMonthly[[#This Row],[فروش]],0)</f>
        <v/>
      </c>
      <c r="K68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70">
      <c r="A70" s="13" t="inlineStr">
        <is>
          <t>فروش ماهانه در برابر هدف</t>
        </is>
      </c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</row>
  </sheetData>
  <mergeCells count="89">
    <mergeCell ref="G21:H21"/>
    <mergeCell ref="A15:B15"/>
    <mergeCell ref="G23:H23"/>
    <mergeCell ref="D9:F9"/>
    <mergeCell ref="G18:H18"/>
    <mergeCell ref="D14:F14"/>
    <mergeCell ref="J6:L7"/>
    <mergeCell ref="G10:I11"/>
    <mergeCell ref="A13:F13"/>
    <mergeCell ref="D23:F23"/>
    <mergeCell ref="G9:I9"/>
    <mergeCell ref="A17:B17"/>
    <mergeCell ref="B49:C49"/>
    <mergeCell ref="A22:B22"/>
    <mergeCell ref="G20:H20"/>
    <mergeCell ref="A19:B19"/>
    <mergeCell ref="B51:C51"/>
    <mergeCell ref="G44:H44"/>
    <mergeCell ref="G22:H22"/>
    <mergeCell ref="J15:L15"/>
    <mergeCell ref="D10:F11"/>
    <mergeCell ref="D17:F17"/>
    <mergeCell ref="G48:H48"/>
    <mergeCell ref="J16:L16"/>
    <mergeCell ref="A42:F42"/>
    <mergeCell ref="A5:C5"/>
    <mergeCell ref="J10:L11"/>
    <mergeCell ref="B53:C53"/>
    <mergeCell ref="G49:H49"/>
    <mergeCell ref="D5:F5"/>
    <mergeCell ref="J5:L5"/>
    <mergeCell ref="J14:L14"/>
    <mergeCell ref="G16:H16"/>
    <mergeCell ref="D21:F21"/>
    <mergeCell ref="K3:L3"/>
    <mergeCell ref="A10:C11"/>
    <mergeCell ref="D16:F16"/>
    <mergeCell ref="B43:C43"/>
    <mergeCell ref="A2:L2"/>
    <mergeCell ref="B52:C52"/>
    <mergeCell ref="G5:I5"/>
    <mergeCell ref="D18:F18"/>
    <mergeCell ref="A6:C7"/>
    <mergeCell ref="B44:C44"/>
    <mergeCell ref="A21:B21"/>
    <mergeCell ref="G25:L25"/>
    <mergeCell ref="J18:L18"/>
    <mergeCell ref="G15:H15"/>
    <mergeCell ref="A14:B14"/>
    <mergeCell ref="A23:B23"/>
    <mergeCell ref="J17:L17"/>
    <mergeCell ref="D20:F20"/>
    <mergeCell ref="G51:H51"/>
    <mergeCell ref="J19:L19"/>
    <mergeCell ref="D22:F22"/>
    <mergeCell ref="B45:C45"/>
    <mergeCell ref="G50:H50"/>
    <mergeCell ref="A70:L70"/>
    <mergeCell ref="J9:L9"/>
    <mergeCell ref="G43:H43"/>
    <mergeCell ref="B47:C47"/>
    <mergeCell ref="G52:H52"/>
    <mergeCell ref="G13:L13"/>
    <mergeCell ref="B46:C46"/>
    <mergeCell ref="J20:L20"/>
    <mergeCell ref="G17:H17"/>
    <mergeCell ref="D6:F7"/>
    <mergeCell ref="A16:B16"/>
    <mergeCell ref="B48:C48"/>
    <mergeCell ref="J22:L22"/>
    <mergeCell ref="G19:H19"/>
    <mergeCell ref="G53:H53"/>
    <mergeCell ref="A18:B18"/>
    <mergeCell ref="D15:F15"/>
    <mergeCell ref="J21:L21"/>
    <mergeCell ref="A55:K55"/>
    <mergeCell ref="J23:L23"/>
    <mergeCell ref="A9:C9"/>
    <mergeCell ref="G14:H14"/>
    <mergeCell ref="G45:H45"/>
    <mergeCell ref="A20:B20"/>
    <mergeCell ref="G6:I7"/>
    <mergeCell ref="D19:F19"/>
    <mergeCell ref="G47:H47"/>
    <mergeCell ref="G42:L42"/>
    <mergeCell ref="A1:L1"/>
    <mergeCell ref="G46:H46"/>
    <mergeCell ref="B50:C50"/>
    <mergeCell ref="A25:F25"/>
  </mergeCells>
  <conditionalFormatting sqref="K3:L3">
    <cfRule type="expression" priority="1" dxfId="0">
      <formula>$M$3=0</formula>
    </cfRule>
    <cfRule type="expression" priority="2" dxfId="1">
      <formula>$M$3&gt;0</formula>
    </cfRule>
  </conditionalFormatting>
  <conditionalFormatting sqref="B3">
    <cfRule type="expression" priority="3" dxfId="1">
      <formula>NOT(ISNUMBER($O$3))</formula>
    </cfRule>
  </conditionalFormatting>
  <conditionalFormatting sqref="D3">
    <cfRule type="expression" priority="4" dxfId="1">
      <formula>NOT(ISNUMBER($P$3))</formula>
    </cfRule>
  </conditionalFormatting>
  <conditionalFormatting sqref="F3">
    <cfRule type="expression" priority="5" dxfId="1">
      <formula>NOT(ISNUMBER($Q$3))</formula>
    </cfRule>
  </conditionalFormatting>
  <conditionalFormatting sqref="I22">
    <cfRule type="expression" priority="6" dxfId="2">
      <formula>AND(ISNUMBER($I$22),$I$22&lt;&gt;0)</formula>
    </cfRule>
  </conditionalFormatting>
  <conditionalFormatting sqref="I23">
    <cfRule type="expression" priority="7" dxfId="2">
      <formula>AND(ISNUMBER($I$23),$I$23&lt;&gt;0)</formula>
    </cfRule>
  </conditionalFormatting>
  <conditionalFormatting sqref="C19">
    <cfRule type="expression" priority="8" dxfId="2">
      <formula>$C$19&lt;0</formula>
    </cfRule>
  </conditionalFormatting>
  <conditionalFormatting sqref="F44:F53">
    <cfRule type="expression" priority="9" dxfId="2" stopIfTrue="0">
      <formula>$F44="ناموجود"</formula>
    </cfRule>
    <cfRule type="expression" priority="10" dxfId="3" stopIfTrue="0">
      <formula>$F44="نیاز به خرید"</formula>
    </cfRule>
  </conditionalFormatting>
  <conditionalFormatting sqref="L44:L53">
    <cfRule type="expression" priority="11" dxfId="2" stopIfTrue="0">
      <formula>AND(ISNUMBER($L44),N($I44)&gt;0,$L44&lt;0.8)</formula>
    </cfRule>
  </conditionalFormatting>
  <conditionalFormatting sqref="I57:I68">
    <cfRule type="expression" priority="12" dxfId="2" stopIfTrue="0">
      <formula>AND(ISNUMBER($I57),$I57&gt;0,$I57&lt;0.8)</formula>
    </cfRule>
  </conditionalFormatting>
  <dataValidations count="1">
    <dataValidation sqref="H3" showDropDown="0" showInputMessage="0" showErrorMessage="1" allowBlank="1" errorTitle="ورودی نامعتبر" error="سال شمسی معتبر وارد کنید (مثلاً 1405)." type="whole" operator="between">
      <formula1>1398</formula1>
      <formula2>1450</formula2>
    </dataValidation>
  </dataValidations>
  <pageMargins left="0.25" right="0.25" top="0.4" bottom="0.4" header="0.5" footer="0.5"/>
  <pageSetup orientation="portrait" paperSize="9" fitToHeight="0" fitToWidth="1"/>
  <headerFooter>
    <oddHeader/>
    <oddFooter>&amp;Cکافه ریحا | صفحه &amp;P از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AA6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9" customWidth="1" min="2" max="2"/>
    <col width="15" customWidth="1" min="3" max="3"/>
    <col width="12" customWidth="1" min="4" max="4"/>
    <col width="24" customWidth="1" min="5" max="5"/>
    <col width="8" customWidth="1" min="6" max="6"/>
    <col width="11" customWidth="1" min="7" max="7"/>
    <col width="9" customWidth="1" min="8" max="8"/>
    <col width="12" customWidth="1" min="9" max="9"/>
    <col width="11" customWidth="1" min="10" max="10"/>
    <col width="10" customWidth="1" min="11" max="11"/>
    <col width="11" customWidth="1" min="12" max="12"/>
    <col width="8" customWidth="1" min="13" max="13"/>
    <col width="12" customWidth="1" min="14" max="14"/>
    <col width="16" customWidth="1" min="15" max="15"/>
    <col width="13" customWidth="1" min="16" max="16"/>
    <col width="18" customWidth="1" min="17" max="17"/>
    <col width="12" customWidth="1" min="18" max="18"/>
    <col width="11" customWidth="1" min="19" max="19"/>
    <col width="11" customWidth="1" min="20" max="20"/>
    <col width="12" customWidth="1" min="21" max="21"/>
    <col width="12" customWidth="1" min="22" max="22"/>
    <col width="9" customWidth="1" min="23" max="23"/>
    <col width="11" customWidth="1" min="24" max="24"/>
    <col width="8" customWidth="1" min="25" max="25"/>
    <col width="11" customWidth="1" min="26" max="26"/>
    <col width="13" customWidth="1" min="27" max="27"/>
  </cols>
  <sheetData>
    <row r="1" ht="30" customHeight="1">
      <c r="A1" s="1" t="inlineStr">
        <is>
          <t>ثبت فروش | هر ردیف یک قلم فاکتور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اقلام هر فاکتور پشت‌سرهم و با شماره یکسان؛ وضعیت خالی = «نهایی». مبالغ به هزار تومان.</t>
        </is>
      </c>
    </row>
    <row r="3" ht="26" customHeight="1">
      <c r="A3" s="37" t="inlineStr">
        <is>
          <t>فاکتور بعدی امروز</t>
        </is>
      </c>
      <c r="B3" s="38">
        <f>_xlfn.MAXIFS(tblSales[فاکتور روز],tblSales[تاریخ میلادی],TODAY())+1</f>
        <v/>
      </c>
      <c r="C3" s="37" t="inlineStr">
        <is>
          <t>اقلام ثبت‌شده</t>
        </is>
      </c>
      <c r="D3" s="39">
        <f>COUNTIF(tblSales[کد محصول],"?*")</f>
        <v/>
      </c>
      <c r="E3" s="37" t="inlineStr">
        <is>
          <t>فاکتور نهایی (کل)</t>
        </is>
      </c>
      <c r="F3" s="39">
        <f>COUNTIF(tblSales[شروع فاکتور],1)</f>
        <v/>
      </c>
      <c r="G3" s="37" t="inlineStr">
        <is>
          <t>ردیف پیش‌نویس</t>
        </is>
      </c>
      <c r="H3" s="39">
        <f>COUNTIF(tblSales[وضعیت مؤثر],"پیش‌نویس")</f>
        <v/>
      </c>
      <c r="I3" s="37" t="inlineStr">
        <is>
          <t>کد/تاریخ/شماره نامعتبر</t>
        </is>
      </c>
      <c r="J3" s="39">
        <f>COUNTIF(tblSales[نام محصول],"کد نامعتبر")+COUNTIF(tblSales[تاریخ میلادی],"تاریخ نامعتبر")+COUNTIFS(tblSales[کد محصول],"?*",tblSales[شماره فاکتور],"")</f>
        <v/>
      </c>
      <c r="K3" s="37" t="inlineStr">
        <is>
          <t>فروش نهایی کل</t>
        </is>
      </c>
      <c r="L3" s="40">
        <f>SUMIFS(tblSales[فروش خالص],tblSales[وضعیت مؤثر],"نهایی")</f>
        <v/>
      </c>
      <c r="M3" s="37" t="inlineStr">
        <is>
          <t>فاکتور بازه داشبورد</t>
        </is>
      </c>
      <c r="N3" s="39">
        <f>DashInvoices</f>
        <v/>
      </c>
      <c r="O3" s="37" t="inlineStr">
        <is>
          <t>فروش بازه داشبورد</t>
        </is>
      </c>
      <c r="P3" s="40">
        <f>DashSales</f>
        <v/>
      </c>
    </row>
    <row r="4" ht="18" customHeight="1">
      <c r="A4" s="13" t="inlineStr">
        <is>
          <t>دفتر فروش  |  ورودی‌ها: تاریخ، فاکتور روز (۱، ۲، ۳… شماره کامل خودکار)، کد محصول، تعداد، تخفیف، پرداخت، وضعیت  ←  نتیجه‌ها: نام، قیمت، فروش خالص، بهای تمام‌شده، سود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</row>
    <row r="5" ht="34" customHeight="1">
      <c r="A5" s="41" t="inlineStr">
        <is>
          <t>تاریخ</t>
        </is>
      </c>
      <c r="B5" s="41" t="inlineStr">
        <is>
          <t>فاکتور روز</t>
        </is>
      </c>
      <c r="C5" s="32" t="inlineStr">
        <is>
          <t>شماره فاکتور</t>
        </is>
      </c>
      <c r="D5" s="41" t="inlineStr">
        <is>
          <t>کد محصول</t>
        </is>
      </c>
      <c r="E5" s="32" t="inlineStr">
        <is>
          <t>نام محصول</t>
        </is>
      </c>
      <c r="F5" s="41" t="inlineStr">
        <is>
          <t>تعداد</t>
        </is>
      </c>
      <c r="G5" s="32" t="inlineStr">
        <is>
          <t>قیمت واحد</t>
        </is>
      </c>
      <c r="H5" s="41" t="inlineStr">
        <is>
          <t>درصد تخفیف</t>
        </is>
      </c>
      <c r="I5" s="32" t="inlineStr">
        <is>
          <t>فروش خالص</t>
        </is>
      </c>
      <c r="J5" s="41" t="inlineStr">
        <is>
          <t>روش پرداخت</t>
        </is>
      </c>
      <c r="K5" s="41" t="inlineStr">
        <is>
          <t>وضعیت</t>
        </is>
      </c>
      <c r="L5" s="41" t="inlineStr">
        <is>
          <t>کد پرسنل</t>
        </is>
      </c>
      <c r="M5" s="41" t="inlineStr">
        <is>
          <t>ساعت</t>
        </is>
      </c>
      <c r="N5" s="41" t="inlineStr">
        <is>
          <t>میز/سفارش</t>
        </is>
      </c>
      <c r="O5" s="41" t="inlineStr">
        <is>
          <t>نام مشتری</t>
        </is>
      </c>
      <c r="P5" s="41" t="inlineStr">
        <is>
          <t>تلفن</t>
        </is>
      </c>
      <c r="Q5" s="41" t="inlineStr">
        <is>
          <t>یادداشت</t>
        </is>
      </c>
      <c r="R5" s="32" t="inlineStr">
        <is>
          <t>دسته</t>
        </is>
      </c>
      <c r="S5" s="32" t="inlineStr">
        <is>
          <t>مبلغ تخفیف</t>
        </is>
      </c>
      <c r="T5" s="32" t="inlineStr">
        <is>
          <t>بهای واحد</t>
        </is>
      </c>
      <c r="U5" s="32" t="inlineStr">
        <is>
          <t>بهای تمام‌شده</t>
        </is>
      </c>
      <c r="V5" s="32" t="inlineStr">
        <is>
          <t>سود ناخالص</t>
        </is>
      </c>
      <c r="W5" s="32" t="inlineStr">
        <is>
          <t>حاشیه سود</t>
        </is>
      </c>
      <c r="X5" s="32" t="inlineStr">
        <is>
          <t>وضعیت مؤثر</t>
        </is>
      </c>
      <c r="Y5" s="32" t="inlineStr">
        <is>
          <t>شروع فاکتور</t>
        </is>
      </c>
      <c r="Z5" s="32" t="inlineStr">
        <is>
          <t>تاریخ میلادی</t>
        </is>
      </c>
      <c r="AA5" s="32" t="inlineStr">
        <is>
          <t>کلید فاکتور</t>
        </is>
      </c>
    </row>
    <row r="6">
      <c r="A6" s="42" t="n"/>
      <c r="B6" s="43" t="n"/>
      <c r="C6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" s="44" t="n"/>
      <c r="E6" s="33">
        <f>IF(tblSales[[#This Row],[کد محصول]]="","",IFERROR(INDEX(tblMenu[نام محصول],MATCH(tblSales[[#This Row],[کد محصول]],tblMenu[کد محصول],0)),"کد نامعتبر"))</f>
        <v/>
      </c>
      <c r="F6" s="45" t="n"/>
      <c r="G6" s="34">
        <f>IF(tblSales[[#This Row],[کد محصول]]="","",IFERROR(INDEX(tblMenu[قیمت فروش],MATCH(tblSales[[#This Row],[کد محصول]],tblMenu[کد محصول],0)),0))</f>
        <v/>
      </c>
      <c r="H6" s="46" t="n"/>
      <c r="I6" s="34">
        <f>IF(tblSales[[#This Row],[کد محصول]]="","",tblSales[[#This Row],[تعداد]]*tblSales[[#This Row],[قیمت واحد]]-tblSales[[#This Row],[مبلغ تخفیف]])</f>
        <v/>
      </c>
      <c r="J6" s="44" t="n"/>
      <c r="K6" s="44" t="n"/>
      <c r="L6" s="44" t="n"/>
      <c r="M6" s="47" t="n"/>
      <c r="N6" s="44" t="n"/>
      <c r="O6" s="44" t="n"/>
      <c r="P6" s="44" t="n"/>
      <c r="Q6" s="44" t="n"/>
      <c r="R6" s="33">
        <f>IF(tblSales[[#This Row],[کد محصول]]="","",IFERROR(INDEX(tblMenu[دسته],MATCH(tblSales[[#This Row],[کد محصول]],tblMenu[کد محصول],0)),""))</f>
        <v/>
      </c>
      <c r="S6" s="34">
        <f>IF(tblSales[[#This Row],[کد محصول]]="","",tblSales[[#This Row],[تعداد]]*tblSales[[#This Row],[قیمت واحد]]*tblSales[[#This Row],[درصد تخفیف]])</f>
        <v/>
      </c>
      <c r="T6" s="34">
        <f>IF(tblSales[[#This Row],[کد محصول]]="","",IFERROR(INDEX(tblMenu[هزینه استاندارد],MATCH(tblSales[[#This Row],[کد محصول]],tblMenu[کد محصول],0)),0))</f>
        <v/>
      </c>
      <c r="U6" s="34">
        <f>IF(tblSales[[#This Row],[کد محصول]]="","",tblSales[[#This Row],[تعداد]]*tblSales[[#This Row],[بهای واحد]])</f>
        <v/>
      </c>
      <c r="V6" s="34">
        <f>IF(tblSales[[#This Row],[کد محصول]]="","",tblSales[[#This Row],[فروش خالص]]-tblSales[[#This Row],[بهای تمام‌شده]])</f>
        <v/>
      </c>
      <c r="W6" s="35">
        <f>IFERROR(tblSales[[#This Row],[سود ناخالص]]/tblSales[[#This Row],[فروش خالص]],0)</f>
        <v/>
      </c>
      <c r="X6" s="33">
        <f>IF(AND(tblSales[[#This Row],[کد محصول]]="",tblSales[[#This Row],[شماره فاکتور]]=""),"",IF(tblSales[[#This Row],[وضعیت]]="","نهایی",tblSales[[#This Row],[وضعیت]]))</f>
        <v/>
      </c>
      <c r="Y6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" s="48">
        <f>IF(tblSales[[#This Row],[تاریخ]]="",IF(OR(tblSales[[#This Row],[کد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" s="48">
        <f>IF(tblSales[[#This Row],[شماره فاکتور]]="","",INDEX(CalKey,MATCH(tblSales[[#This Row],[تاریخ میلادی]],CalSerial,0))*1000+tblSales[[#This Row],[فاکتور روز]])</f>
        <v/>
      </c>
    </row>
  </sheetData>
  <mergeCells count="3">
    <mergeCell ref="A1:Z1"/>
    <mergeCell ref="A4:AA4"/>
    <mergeCell ref="A2:Z2"/>
  </mergeCells>
  <conditionalFormatting sqref="A6:AA10000">
    <cfRule type="expression" priority="1" dxfId="2" stopIfTrue="0">
      <formula>$K6="ابطال"</formula>
    </cfRule>
    <cfRule type="expression" priority="2" dxfId="3" stopIfTrue="0">
      <formula>$K6="پیش‌نویس"</formula>
    </cfRule>
  </conditionalFormatting>
  <conditionalFormatting sqref="E6:E10000">
    <cfRule type="expression" priority="3" dxfId="1" stopIfTrue="0">
      <formula>$E6="کد نامعتبر"</formula>
    </cfRule>
  </conditionalFormatting>
  <conditionalFormatting sqref="A6:A10000">
    <cfRule type="expression" priority="4" dxfId="1">
      <formula>$Z6="تاریخ نامعتبر"</formula>
    </cfRule>
  </conditionalFormatting>
  <conditionalFormatting sqref="B6:B10000">
    <cfRule type="expression" priority="5" dxfId="1" stopIfTrue="0">
      <formula>AND($D6&lt;&gt;"",$B6="")</formula>
    </cfRule>
  </conditionalFormatting>
  <dataValidations count="7">
    <dataValidation sqref="D6:D10000" showDropDown="0" showInputMessage="0" showErrorMessage="1" allowBlank="1" errorTitle="ورودی نامعتبر" error="لطفاً یک مقدار معتبر از فهرست انتخاب کنید." type="list" errorStyle="stop">
      <formula1>=ProductCodes</formula1>
    </dataValidation>
    <dataValidation sqref="L6:L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J6:J10000" showDropDown="0" showInputMessage="0" showErrorMessage="1" allowBlank="1" errorTitle="ورودی نامعتبر" error="لطفاً یک مقدار معتبر از فهرست انتخاب کنید." type="list" errorStyle="stop">
      <formula1>=PaymentMethods</formula1>
    </dataValidation>
    <dataValidation sqref="K6:K10000" showDropDown="0" showInputMessage="0" showErrorMessage="1" allowBlank="1" errorTitle="ورودی نامعتبر" error="لطفاً یک مقدار معتبر از فهرست انتخاب کنید." type="list" errorStyle="stop">
      <formula1>=SaleStatus</formula1>
    </dataValidation>
    <dataValidation sqref="F6:F10000" showDropDown="0" showInputMessage="0" showErrorMessage="1" allowBlank="1" errorTitle="ورودی نامعتبر" error="تعداد باید بزرگ‌تر از صفر باشد." type="decimal" operator="greaterThan">
      <formula1>0</formula1>
    </dataValidation>
    <dataValidation sqref="B6:B10000" showDropDown="0" showInputMessage="1" showErrorMessage="1" allowBlank="1" errorTitle="ورودی نامعتبر" error="شماره فاکتورِ روز یک عدد صحیح از 1 تا 999 است." promptTitle="شماره فاکتور روز" prompt="اولین فاکتور هر روز 1، بعدی 2 و… (کارت «فاکتور بعدی امروز» بالای صفحه). همه اقلام یک فاکتور همین عدد را بگیرند." type="whole" operator="between">
      <formula1>1</formula1>
      <formula2>999</formula2>
    </dataValidation>
    <dataValidation sqref="H6:H10000" showDropDown="0" showInputMessage="0" showErrorMessage="1" allowBlank="1" errorTitle="ورودی نامعتبر" error="درصد تخفیف را بین 0 و 1 وارد کنید (مثلاً 0.1 = ده درصد)." type="decimal" operator="between">
      <formula1>0</formula1>
      <formula2>1</formula2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I31"/>
  <sheetViews>
    <sheetView showGridLines="0" rightToLeft="1" zoomScale="110" workbookViewId="0">
      <selection activeCell="A1" sqref="A1"/>
    </sheetView>
  </sheetViews>
  <sheetFormatPr baseColWidth="8" defaultRowHeight="19.5" customHeight="1"/>
  <cols>
    <col width="12" customWidth="1" min="1" max="1"/>
    <col width="28" customWidth="1" min="2" max="2"/>
    <col width="9" customWidth="1" min="3" max="3"/>
    <col width="15" customWidth="1" min="4" max="4"/>
    <col width="15" customWidth="1" min="5" max="5"/>
    <col width="16" customWidth="1" min="6" max="6"/>
    <col width="3" customWidth="1" min="8" max="8"/>
    <col width="34" customWidth="1" min="9" max="9"/>
  </cols>
  <sheetData>
    <row r="1" ht="38" customHeight="1">
      <c r="A1" s="49">
        <f>Cfg_CafeName&amp;" | فاکتور فروش"</f>
        <v/>
      </c>
    </row>
    <row r="2">
      <c r="A2" s="50">
        <f>TRIM(IF(Cfg_Phone="","",Cfg_Phone&amp;"   |   ")&amp;IF(Cfg_Address="","",Cfg_Address&amp;"   |   ")&amp;IF(Cfg_Instagram="","",Cfg_Instagram))</f>
        <v/>
      </c>
      <c r="I2" s="51" t="inlineStr">
        <is>
          <t>انتخاب فاکتور برای چاپ (خالی = آخرین فاکتور)</t>
        </is>
      </c>
    </row>
    <row r="3">
      <c r="A3" s="52">
        <f>IF(InvSel="","هنوز فاکتوری در شیت فروش ثبت نشده است",IF(COUNTIF(tblSales[شماره فاکتور],InvSel)=0,"⚠ شماره فاکتور یافت نشد",IF(COUNTIF(tblSales[شماره فاکتور],InvSel)&gt;14,"⚠ اقلام بیش از 14 ردیف است؛ چاپ فقط 14 قلم اول را نشان می‌دهد",IF(COUNTIFS(tblSales[شماره فاکتور],InvSel,tblSales[وضعیت],"&lt;&gt;ابطال")=0,"⚠ این فاکتور ابطال شده است",""))))</f>
        <v/>
      </c>
      <c r="I3" s="53" t="n"/>
    </row>
    <row r="4">
      <c r="A4" s="54" t="inlineStr">
        <is>
          <t>شماره فاکتور:</t>
        </is>
      </c>
      <c r="B4" s="55">
        <f>InvSel</f>
        <v/>
      </c>
      <c r="C4" s="16" t="n"/>
      <c r="D4" s="54" t="inlineStr">
        <is>
          <t>تاریخ:</t>
        </is>
      </c>
      <c r="E4" s="56">
        <f>IFERROR(INDEX(tblSales[تاریخ],MATCH(InvSel,tblSales[شماره فاکتور],0))&amp;"","")</f>
        <v/>
      </c>
      <c r="F4" s="16" t="n"/>
      <c r="I4" s="57">
        <f>"آخرین فاکتور ثبت‌شده: "&amp;LastInvoice</f>
        <v/>
      </c>
    </row>
    <row r="5">
      <c r="A5" s="54" t="inlineStr">
        <is>
          <t>مشتری:</t>
        </is>
      </c>
      <c r="B5" s="56">
        <f>IFERROR(INDEX(tblSales[نام مشتری],MATCH(InvSel,tblSales[شماره فاکتور],0))&amp;"","")</f>
        <v/>
      </c>
      <c r="C5" s="16" t="n"/>
      <c r="D5" s="54" t="inlineStr">
        <is>
          <t>پرسنل:</t>
        </is>
      </c>
      <c r="E5" s="56">
        <f>IFERROR(IFERROR(INDEX(tblStaff[نام و نام خانوادگی],MATCH(INDEX(tblSales[کد پرسنل],MATCH(InvSel,tblSales[شماره فاکتور],0)),tblStaff[کد پرسنل],0)),""),"")</f>
        <v/>
      </c>
      <c r="F5" s="16" t="n"/>
      <c r="I5" s="57">
        <f>"فاکتور بعدی امروز در شیت فروش: "&amp;(_xlfn.MAXIFS(tblSales[فاکتور روز],tblSales[تاریخ میلادی],TODAY())+1)</f>
        <v/>
      </c>
    </row>
    <row r="6">
      <c r="A6" s="54" t="inlineStr">
        <is>
          <t>تلفن:</t>
        </is>
      </c>
      <c r="B6" s="56">
        <f>IFERROR(INDEX(tblSales[تلفن],MATCH(InvSel,tblSales[شماره فاکتور],0))&amp;"","")</f>
        <v/>
      </c>
      <c r="C6" s="16" t="n"/>
      <c r="D6" s="54" t="inlineStr">
        <is>
          <t>پرداخت:</t>
        </is>
      </c>
      <c r="E6" s="56">
        <f>IFERROR(INDEX(tblSales[روش پرداخت],MATCH(InvSel,tblSales[شماره فاکتور],0))&amp;"","")</f>
        <v/>
      </c>
      <c r="F6" s="16" t="n"/>
      <c r="I6" s="57">
        <f>IF(TRIM(I3&amp;"")="",LastInvoice,TRIM(I3&amp;""))</f>
        <v/>
      </c>
    </row>
    <row r="7">
      <c r="A7" s="54" t="inlineStr">
        <is>
          <t>سفارش:</t>
        </is>
      </c>
      <c r="B7" s="56">
        <f>IFERROR(INDEX(tblSales[[میز/سفارش]],MATCH(InvSel,tblSales[شماره فاکتور],0))&amp;"","")</f>
        <v/>
      </c>
      <c r="C7" s="16" t="n"/>
      <c r="D7" s="54" t="inlineStr">
        <is>
          <t>وضعیت:</t>
        </is>
      </c>
      <c r="E7" s="56">
        <f>IFERROR(INDEX(tblSales[وضعیت مؤثر],MATCH(InvSel,tblSales[شماره فاکتور],0))&amp;"","")</f>
        <v/>
      </c>
      <c r="F7" s="16" t="n"/>
      <c r="I7" s="58" t="inlineStr">
        <is>
          <t>↑ فاکتورِ در حال نمایش (خودکار)</t>
        </is>
      </c>
    </row>
    <row r="8">
      <c r="A8" s="59" t="n"/>
      <c r="B8" s="59" t="n"/>
      <c r="C8" s="59" t="n"/>
      <c r="D8" s="59" t="n"/>
      <c r="E8" s="59" t="n"/>
      <c r="F8" s="59" t="n"/>
    </row>
    <row r="9">
      <c r="A9" s="60" t="inlineStr">
        <is>
          <t>ردیف</t>
        </is>
      </c>
      <c r="B9" s="60" t="inlineStr">
        <is>
          <t>شرح آیتم</t>
        </is>
      </c>
      <c r="C9" s="60" t="inlineStr">
        <is>
          <t>تعداد</t>
        </is>
      </c>
      <c r="D9" s="60" t="inlineStr">
        <is>
          <t>قیمت واحد</t>
        </is>
      </c>
      <c r="E9" s="60" t="inlineStr">
        <is>
          <t>تخفیف</t>
        </is>
      </c>
      <c r="F9" s="60" t="inlineStr">
        <is>
          <t>مبلغ</t>
        </is>
      </c>
      <c r="I9" s="58" t="inlineStr">
        <is>
          <t>ردیف کمکی (چاپ نمی‌شود)</t>
        </is>
      </c>
    </row>
    <row r="10">
      <c r="A10" s="61">
        <f>IF($I10="","",1)</f>
        <v/>
      </c>
      <c r="B10" s="56">
        <f>IF($I10="","",INDEX(tblSales[نام محصول],$I10)&amp;IF(INDEX(tblSales[وضعیت],$I10)="ابطال"," (ابطال)",""))</f>
        <v/>
      </c>
      <c r="C10" s="61">
        <f>IF($I10="","",INDEX(tblSales[تعداد],$I10))</f>
        <v/>
      </c>
      <c r="D10" s="62">
        <f>IF($I10="","",INDEX(tblSales[قیمت واحد],$I10))</f>
        <v/>
      </c>
      <c r="E10" s="62">
        <f>IF($I10="","",IF(INDEX(tblSales[وضعیت],$I10)="ابطال",0,INDEX(tblSales[مبلغ تخفیف],$I10)))</f>
        <v/>
      </c>
      <c r="F10" s="62">
        <f>IF($I10="","",IF(INDEX(tblSales[وضعیت],$I10)="ابطال",0,INDEX(tblSales[فروش خالص],$I10)))</f>
        <v/>
      </c>
      <c r="I10" s="58">
        <f>IF(InvSel="","",IFERROR(MATCH(InvSel,tblSales[شماره فاکتور],0),""))</f>
        <v/>
      </c>
    </row>
    <row r="11">
      <c r="A11" s="61">
        <f>IF($I11="","",2)</f>
        <v/>
      </c>
      <c r="B11" s="56">
        <f>IF($I11="","",INDEX(tblSales[نام محصول],$I11)&amp;IF(INDEX(tblSales[وضعیت],$I11)="ابطال"," (ابطال)",""))</f>
        <v/>
      </c>
      <c r="C11" s="61">
        <f>IF($I11="","",INDEX(tblSales[تعداد],$I11))</f>
        <v/>
      </c>
      <c r="D11" s="62">
        <f>IF($I11="","",INDEX(tblSales[قیمت واحد],$I11))</f>
        <v/>
      </c>
      <c r="E11" s="62">
        <f>IF($I11="","",IF(INDEX(tblSales[وضعیت],$I11)="ابطال",0,INDEX(tblSales[مبلغ تخفیف],$I11)))</f>
        <v/>
      </c>
      <c r="F11" s="62">
        <f>IF($I11="","",IF(INDEX(tblSales[وضعیت],$I11)="ابطال",0,INDEX(tblSales[فروش خالص],$I11)))</f>
        <v/>
      </c>
      <c r="I11" s="58">
        <f>IF($I10="","",IFERROR($I10+MATCH(InvSel,INDEX(tblSales[شماره فاکتور],$I10+1):INDEX(tblSales[شماره فاکتور],ROWS(tblSales[شماره فاکتور])),0),""))</f>
        <v/>
      </c>
    </row>
    <row r="12">
      <c r="A12" s="61">
        <f>IF($I12="","",3)</f>
        <v/>
      </c>
      <c r="B12" s="56">
        <f>IF($I12="","",INDEX(tblSales[نام محصول],$I12)&amp;IF(INDEX(tblSales[وضعیت],$I12)="ابطال"," (ابطال)",""))</f>
        <v/>
      </c>
      <c r="C12" s="61">
        <f>IF($I12="","",INDEX(tblSales[تعداد],$I12))</f>
        <v/>
      </c>
      <c r="D12" s="62">
        <f>IF($I12="","",INDEX(tblSales[قیمت واحد],$I12))</f>
        <v/>
      </c>
      <c r="E12" s="62">
        <f>IF($I12="","",IF(INDEX(tblSales[وضعیت],$I12)="ابطال",0,INDEX(tblSales[مبلغ تخفیف],$I12)))</f>
        <v/>
      </c>
      <c r="F12" s="62">
        <f>IF($I12="","",IF(INDEX(tblSales[وضعیت],$I12)="ابطال",0,INDEX(tblSales[فروش خالص],$I12)))</f>
        <v/>
      </c>
      <c r="I12" s="58">
        <f>IF($I11="","",IFERROR($I11+MATCH(InvSel,INDEX(tblSales[شماره فاکتور],$I11+1):INDEX(tblSales[شماره فاکتور],ROWS(tblSales[شماره فاکتور])),0),""))</f>
        <v/>
      </c>
    </row>
    <row r="13">
      <c r="A13" s="61">
        <f>IF($I13="","",4)</f>
        <v/>
      </c>
      <c r="B13" s="56">
        <f>IF($I13="","",INDEX(tblSales[نام محصول],$I13)&amp;IF(INDEX(tblSales[وضعیت],$I13)="ابطال"," (ابطال)",""))</f>
        <v/>
      </c>
      <c r="C13" s="61">
        <f>IF($I13="","",INDEX(tblSales[تعداد],$I13))</f>
        <v/>
      </c>
      <c r="D13" s="62">
        <f>IF($I13="","",INDEX(tblSales[قیمت واحد],$I13))</f>
        <v/>
      </c>
      <c r="E13" s="62">
        <f>IF($I13="","",IF(INDEX(tblSales[وضعیت],$I13)="ابطال",0,INDEX(tblSales[مبلغ تخفیف],$I13)))</f>
        <v/>
      </c>
      <c r="F13" s="62">
        <f>IF($I13="","",IF(INDEX(tblSales[وضعیت],$I13)="ابطال",0,INDEX(tblSales[فروش خالص],$I13)))</f>
        <v/>
      </c>
      <c r="I13" s="58">
        <f>IF($I12="","",IFERROR($I12+MATCH(InvSel,INDEX(tblSales[شماره فاکتور],$I12+1):INDEX(tblSales[شماره فاکتور],ROWS(tblSales[شماره فاکتور])),0),""))</f>
        <v/>
      </c>
    </row>
    <row r="14">
      <c r="A14" s="61">
        <f>IF($I14="","",5)</f>
        <v/>
      </c>
      <c r="B14" s="56">
        <f>IF($I14="","",INDEX(tblSales[نام محصول],$I14)&amp;IF(INDEX(tblSales[وضعیت],$I14)="ابطال"," (ابطال)",""))</f>
        <v/>
      </c>
      <c r="C14" s="61">
        <f>IF($I14="","",INDEX(tblSales[تعداد],$I14))</f>
        <v/>
      </c>
      <c r="D14" s="62">
        <f>IF($I14="","",INDEX(tblSales[قیمت واحد],$I14))</f>
        <v/>
      </c>
      <c r="E14" s="62">
        <f>IF($I14="","",IF(INDEX(tblSales[وضعیت],$I14)="ابطال",0,INDEX(tblSales[مبلغ تخفیف],$I14)))</f>
        <v/>
      </c>
      <c r="F14" s="62">
        <f>IF($I14="","",IF(INDEX(tblSales[وضعیت],$I14)="ابطال",0,INDEX(tblSales[فروش خالص],$I14)))</f>
        <v/>
      </c>
      <c r="I14" s="58">
        <f>IF($I13="","",IFERROR($I13+MATCH(InvSel,INDEX(tblSales[شماره فاکتور],$I13+1):INDEX(tblSales[شماره فاکتور],ROWS(tblSales[شماره فاکتور])),0),""))</f>
        <v/>
      </c>
    </row>
    <row r="15">
      <c r="A15" s="61">
        <f>IF($I15="","",6)</f>
        <v/>
      </c>
      <c r="B15" s="56">
        <f>IF($I15="","",INDEX(tblSales[نام محصول],$I15)&amp;IF(INDEX(tblSales[وضعیت],$I15)="ابطال"," (ابطال)",""))</f>
        <v/>
      </c>
      <c r="C15" s="61">
        <f>IF($I15="","",INDEX(tblSales[تعداد],$I15))</f>
        <v/>
      </c>
      <c r="D15" s="62">
        <f>IF($I15="","",INDEX(tblSales[قیمت واحد],$I15))</f>
        <v/>
      </c>
      <c r="E15" s="62">
        <f>IF($I15="","",IF(INDEX(tblSales[وضعیت],$I15)="ابطال",0,INDEX(tblSales[مبلغ تخفیف],$I15)))</f>
        <v/>
      </c>
      <c r="F15" s="62">
        <f>IF($I15="","",IF(INDEX(tblSales[وضعیت],$I15)="ابطال",0,INDEX(tblSales[فروش خالص],$I15)))</f>
        <v/>
      </c>
      <c r="I15" s="58">
        <f>IF($I14="","",IFERROR($I14+MATCH(InvSel,INDEX(tblSales[شماره فاکتور],$I14+1):INDEX(tblSales[شماره فاکتور],ROWS(tblSales[شماره فاکتور])),0),""))</f>
        <v/>
      </c>
    </row>
    <row r="16">
      <c r="A16" s="61">
        <f>IF($I16="","",7)</f>
        <v/>
      </c>
      <c r="B16" s="56">
        <f>IF($I16="","",INDEX(tblSales[نام محصول],$I16)&amp;IF(INDEX(tblSales[وضعیت],$I16)="ابطال"," (ابطال)",""))</f>
        <v/>
      </c>
      <c r="C16" s="61">
        <f>IF($I16="","",INDEX(tblSales[تعداد],$I16))</f>
        <v/>
      </c>
      <c r="D16" s="62">
        <f>IF($I16="","",INDEX(tblSales[قیمت واحد],$I16))</f>
        <v/>
      </c>
      <c r="E16" s="62">
        <f>IF($I16="","",IF(INDEX(tblSales[وضعیت],$I16)="ابطال",0,INDEX(tblSales[مبلغ تخفیف],$I16)))</f>
        <v/>
      </c>
      <c r="F16" s="62">
        <f>IF($I16="","",IF(INDEX(tblSales[وضعیت],$I16)="ابطال",0,INDEX(tblSales[فروش خالص],$I16)))</f>
        <v/>
      </c>
      <c r="I16" s="58">
        <f>IF($I15="","",IFERROR($I15+MATCH(InvSel,INDEX(tblSales[شماره فاکتور],$I15+1):INDEX(tblSales[شماره فاکتور],ROWS(tblSales[شماره فاکتور])),0),""))</f>
        <v/>
      </c>
    </row>
    <row r="17">
      <c r="A17" s="61">
        <f>IF($I17="","",8)</f>
        <v/>
      </c>
      <c r="B17" s="56">
        <f>IF($I17="","",INDEX(tblSales[نام محصول],$I17)&amp;IF(INDEX(tblSales[وضعیت],$I17)="ابطال"," (ابطال)",""))</f>
        <v/>
      </c>
      <c r="C17" s="61">
        <f>IF($I17="","",INDEX(tblSales[تعداد],$I17))</f>
        <v/>
      </c>
      <c r="D17" s="62">
        <f>IF($I17="","",INDEX(tblSales[قیمت واحد],$I17))</f>
        <v/>
      </c>
      <c r="E17" s="62">
        <f>IF($I17="","",IF(INDEX(tblSales[وضعیت],$I17)="ابطال",0,INDEX(tblSales[مبلغ تخفیف],$I17)))</f>
        <v/>
      </c>
      <c r="F17" s="62">
        <f>IF($I17="","",IF(INDEX(tblSales[وضعیت],$I17)="ابطال",0,INDEX(tblSales[فروش خالص],$I17)))</f>
        <v/>
      </c>
      <c r="I17" s="58">
        <f>IF($I16="","",IFERROR($I16+MATCH(InvSel,INDEX(tblSales[شماره فاکتور],$I16+1):INDEX(tblSales[شماره فاکتور],ROWS(tblSales[شماره فاکتور])),0),""))</f>
        <v/>
      </c>
    </row>
    <row r="18">
      <c r="A18" s="61">
        <f>IF($I18="","",9)</f>
        <v/>
      </c>
      <c r="B18" s="56">
        <f>IF($I18="","",INDEX(tblSales[نام محصول],$I18)&amp;IF(INDEX(tblSales[وضعیت],$I18)="ابطال"," (ابطال)",""))</f>
        <v/>
      </c>
      <c r="C18" s="61">
        <f>IF($I18="","",INDEX(tblSales[تعداد],$I18))</f>
        <v/>
      </c>
      <c r="D18" s="62">
        <f>IF($I18="","",INDEX(tblSales[قیمت واحد],$I18))</f>
        <v/>
      </c>
      <c r="E18" s="62">
        <f>IF($I18="","",IF(INDEX(tblSales[وضعیت],$I18)="ابطال",0,INDEX(tblSales[مبلغ تخفیف],$I18)))</f>
        <v/>
      </c>
      <c r="F18" s="62">
        <f>IF($I18="","",IF(INDEX(tblSales[وضعیت],$I18)="ابطال",0,INDEX(tblSales[فروش خالص],$I18)))</f>
        <v/>
      </c>
      <c r="I18" s="58">
        <f>IF($I17="","",IFERROR($I17+MATCH(InvSel,INDEX(tblSales[شماره فاکتور],$I17+1):INDEX(tblSales[شماره فاکتور],ROWS(tblSales[شماره فاکتور])),0),""))</f>
        <v/>
      </c>
    </row>
    <row r="19">
      <c r="A19" s="61">
        <f>IF($I19="","",10)</f>
        <v/>
      </c>
      <c r="B19" s="56">
        <f>IF($I19="","",INDEX(tblSales[نام محصول],$I19)&amp;IF(INDEX(tblSales[وضعیت],$I19)="ابطال"," (ابطال)",""))</f>
        <v/>
      </c>
      <c r="C19" s="61">
        <f>IF($I19="","",INDEX(tblSales[تعداد],$I19))</f>
        <v/>
      </c>
      <c r="D19" s="62">
        <f>IF($I19="","",INDEX(tblSales[قیمت واحد],$I19))</f>
        <v/>
      </c>
      <c r="E19" s="62">
        <f>IF($I19="","",IF(INDEX(tblSales[وضعیت],$I19)="ابطال",0,INDEX(tblSales[مبلغ تخفیف],$I19)))</f>
        <v/>
      </c>
      <c r="F19" s="62">
        <f>IF($I19="","",IF(INDEX(tblSales[وضعیت],$I19)="ابطال",0,INDEX(tblSales[فروش خالص],$I19)))</f>
        <v/>
      </c>
      <c r="I19" s="58">
        <f>IF($I18="","",IFERROR($I18+MATCH(InvSel,INDEX(tblSales[شماره فاکتور],$I18+1):INDEX(tblSales[شماره فاکتور],ROWS(tblSales[شماره فاکتور])),0),""))</f>
        <v/>
      </c>
    </row>
    <row r="20">
      <c r="A20" s="61">
        <f>IF($I20="","",11)</f>
        <v/>
      </c>
      <c r="B20" s="56">
        <f>IF($I20="","",INDEX(tblSales[نام محصول],$I20)&amp;IF(INDEX(tblSales[وضعیت],$I20)="ابطال"," (ابطال)",""))</f>
        <v/>
      </c>
      <c r="C20" s="61">
        <f>IF($I20="","",INDEX(tblSales[تعداد],$I20))</f>
        <v/>
      </c>
      <c r="D20" s="62">
        <f>IF($I20="","",INDEX(tblSales[قیمت واحد],$I20))</f>
        <v/>
      </c>
      <c r="E20" s="62">
        <f>IF($I20="","",IF(INDEX(tblSales[وضعیت],$I20)="ابطال",0,INDEX(tblSales[مبلغ تخفیف],$I20)))</f>
        <v/>
      </c>
      <c r="F20" s="62">
        <f>IF($I20="","",IF(INDEX(tblSales[وضعیت],$I20)="ابطال",0,INDEX(tblSales[فروش خالص],$I20)))</f>
        <v/>
      </c>
      <c r="I20" s="58">
        <f>IF($I19="","",IFERROR($I19+MATCH(InvSel,INDEX(tblSales[شماره فاکتور],$I19+1):INDEX(tblSales[شماره فاکتور],ROWS(tblSales[شماره فاکتور])),0),""))</f>
        <v/>
      </c>
    </row>
    <row r="21">
      <c r="A21" s="61">
        <f>IF($I21="","",12)</f>
        <v/>
      </c>
      <c r="B21" s="56">
        <f>IF($I21="","",INDEX(tblSales[نام محصول],$I21)&amp;IF(INDEX(tblSales[وضعیت],$I21)="ابطال"," (ابطال)",""))</f>
        <v/>
      </c>
      <c r="C21" s="61">
        <f>IF($I21="","",INDEX(tblSales[تعداد],$I21))</f>
        <v/>
      </c>
      <c r="D21" s="62">
        <f>IF($I21="","",INDEX(tblSales[قیمت واحد],$I21))</f>
        <v/>
      </c>
      <c r="E21" s="62">
        <f>IF($I21="","",IF(INDEX(tblSales[وضعیت],$I21)="ابطال",0,INDEX(tblSales[مبلغ تخفیف],$I21)))</f>
        <v/>
      </c>
      <c r="F21" s="62">
        <f>IF($I21="","",IF(INDEX(tblSales[وضعیت],$I21)="ابطال",0,INDEX(tblSales[فروش خالص],$I21)))</f>
        <v/>
      </c>
      <c r="I21" s="58">
        <f>IF($I20="","",IFERROR($I20+MATCH(InvSel,INDEX(tblSales[شماره فاکتور],$I20+1):INDEX(tblSales[شماره فاکتور],ROWS(tblSales[شماره فاکتور])),0),""))</f>
        <v/>
      </c>
    </row>
    <row r="22">
      <c r="A22" s="61">
        <f>IF($I22="","",13)</f>
        <v/>
      </c>
      <c r="B22" s="56">
        <f>IF($I22="","",INDEX(tblSales[نام محصول],$I22)&amp;IF(INDEX(tblSales[وضعیت],$I22)="ابطال"," (ابطال)",""))</f>
        <v/>
      </c>
      <c r="C22" s="61">
        <f>IF($I22="","",INDEX(tblSales[تعداد],$I22))</f>
        <v/>
      </c>
      <c r="D22" s="62">
        <f>IF($I22="","",INDEX(tblSales[قیمت واحد],$I22))</f>
        <v/>
      </c>
      <c r="E22" s="62">
        <f>IF($I22="","",IF(INDEX(tblSales[وضعیت],$I22)="ابطال",0,INDEX(tblSales[مبلغ تخفیف],$I22)))</f>
        <v/>
      </c>
      <c r="F22" s="62">
        <f>IF($I22="","",IF(INDEX(tblSales[وضعیت],$I22)="ابطال",0,INDEX(tblSales[فروش خالص],$I22)))</f>
        <v/>
      </c>
      <c r="I22" s="58">
        <f>IF($I21="","",IFERROR($I21+MATCH(InvSel,INDEX(tblSales[شماره فاکتور],$I21+1):INDEX(tblSales[شماره فاکتور],ROWS(tblSales[شماره فاکتور])),0),""))</f>
        <v/>
      </c>
    </row>
    <row r="23">
      <c r="A23" s="61">
        <f>IF($I23="","",14)</f>
        <v/>
      </c>
      <c r="B23" s="56">
        <f>IF($I23="","",INDEX(tblSales[نام محصول],$I23)&amp;IF(INDEX(tblSales[وضعیت],$I23)="ابطال"," (ابطال)",""))</f>
        <v/>
      </c>
      <c r="C23" s="61">
        <f>IF($I23="","",INDEX(tblSales[تعداد],$I23))</f>
        <v/>
      </c>
      <c r="D23" s="62">
        <f>IF($I23="","",INDEX(tblSales[قیمت واحد],$I23))</f>
        <v/>
      </c>
      <c r="E23" s="62">
        <f>IF($I23="","",IF(INDEX(tblSales[وضعیت],$I23)="ابطال",0,INDEX(tblSales[مبلغ تخفیف],$I23)))</f>
        <v/>
      </c>
      <c r="F23" s="62">
        <f>IF($I23="","",IF(INDEX(tblSales[وضعیت],$I23)="ابطال",0,INDEX(tblSales[فروش خالص],$I23)))</f>
        <v/>
      </c>
      <c r="I23" s="58">
        <f>IF($I22="","",IFERROR($I22+MATCH(InvSel,INDEX(tblSales[شماره فاکتور],$I22+1):INDEX(tblSales[شماره فاکتور],ROWS(tblSales[شماره فاکتور])),0),""))</f>
        <v/>
      </c>
    </row>
    <row r="24">
      <c r="A24" s="59" t="n"/>
      <c r="B24" s="59" t="n"/>
      <c r="C24" s="59" t="n"/>
      <c r="D24" s="59" t="n"/>
      <c r="E24" s="59" t="n"/>
      <c r="F24" s="59" t="n"/>
    </row>
    <row r="25">
      <c r="A25" s="59" t="n"/>
      <c r="B25" s="59" t="n"/>
      <c r="C25" s="59" t="n"/>
      <c r="D25" s="63" t="inlineStr">
        <is>
          <t>جمع تخفیف:</t>
        </is>
      </c>
      <c r="F25" s="64">
        <f>SUMIFS(tblSales[مبلغ تخفیف],tblSales[شماره فاکتور],InvSel,tblSales[وضعیت],"&lt;&gt;ابطال")</f>
        <v/>
      </c>
    </row>
    <row r="26">
      <c r="A26" s="59" t="n"/>
      <c r="B26" s="59" t="n"/>
      <c r="C26" s="59" t="n"/>
      <c r="D26" s="63" t="inlineStr">
        <is>
          <t>جمع پیش از مالیات:</t>
        </is>
      </c>
      <c r="F26" s="64">
        <f>SUMIFS(tblSales[فروش خالص],tblSales[شماره فاکتور],InvSel,tblSales[وضعیت],"&lt;&gt;ابطال")</f>
        <v/>
      </c>
    </row>
    <row r="27">
      <c r="A27" s="59" t="n"/>
      <c r="B27" s="59" t="n"/>
      <c r="C27" s="59" t="n"/>
      <c r="D27" s="63" t="inlineStr">
        <is>
          <t>مالیات:</t>
        </is>
      </c>
      <c r="F27" s="64">
        <f>F26*Cfg_Tax</f>
        <v/>
      </c>
    </row>
    <row r="28">
      <c r="A28" s="59" t="n"/>
      <c r="B28" s="59" t="n"/>
      <c r="C28" s="59" t="n"/>
      <c r="D28" s="63" t="inlineStr">
        <is>
          <t>مبلغ قابل پرداخت:</t>
        </is>
      </c>
      <c r="F28" s="65">
        <f>F26+F27</f>
        <v/>
      </c>
    </row>
    <row r="29">
      <c r="A29" s="59" t="n"/>
      <c r="B29" s="59" t="n"/>
      <c r="C29" s="59" t="n"/>
      <c r="D29" s="59" t="n"/>
      <c r="E29" s="59" t="n"/>
      <c r="F29" s="59" t="n"/>
    </row>
    <row r="30">
      <c r="A30" s="50">
        <f>"سپاس از انتخاب شما 🌿 | "&amp;Cfg_CafeName&amp;" | مبالغ به "&amp;"هزار تومان"</f>
        <v/>
      </c>
    </row>
    <row r="31">
      <c r="A31" s="59" t="n"/>
      <c r="B31" s="59" t="n"/>
      <c r="C31" s="59" t="n"/>
      <c r="D31" s="59" t="n"/>
      <c r="E31" s="59" t="n"/>
      <c r="F31" s="59" t="n"/>
    </row>
  </sheetData>
  <mergeCells count="16">
    <mergeCell ref="D25:E25"/>
    <mergeCell ref="A2:F2"/>
    <mergeCell ref="E4:F4"/>
    <mergeCell ref="B6:C6"/>
    <mergeCell ref="E6:F6"/>
    <mergeCell ref="B7:C7"/>
    <mergeCell ref="E7:F7"/>
    <mergeCell ref="B5:C5"/>
    <mergeCell ref="A1:F1"/>
    <mergeCell ref="D27:E27"/>
    <mergeCell ref="E5:F5"/>
    <mergeCell ref="D28:E28"/>
    <mergeCell ref="A3:F3"/>
    <mergeCell ref="A30:F30"/>
    <mergeCell ref="D26:E26"/>
    <mergeCell ref="B4:C4"/>
  </mergeCells>
  <dataValidations count="1">
    <dataValidation sqref="I3" showDropDown="0" showInputMessage="0" showErrorMessage="1" allowBlank="1" errorTitle="ورودی نامعتبر" error="لطفاً یک مقدار معتبر از فهرست انتخاب کنید." type="list" errorStyle="warning">
      <formula1>=InvoiceList</formula1>
    </dataValidation>
  </dataValidations>
  <pageMargins left="0.25" right="0.25" top="0.4" bottom="0.4" header="0.5" footer="0.5"/>
  <pageSetup orientation="portrait" paperSize="9" fitToHeight="1" fitToWidth="1"/>
  <headerFooter>
    <oddHeader/>
    <oddFooter>&amp;Cکافه ریحا | صفحه &amp;P از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AM35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12" customWidth="1" min="2" max="2"/>
    <col width="12" customWidth="1" min="3" max="3"/>
    <col width="11" customWidth="1" min="4" max="4"/>
    <col width="18" customWidth="1" min="5" max="5"/>
    <col width="10" customWidth="1" min="6" max="6"/>
    <col width="9" customWidth="1" min="7" max="7"/>
    <col width="9" customWidth="1" min="8" max="8"/>
    <col width="11" customWidth="1" min="9" max="9"/>
    <col width="16" customWidth="1" min="10" max="10"/>
    <col width="10" customWidth="1" min="11" max="11"/>
    <col width="10" customWidth="1" min="12" max="12"/>
    <col width="22" customWidth="1" min="13" max="13"/>
    <col width="20" customWidth="1" min="14" max="14"/>
    <col width="7" customWidth="1" min="15" max="15"/>
    <col width="11" customWidth="1" min="16" max="16"/>
    <col width="11" customWidth="1" min="17" max="17"/>
    <col width="11" customWidth="1" min="18" max="18"/>
    <col width="11" customWidth="1" min="19" max="19"/>
    <col width="3" customWidth="1" min="20" max="20"/>
    <col width="11" customWidth="1" min="21" max="21"/>
    <col width="18" customWidth="1" min="22" max="22"/>
    <col width="12" customWidth="1" min="23" max="23"/>
    <col width="9" customWidth="1" min="24" max="24"/>
    <col width="11" customWidth="1" min="25" max="25"/>
    <col width="10" customWidth="1" min="26" max="26"/>
    <col width="9" customWidth="1" min="27" max="27"/>
    <col width="11" customWidth="1" min="28" max="28"/>
    <col width="10" customWidth="1" min="29" max="29"/>
    <col width="10" customWidth="1" min="30" max="30"/>
    <col width="10" customWidth="1" min="31" max="31"/>
    <col width="11" customWidth="1" min="32" max="32"/>
    <col width="10" customWidth="1" min="33" max="33"/>
    <col width="11" customWidth="1" min="34" max="34"/>
    <col width="11" customWidth="1" min="35" max="35"/>
    <col width="11" customWidth="1" min="36" max="36"/>
    <col width="10" customWidth="1" min="37" max="37"/>
    <col width="9" customWidth="1" min="38" max="38"/>
    <col width="8" customWidth="1" min="39" max="39"/>
  </cols>
  <sheetData>
    <row r="1" ht="30" customHeight="1">
      <c r="A1" s="1" t="inlineStr">
        <is>
          <t>خرید و انبار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خرید، ضایعات و اصلاح موجودی در یک دفتر ثبت می‌شود؛ وضعیت خالی = «تایید شده». موجودی هر ماده با خرید زیاد و با فروش (طبق رسپی)، ضایعات و اصلاح کم می‌شود.</t>
        </is>
      </c>
    </row>
    <row r="3" ht="26" customHeight="1">
      <c r="A3" s="37" t="inlineStr">
        <is>
          <t>ردیف‌ها</t>
        </is>
      </c>
      <c r="B3" s="39">
        <f>COUNTA(tblStockLog[کد ماده])</f>
        <v/>
      </c>
      <c r="C3" s="37" t="inlineStr">
        <is>
          <t>پیش‌نویس</t>
        </is>
      </c>
      <c r="D3" s="39">
        <f>COUNTIF(tblStockLog[وضعیت مؤثر],"پیش‌نویس")</f>
        <v/>
      </c>
      <c r="E3" s="37" t="inlineStr">
        <is>
          <t>ردیف نیازمند اصلاح</t>
        </is>
      </c>
      <c r="F3" s="39">
        <f>SUMPRODUCT(--(LEN(tblStockLog[پیام بررسی])&gt;0))</f>
        <v/>
      </c>
      <c r="G3" s="37" t="inlineStr">
        <is>
          <t>خرید تاییدشده</t>
        </is>
      </c>
      <c r="H3" s="40">
        <f>SUMIFS(tblStockLog[مبلغ خالص],tblStockLog[وضعیت مؤثر],"تایید شده")</f>
        <v/>
      </c>
      <c r="U3" s="37" t="inlineStr">
        <is>
          <t>مواد</t>
        </is>
      </c>
      <c r="V3" s="39">
        <f>COUNTA(tblIngredients[کد ماده])</f>
        <v/>
      </c>
      <c r="W3" s="37" t="inlineStr">
        <is>
          <t>نیاز به خرید</t>
        </is>
      </c>
      <c r="X3" s="39">
        <f>COUNTIF(tblIngredients[وضعیت],"نیاز به خرید")</f>
        <v/>
      </c>
      <c r="Y3" s="37" t="inlineStr">
        <is>
          <t>ناموجود</t>
        </is>
      </c>
      <c r="Z3" s="39">
        <f>COUNTIF(tblIngredients[وضعیت],"ناموجود")</f>
        <v/>
      </c>
      <c r="AA3" s="37" t="inlineStr">
        <is>
          <t>ارزش انبار</t>
        </is>
      </c>
      <c r="AB3" s="40">
        <f>SUM(tblIngredients[ارزش موجودی])</f>
        <v/>
      </c>
    </row>
    <row r="4" ht="18" customHeight="1">
      <c r="A4" s="13" t="inlineStr">
        <is>
          <t>دفتر انبار: خرید ← ضایعات ← اصلاح موجودی (فقط ردیف «تایید شده» و بدون خطا اثر دارد)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U4" s="13" t="inlineStr">
        <is>
          <t>مواد اولیه و موجودی زنده  |  موجودی = آغازین + خرید + اصلاح − ضایعات − مصرف فروش (طبق رسپی)</t>
        </is>
      </c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</row>
    <row r="5" ht="34" customHeight="1">
      <c r="A5" s="41" t="inlineStr">
        <is>
          <t>تاریخ</t>
        </is>
      </c>
      <c r="B5" s="41" t="inlineStr">
        <is>
          <t>شماره سند</t>
        </is>
      </c>
      <c r="C5" s="41" t="inlineStr">
        <is>
          <t>نوع</t>
        </is>
      </c>
      <c r="D5" s="41" t="inlineStr">
        <is>
          <t>کد ماده</t>
        </is>
      </c>
      <c r="E5" s="32" t="inlineStr">
        <is>
          <t>نام ماده</t>
        </is>
      </c>
      <c r="F5" s="41" t="inlineStr">
        <is>
          <t>مقدار</t>
        </is>
      </c>
      <c r="G5" s="41" t="inlineStr">
        <is>
          <t>بهای واحد</t>
        </is>
      </c>
      <c r="H5" s="41" t="inlineStr">
        <is>
          <t>تخفیف</t>
        </is>
      </c>
      <c r="I5" s="41" t="inlineStr">
        <is>
          <t>کد تأمین‌کننده</t>
        </is>
      </c>
      <c r="J5" s="32" t="inlineStr">
        <is>
          <t>نام تأمین‌کننده</t>
        </is>
      </c>
      <c r="K5" s="41" t="inlineStr">
        <is>
          <t>روش پرداخت</t>
        </is>
      </c>
      <c r="L5" s="41" t="inlineStr">
        <is>
          <t>وضعیت</t>
        </is>
      </c>
      <c r="M5" s="41" t="inlineStr">
        <is>
          <t>توضیح</t>
        </is>
      </c>
      <c r="N5" s="32" t="inlineStr">
        <is>
          <t>پیام بررسی</t>
        </is>
      </c>
      <c r="O5" s="32" t="inlineStr">
        <is>
          <t>معتبر</t>
        </is>
      </c>
      <c r="P5" s="32" t="inlineStr">
        <is>
          <t>اثر بر موجودی</t>
        </is>
      </c>
      <c r="Q5" s="32" t="inlineStr">
        <is>
          <t>مبلغ خالص</t>
        </is>
      </c>
      <c r="R5" s="32" t="inlineStr">
        <is>
          <t>وضعیت مؤثر</t>
        </is>
      </c>
      <c r="S5" s="32" t="inlineStr">
        <is>
          <t>تاریخ میلادی</t>
        </is>
      </c>
      <c r="U5" s="41" t="inlineStr">
        <is>
          <t>کد ماده</t>
        </is>
      </c>
      <c r="V5" s="41" t="inlineStr">
        <is>
          <t>نام ماده</t>
        </is>
      </c>
      <c r="W5" s="41" t="inlineStr">
        <is>
          <t>گروه</t>
        </is>
      </c>
      <c r="X5" s="41" t="inlineStr">
        <is>
          <t>واحد</t>
        </is>
      </c>
      <c r="Y5" s="41" t="inlineStr">
        <is>
          <t>موجودی آغازین</t>
        </is>
      </c>
      <c r="Z5" s="41" t="inlineStr">
        <is>
          <t>بهای آغازین</t>
        </is>
      </c>
      <c r="AA5" s="41" t="inlineStr">
        <is>
          <t>حد سفارش</t>
        </is>
      </c>
      <c r="AB5" s="41" t="inlineStr">
        <is>
          <t>تأمین‌کننده</t>
        </is>
      </c>
      <c r="AC5" s="32" t="inlineStr">
        <is>
          <t>ورودی خرید</t>
        </is>
      </c>
      <c r="AD5" s="32" t="inlineStr">
        <is>
          <t>مصرف کل</t>
        </is>
      </c>
      <c r="AE5" s="32" t="inlineStr">
        <is>
          <t>ضایعات و اصلاح</t>
        </is>
      </c>
      <c r="AF5" s="32" t="inlineStr">
        <is>
          <t>موجودی فعلی</t>
        </is>
      </c>
      <c r="AG5" s="32" t="inlineStr">
        <is>
          <t>بهای میانگین</t>
        </is>
      </c>
      <c r="AH5" s="32" t="inlineStr">
        <is>
          <t>ارزش موجودی</t>
        </is>
      </c>
      <c r="AI5" s="32" t="inlineStr">
        <is>
          <t>وضعیت</t>
        </is>
      </c>
      <c r="AJ5" s="32" t="inlineStr">
        <is>
          <t>کمبود تا حد سفارش</t>
        </is>
      </c>
      <c r="AK5" s="32" t="inlineStr">
        <is>
          <t>مصرف بازه</t>
        </is>
      </c>
      <c r="AL5" s="32" t="inlineStr">
        <is>
          <t>پوشش روز</t>
        </is>
      </c>
      <c r="AM5" s="32" t="inlineStr">
        <is>
          <t>ردیف هشدار</t>
        </is>
      </c>
    </row>
    <row r="6">
      <c r="A6" s="42" t="n"/>
      <c r="B6" s="44" t="n"/>
      <c r="C6" s="44" t="n"/>
      <c r="D6" s="44" t="n"/>
      <c r="E6" s="33">
        <f>IF(tblStockLog[[#This Row],[کد ماده]]="","",IFERROR(INDEX(tblIngredients[نام ماده],MATCH(tblStockLog[[#This Row],[کد ماده]],tblIngredients[کد ماده],0)),"کد نامعتبر"))</f>
        <v/>
      </c>
      <c r="F6" s="66" t="n"/>
      <c r="G6" s="67" t="n"/>
      <c r="H6" s="68" t="n"/>
      <c r="I6" s="44" t="n"/>
      <c r="J6" s="33">
        <f>IF(tblStockLog[[#This Row],[کد تأمین‌کننده]]="","",IFERROR(INDEX(tblSuppliers[نام تأمین‌کننده],MATCH(tblStockLog[[#This Row],[کد تأمین‌کننده]],tblSuppliers[کد تأمین‌کننده],0)),"کد نامعتبر"))</f>
        <v/>
      </c>
      <c r="K6" s="44" t="n"/>
      <c r="L6" s="44" t="n"/>
      <c r="M6" s="44" t="n"/>
      <c r="N6" s="33">
        <f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f>
        <v/>
      </c>
      <c r="O6" s="48">
        <f>IF(tblStockLog[[#This Row],[کد ماده]]="","",IF(tblStockLog[[#This Row],[پیام بررسی]]="",1,0))</f>
        <v/>
      </c>
      <c r="P6" s="69">
        <f>IF(tblStockLog[[#This Row],[کد ماده]]="","",IF(tblStockLog[[#This Row],[معتبر]]=1,IF(tblStockLog[[#This Row],[نوع]]="ضایعات",-ABS(tblStockLog[[#This Row],[مقدار]]),tblStockLog[[#This Row],[مقدار]]),0))</f>
        <v/>
      </c>
      <c r="Q6" s="34">
        <f>IF(tblStockLog[[#This Row],[کد ماده]]="","",IF(AND(tblStockLog[[#This Row],[معتبر]]=1,tblStockLog[[#This Row],[نوع]]="خرید"),tblStockLog[[#This Row],[مقدار]]*tblStockLog[[#This Row],[بهای واحد]]-N(tblStockLog[[#This Row],[تخفیف]]),0))</f>
        <v/>
      </c>
      <c r="R6" s="33">
        <f>IF(tblStockLog[[#This Row],[کد ماده]]="","",IF(tblStockLog[[#This Row],[وضعیت]]="","تایید شده",tblStockLog[[#This Row],[وضعیت]]))</f>
        <v/>
      </c>
      <c r="S6" s="48">
        <f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U6" s="44" t="inlineStr">
        <is>
          <t>ING-001</t>
        </is>
      </c>
      <c r="V6" s="44" t="inlineStr">
        <is>
          <t>دانه قهوه</t>
        </is>
      </c>
      <c r="W6" s="44" t="inlineStr">
        <is>
          <t>قهوه</t>
        </is>
      </c>
      <c r="X6" s="44" t="inlineStr">
        <is>
          <t>گرم</t>
        </is>
      </c>
      <c r="Y6" s="66" t="n">
        <v>6000</v>
      </c>
      <c r="Z6" s="67" t="n">
        <v>1.15</v>
      </c>
      <c r="AA6" s="70" t="n">
        <v>1000</v>
      </c>
      <c r="AB6" s="44" t="inlineStr">
        <is>
          <t>SUP-001</t>
        </is>
      </c>
      <c r="AC6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6" s="69">
        <f>IF(tblIngredients[[#This Row],[کد ماده]]="","",SUMIFS(tblRecipe[مصرف کل],tblRecipe[کد ماده],tblIngredients[[#This Row],[کد ماده]]))</f>
        <v/>
      </c>
      <c r="AE6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6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6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6" s="34">
        <f>IF(tblIngredients[[#This Row],[کد ماده]]="","",MAX(tblIngredients[[#This Row],[موجودی فعلی]],0)*tblIngredients[[#This Row],[بهای میانگین]])</f>
        <v/>
      </c>
      <c r="AI6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6" s="69">
        <f>IF(tblIngredients[[#This Row],[کد ماده]]="","",MAX(N(tblIngredients[[#This Row],[حد سفارش]])-tblIngredients[[#This Row],[موجودی فعلی]],0))</f>
        <v/>
      </c>
      <c r="AK6" s="69">
        <f>IF(tblIngredients[[#This Row],[کد ماده]]="","",SUMIFS(tblRecipe[مصرف بازه],tblRecipe[کد ماده],tblIngredients[[#This Row],[کد ماده]]))</f>
        <v/>
      </c>
      <c r="AL6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6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7">
      <c r="U7" s="44" t="inlineStr">
        <is>
          <t>ING-002</t>
        </is>
      </c>
      <c r="V7" s="44" t="inlineStr">
        <is>
          <t>شیر</t>
        </is>
      </c>
      <c r="W7" s="44" t="inlineStr">
        <is>
          <t>لبنیات</t>
        </is>
      </c>
      <c r="X7" s="44" t="inlineStr">
        <is>
          <t>میلی‌لیتر</t>
        </is>
      </c>
      <c r="Y7" s="66" t="n">
        <v>30000</v>
      </c>
      <c r="Z7" s="67" t="n">
        <v>0.08500000000000001</v>
      </c>
      <c r="AA7" s="70" t="n">
        <v>5000</v>
      </c>
      <c r="AB7" s="44" t="inlineStr">
        <is>
          <t>SUP-002</t>
        </is>
      </c>
      <c r="AC7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7" s="69">
        <f>IF(tblIngredients[[#This Row],[کد ماده]]="","",SUMIFS(tblRecipe[مصرف کل],tblRecipe[کد ماده],tblIngredients[[#This Row],[کد ماده]]))</f>
        <v/>
      </c>
      <c r="AE7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7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7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7" s="34">
        <f>IF(tblIngredients[[#This Row],[کد ماده]]="","",MAX(tblIngredients[[#This Row],[موجودی فعلی]],0)*tblIngredients[[#This Row],[بهای میانگین]])</f>
        <v/>
      </c>
      <c r="AI7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7" s="69">
        <f>IF(tblIngredients[[#This Row],[کد ماده]]="","",MAX(N(tblIngredients[[#This Row],[حد سفارش]])-tblIngredients[[#This Row],[موجودی فعلی]],0))</f>
        <v/>
      </c>
      <c r="AK7" s="69">
        <f>IF(tblIngredients[[#This Row],[کد ماده]]="","",SUMIFS(tblRecipe[مصرف بازه],tblRecipe[کد ماده],tblIngredients[[#This Row],[کد ماده]]))</f>
        <v/>
      </c>
      <c r="AL7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7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8">
      <c r="U8" s="44" t="inlineStr">
        <is>
          <t>ING-003</t>
        </is>
      </c>
      <c r="V8" s="44" t="inlineStr">
        <is>
          <t>خامه</t>
        </is>
      </c>
      <c r="W8" s="44" t="inlineStr">
        <is>
          <t>لبنیات</t>
        </is>
      </c>
      <c r="X8" s="44" t="inlineStr">
        <is>
          <t>میلی‌لیتر</t>
        </is>
      </c>
      <c r="Y8" s="66" t="n">
        <v>6000</v>
      </c>
      <c r="Z8" s="67" t="n">
        <v>0.16</v>
      </c>
      <c r="AA8" s="70" t="n">
        <v>1000</v>
      </c>
      <c r="AB8" s="44" t="inlineStr">
        <is>
          <t>SUP-002</t>
        </is>
      </c>
      <c r="AC8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8" s="69">
        <f>IF(tblIngredients[[#This Row],[کد ماده]]="","",SUMIFS(tblRecipe[مصرف کل],tblRecipe[کد ماده],tblIngredients[[#This Row],[کد ماده]]))</f>
        <v/>
      </c>
      <c r="AE8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8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8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8" s="34">
        <f>IF(tblIngredients[[#This Row],[کد ماده]]="","",MAX(tblIngredients[[#This Row],[موجودی فعلی]],0)*tblIngredients[[#This Row],[بهای میانگین]])</f>
        <v/>
      </c>
      <c r="AI8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8" s="69">
        <f>IF(tblIngredients[[#This Row],[کد ماده]]="","",MAX(N(tblIngredients[[#This Row],[حد سفارش]])-tblIngredients[[#This Row],[موجودی فعلی]],0))</f>
        <v/>
      </c>
      <c r="AK8" s="69">
        <f>IF(tblIngredients[[#This Row],[کد ماده]]="","",SUMIFS(tblRecipe[مصرف بازه],tblRecipe[کد ماده],tblIngredients[[#This Row],[کد ماده]]))</f>
        <v/>
      </c>
      <c r="AL8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8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9">
      <c r="U9" s="44" t="inlineStr">
        <is>
          <t>ING-004</t>
        </is>
      </c>
      <c r="V9" s="44" t="inlineStr">
        <is>
          <t>سیروپ کارامل</t>
        </is>
      </c>
      <c r="W9" s="44" t="inlineStr">
        <is>
          <t>سیروپ و پوره</t>
        </is>
      </c>
      <c r="X9" s="44" t="inlineStr">
        <is>
          <t>میلی‌لیتر</t>
        </is>
      </c>
      <c r="Y9" s="66" t="n">
        <v>4000</v>
      </c>
      <c r="Z9" s="67" t="n">
        <v>0.45</v>
      </c>
      <c r="AA9" s="70" t="n">
        <v>600</v>
      </c>
      <c r="AB9" s="44" t="inlineStr">
        <is>
          <t>SUP-001</t>
        </is>
      </c>
      <c r="AC9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9" s="69">
        <f>IF(tblIngredients[[#This Row],[کد ماده]]="","",SUMIFS(tblRecipe[مصرف کل],tblRecipe[کد ماده],tblIngredients[[#This Row],[کد ماده]]))</f>
        <v/>
      </c>
      <c r="AE9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9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9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9" s="34">
        <f>IF(tblIngredients[[#This Row],[کد ماده]]="","",MAX(tblIngredients[[#This Row],[موجودی فعلی]],0)*tblIngredients[[#This Row],[بهای میانگین]])</f>
        <v/>
      </c>
      <c r="AI9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9" s="69">
        <f>IF(tblIngredients[[#This Row],[کد ماده]]="","",MAX(N(tblIngredients[[#This Row],[حد سفارش]])-tblIngredients[[#This Row],[موجودی فعلی]],0))</f>
        <v/>
      </c>
      <c r="AK9" s="69">
        <f>IF(tblIngredients[[#This Row],[کد ماده]]="","",SUMIFS(tblRecipe[مصرف بازه],tblRecipe[کد ماده],tblIngredients[[#This Row],[کد ماده]]))</f>
        <v/>
      </c>
      <c r="AL9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9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0">
      <c r="U10" s="44" t="inlineStr">
        <is>
          <t>ING-005</t>
        </is>
      </c>
      <c r="V10" s="44" t="inlineStr">
        <is>
          <t>پودر شکلات</t>
        </is>
      </c>
      <c r="W10" s="44" t="inlineStr">
        <is>
          <t>قهوه</t>
        </is>
      </c>
      <c r="X10" s="44" t="inlineStr">
        <is>
          <t>گرم</t>
        </is>
      </c>
      <c r="Y10" s="66" t="n">
        <v>3000</v>
      </c>
      <c r="Z10" s="67" t="n">
        <v>0.65</v>
      </c>
      <c r="AA10" s="70" t="n">
        <v>500</v>
      </c>
      <c r="AB10" s="44" t="inlineStr">
        <is>
          <t>SUP-001</t>
        </is>
      </c>
      <c r="AC10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0" s="69">
        <f>IF(tblIngredients[[#This Row],[کد ماده]]="","",SUMIFS(tblRecipe[مصرف کل],tblRecipe[کد ماده],tblIngredients[[#This Row],[کد ماده]]))</f>
        <v/>
      </c>
      <c r="AE10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0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0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0" s="34">
        <f>IF(tblIngredients[[#This Row],[کد ماده]]="","",MAX(tblIngredients[[#This Row],[موجودی فعلی]],0)*tblIngredients[[#This Row],[بهای میانگین]])</f>
        <v/>
      </c>
      <c r="AI10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0" s="69">
        <f>IF(tblIngredients[[#This Row],[کد ماده]]="","",MAX(N(tblIngredients[[#This Row],[حد سفارش]])-tblIngredients[[#This Row],[موجودی فعلی]],0))</f>
        <v/>
      </c>
      <c r="AK10" s="69">
        <f>IF(tblIngredients[[#This Row],[کد ماده]]="","",SUMIFS(tblRecipe[مصرف بازه],tblRecipe[کد ماده],tblIngredients[[#This Row],[کد ماده]]))</f>
        <v/>
      </c>
      <c r="AL10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0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1">
      <c r="U11" s="44" t="inlineStr">
        <is>
          <t>ING-006</t>
        </is>
      </c>
      <c r="V11" s="44" t="inlineStr">
        <is>
          <t>یخ</t>
        </is>
      </c>
      <c r="W11" s="44" t="inlineStr">
        <is>
          <t>سایر</t>
        </is>
      </c>
      <c r="X11" s="44" t="inlineStr">
        <is>
          <t>گرم</t>
        </is>
      </c>
      <c r="Y11" s="66" t="n">
        <v>45000</v>
      </c>
      <c r="Z11" s="67" t="n">
        <v>0.01</v>
      </c>
      <c r="AA11" s="70" t="n">
        <v>5000</v>
      </c>
      <c r="AB11" s="44" t="inlineStr">
        <is>
          <t>SUP-003</t>
        </is>
      </c>
      <c r="AC11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1" s="69">
        <f>IF(tblIngredients[[#This Row],[کد ماده]]="","",SUMIFS(tblRecipe[مصرف کل],tblRecipe[کد ماده],tblIngredients[[#This Row],[کد ماده]]))</f>
        <v/>
      </c>
      <c r="AE11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1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1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1" s="34">
        <f>IF(tblIngredients[[#This Row],[کد ماده]]="","",MAX(tblIngredients[[#This Row],[موجودی فعلی]],0)*tblIngredients[[#This Row],[بهای میانگین]])</f>
        <v/>
      </c>
      <c r="AI11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1" s="69">
        <f>IF(tblIngredients[[#This Row],[کد ماده]]="","",MAX(N(tblIngredients[[#This Row],[حد سفارش]])-tblIngredients[[#This Row],[موجودی فعلی]],0))</f>
        <v/>
      </c>
      <c r="AK11" s="69">
        <f>IF(tblIngredients[[#This Row],[کد ماده]]="","",SUMIFS(tblRecipe[مصرف بازه],tblRecipe[کد ماده],tblIngredients[[#This Row],[کد ماده]]))</f>
        <v/>
      </c>
      <c r="AL11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1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2">
      <c r="U12" s="44" t="inlineStr">
        <is>
          <t>ING-007</t>
        </is>
      </c>
      <c r="V12" s="44" t="inlineStr">
        <is>
          <t>شکر</t>
        </is>
      </c>
      <c r="W12" s="44" t="inlineStr">
        <is>
          <t>سایر</t>
        </is>
      </c>
      <c r="X12" s="44" t="inlineStr">
        <is>
          <t>گرم</t>
        </is>
      </c>
      <c r="Y12" s="66" t="n">
        <v>10000</v>
      </c>
      <c r="Z12" s="67" t="n">
        <v>0.08</v>
      </c>
      <c r="AA12" s="70" t="n">
        <v>1500</v>
      </c>
      <c r="AB12" s="44" t="inlineStr">
        <is>
          <t>SUP-003</t>
        </is>
      </c>
      <c r="AC12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2" s="69">
        <f>IF(tblIngredients[[#This Row],[کد ماده]]="","",SUMIFS(tblRecipe[مصرف کل],tblRecipe[کد ماده],tblIngredients[[#This Row],[کد ماده]]))</f>
        <v/>
      </c>
      <c r="AE12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2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2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2" s="34">
        <f>IF(tblIngredients[[#This Row],[کد ماده]]="","",MAX(tblIngredients[[#This Row],[موجودی فعلی]],0)*tblIngredients[[#This Row],[بهای میانگین]])</f>
        <v/>
      </c>
      <c r="AI12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2" s="69">
        <f>IF(tblIngredients[[#This Row],[کد ماده]]="","",MAX(N(tblIngredients[[#This Row],[حد سفارش]])-tblIngredients[[#This Row],[موجودی فعلی]],0))</f>
        <v/>
      </c>
      <c r="AK12" s="69">
        <f>IF(tblIngredients[[#This Row],[کد ماده]]="","",SUMIFS(tblRecipe[مصرف بازه],tblRecipe[کد ماده],tblIngredients[[#This Row],[کد ماده]]))</f>
        <v/>
      </c>
      <c r="AL12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2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3">
      <c r="U13" s="44" t="inlineStr">
        <is>
          <t>ING-008</t>
        </is>
      </c>
      <c r="V13" s="44" t="inlineStr">
        <is>
          <t>چای سیاه</t>
        </is>
      </c>
      <c r="W13" s="44" t="inlineStr">
        <is>
          <t>چای و ادویه</t>
        </is>
      </c>
      <c r="X13" s="44" t="inlineStr">
        <is>
          <t>گرم</t>
        </is>
      </c>
      <c r="Y13" s="66" t="n">
        <v>2500</v>
      </c>
      <c r="Z13" s="67" t="n">
        <v>0.75</v>
      </c>
      <c r="AA13" s="70" t="n">
        <v>350</v>
      </c>
      <c r="AB13" s="44" t="inlineStr">
        <is>
          <t>SUP-001</t>
        </is>
      </c>
      <c r="AC13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3" s="69">
        <f>IF(tblIngredients[[#This Row],[کد ماده]]="","",SUMIFS(tblRecipe[مصرف کل],tblRecipe[کد ماده],tblIngredients[[#This Row],[کد ماده]]))</f>
        <v/>
      </c>
      <c r="AE13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3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3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3" s="34">
        <f>IF(tblIngredients[[#This Row],[کد ماده]]="","",MAX(tblIngredients[[#This Row],[موجودی فعلی]],0)*tblIngredients[[#This Row],[بهای میانگین]])</f>
        <v/>
      </c>
      <c r="AI13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3" s="69">
        <f>IF(tblIngredients[[#This Row],[کد ماده]]="","",MAX(N(tblIngredients[[#This Row],[حد سفارش]])-tblIngredients[[#This Row],[موجودی فعلی]],0))</f>
        <v/>
      </c>
      <c r="AK13" s="69">
        <f>IF(tblIngredients[[#This Row],[کد ماده]]="","",SUMIFS(tblRecipe[مصرف بازه],tblRecipe[کد ماده],tblIngredients[[#This Row],[کد ماده]]))</f>
        <v/>
      </c>
      <c r="AL13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3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4">
      <c r="U14" s="44" t="inlineStr">
        <is>
          <t>ING-009</t>
        </is>
      </c>
      <c r="V14" s="44" t="inlineStr">
        <is>
          <t>چای سبز</t>
        </is>
      </c>
      <c r="W14" s="44" t="inlineStr">
        <is>
          <t>چای و ادویه</t>
        </is>
      </c>
      <c r="X14" s="44" t="inlineStr">
        <is>
          <t>گرم</t>
        </is>
      </c>
      <c r="Y14" s="66" t="n">
        <v>1500</v>
      </c>
      <c r="Z14" s="67" t="n">
        <v>0.9</v>
      </c>
      <c r="AA14" s="70" t="n">
        <v>250</v>
      </c>
      <c r="AB14" s="44" t="inlineStr">
        <is>
          <t>SUP-001</t>
        </is>
      </c>
      <c r="AC14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4" s="69">
        <f>IF(tblIngredients[[#This Row],[کد ماده]]="","",SUMIFS(tblRecipe[مصرف کل],tblRecipe[کد ماده],tblIngredients[[#This Row],[کد ماده]]))</f>
        <v/>
      </c>
      <c r="AE14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4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4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4" s="34">
        <f>IF(tblIngredients[[#This Row],[کد ماده]]="","",MAX(tblIngredients[[#This Row],[موجودی فعلی]],0)*tblIngredients[[#This Row],[بهای میانگین]])</f>
        <v/>
      </c>
      <c r="AI14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4" s="69">
        <f>IF(tblIngredients[[#This Row],[کد ماده]]="","",MAX(N(tblIngredients[[#This Row],[حد سفارش]])-tblIngredients[[#This Row],[موجودی فعلی]],0))</f>
        <v/>
      </c>
      <c r="AK14" s="69">
        <f>IF(tblIngredients[[#This Row],[کد ماده]]="","",SUMIFS(tblRecipe[مصرف بازه],tblRecipe[کد ماده],tblIngredients[[#This Row],[کد ماده]]))</f>
        <v/>
      </c>
      <c r="AL14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4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5">
      <c r="U15" s="44" t="inlineStr">
        <is>
          <t>ING-010</t>
        </is>
      </c>
      <c r="V15" s="44" t="inlineStr">
        <is>
          <t>پودر ماسالا</t>
        </is>
      </c>
      <c r="W15" s="44" t="inlineStr">
        <is>
          <t>چای و ادویه</t>
        </is>
      </c>
      <c r="X15" s="44" t="inlineStr">
        <is>
          <t>گرم</t>
        </is>
      </c>
      <c r="Y15" s="66" t="n">
        <v>1600</v>
      </c>
      <c r="Z15" s="67" t="n">
        <v>0.7</v>
      </c>
      <c r="AA15" s="70" t="n">
        <v>250</v>
      </c>
      <c r="AB15" s="44" t="inlineStr">
        <is>
          <t>SUP-001</t>
        </is>
      </c>
      <c r="AC15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5" s="69">
        <f>IF(tblIngredients[[#This Row],[کد ماده]]="","",SUMIFS(tblRecipe[مصرف کل],tblRecipe[کد ماده],tblIngredients[[#This Row],[کد ماده]]))</f>
        <v/>
      </c>
      <c r="AE15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5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5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5" s="34">
        <f>IF(tblIngredients[[#This Row],[کد ماده]]="","",MAX(tblIngredients[[#This Row],[موجودی فعلی]],0)*tblIngredients[[#This Row],[بهای میانگین]])</f>
        <v/>
      </c>
      <c r="AI15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5" s="69">
        <f>IF(tblIngredients[[#This Row],[کد ماده]]="","",MAX(N(tblIngredients[[#This Row],[حد سفارش]])-tblIngredients[[#This Row],[موجودی فعلی]],0))</f>
        <v/>
      </c>
      <c r="AK15" s="69">
        <f>IF(tblIngredients[[#This Row],[کد ماده]]="","",SUMIFS(tblRecipe[مصرف بازه],tblRecipe[کد ماده],tblIngredients[[#This Row],[کد ماده]]))</f>
        <v/>
      </c>
      <c r="AL15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5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6">
      <c r="U16" s="44" t="inlineStr">
        <is>
          <t>ING-011</t>
        </is>
      </c>
      <c r="V16" s="44" t="inlineStr">
        <is>
          <t>پودر ماچا</t>
        </is>
      </c>
      <c r="W16" s="44" t="inlineStr">
        <is>
          <t>چای و ادویه</t>
        </is>
      </c>
      <c r="X16" s="44" t="inlineStr">
        <is>
          <t>گرم</t>
        </is>
      </c>
      <c r="Y16" s="66" t="n">
        <v>900</v>
      </c>
      <c r="Z16" s="67" t="n">
        <v>2.4</v>
      </c>
      <c r="AA16" s="70" t="n">
        <v>100</v>
      </c>
      <c r="AB16" s="44" t="inlineStr">
        <is>
          <t>SUP-001</t>
        </is>
      </c>
      <c r="AC16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6" s="69">
        <f>IF(tblIngredients[[#This Row],[کد ماده]]="","",SUMIFS(tblRecipe[مصرف کل],tblRecipe[کد ماده],tblIngredients[[#This Row],[کد ماده]]))</f>
        <v/>
      </c>
      <c r="AE16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6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6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6" s="34">
        <f>IF(tblIngredients[[#This Row],[کد ماده]]="","",MAX(tblIngredients[[#This Row],[موجودی فعلی]],0)*tblIngredients[[#This Row],[بهای میانگین]])</f>
        <v/>
      </c>
      <c r="AI16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6" s="69">
        <f>IF(tblIngredients[[#This Row],[کد ماده]]="","",MAX(N(tblIngredients[[#This Row],[حد سفارش]])-tblIngredients[[#This Row],[موجودی فعلی]],0))</f>
        <v/>
      </c>
      <c r="AK16" s="69">
        <f>IF(tblIngredients[[#This Row],[کد ماده]]="","",SUMIFS(tblRecipe[مصرف بازه],tblRecipe[کد ماده],tblIngredients[[#This Row],[کد ماده]]))</f>
        <v/>
      </c>
      <c r="AL16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6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7">
      <c r="U17" s="44" t="inlineStr">
        <is>
          <t>ING-012</t>
        </is>
      </c>
      <c r="V17" s="44" t="inlineStr">
        <is>
          <t>بستنی وانیلی</t>
        </is>
      </c>
      <c r="W17" s="44" t="inlineStr">
        <is>
          <t>لبنیات</t>
        </is>
      </c>
      <c r="X17" s="44" t="inlineStr">
        <is>
          <t>گرم</t>
        </is>
      </c>
      <c r="Y17" s="66" t="n">
        <v>9000</v>
      </c>
      <c r="Z17" s="67" t="n">
        <v>0.3</v>
      </c>
      <c r="AA17" s="70" t="n">
        <v>1500</v>
      </c>
      <c r="AB17" s="44" t="inlineStr">
        <is>
          <t>SUP-002</t>
        </is>
      </c>
      <c r="AC17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7" s="69">
        <f>IF(tblIngredients[[#This Row],[کد ماده]]="","",SUMIFS(tblRecipe[مصرف کل],tblRecipe[کد ماده],tblIngredients[[#This Row],[کد ماده]]))</f>
        <v/>
      </c>
      <c r="AE17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7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7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7" s="34">
        <f>IF(tblIngredients[[#This Row],[کد ماده]]="","",MAX(tblIngredients[[#This Row],[موجودی فعلی]],0)*tblIngredients[[#This Row],[بهای میانگین]])</f>
        <v/>
      </c>
      <c r="AI17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7" s="69">
        <f>IF(tblIngredients[[#This Row],[کد ماده]]="","",MAX(N(tblIngredients[[#This Row],[حد سفارش]])-tblIngredients[[#This Row],[موجودی فعلی]],0))</f>
        <v/>
      </c>
      <c r="AK17" s="69">
        <f>IF(tblIngredients[[#This Row],[کد ماده]]="","",SUMIFS(tblRecipe[مصرف بازه],tblRecipe[کد ماده],tblIngredients[[#This Row],[کد ماده]]))</f>
        <v/>
      </c>
      <c r="AL17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7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8">
      <c r="U18" s="44" t="inlineStr">
        <is>
          <t>ING-013</t>
        </is>
      </c>
      <c r="V18" s="44" t="inlineStr">
        <is>
          <t>نوتلا</t>
        </is>
      </c>
      <c r="W18" s="44" t="inlineStr">
        <is>
          <t>خشکبار</t>
        </is>
      </c>
      <c r="X18" s="44" t="inlineStr">
        <is>
          <t>گرم</t>
        </is>
      </c>
      <c r="Y18" s="66" t="n">
        <v>2500</v>
      </c>
      <c r="Z18" s="67" t="n">
        <v>0.95</v>
      </c>
      <c r="AA18" s="70" t="n">
        <v>300</v>
      </c>
      <c r="AB18" s="44" t="inlineStr">
        <is>
          <t>SUP-001</t>
        </is>
      </c>
      <c r="AC18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8" s="69">
        <f>IF(tblIngredients[[#This Row],[کد ماده]]="","",SUMIFS(tblRecipe[مصرف کل],tblRecipe[کد ماده],tblIngredients[[#This Row],[کد ماده]]))</f>
        <v/>
      </c>
      <c r="AE18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8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8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8" s="34">
        <f>IF(tblIngredients[[#This Row],[کد ماده]]="","",MAX(tblIngredients[[#This Row],[موجودی فعلی]],0)*tblIngredients[[#This Row],[بهای میانگین]])</f>
        <v/>
      </c>
      <c r="AI18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8" s="69">
        <f>IF(tblIngredients[[#This Row],[کد ماده]]="","",MAX(N(tblIngredients[[#This Row],[حد سفارش]])-tblIngredients[[#This Row],[موجودی فعلی]],0))</f>
        <v/>
      </c>
      <c r="AK18" s="69">
        <f>IF(tblIngredients[[#This Row],[کد ماده]]="","",SUMIFS(tblRecipe[مصرف بازه],tblRecipe[کد ماده],tblIngredients[[#This Row],[کد ماده]]))</f>
        <v/>
      </c>
      <c r="AL18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8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9">
      <c r="U19" s="44" t="inlineStr">
        <is>
          <t>ING-014</t>
        </is>
      </c>
      <c r="V19" s="44" t="inlineStr">
        <is>
          <t>پوره توت‌فرنگی</t>
        </is>
      </c>
      <c r="W19" s="44" t="inlineStr">
        <is>
          <t>سیروپ و پوره</t>
        </is>
      </c>
      <c r="X19" s="44" t="inlineStr">
        <is>
          <t>گرم</t>
        </is>
      </c>
      <c r="Y19" s="66" t="n">
        <v>3500</v>
      </c>
      <c r="Z19" s="67" t="n">
        <v>0.48</v>
      </c>
      <c r="AA19" s="70" t="n">
        <v>500</v>
      </c>
      <c r="AB19" s="44" t="inlineStr">
        <is>
          <t>SUP-003</t>
        </is>
      </c>
      <c r="AC19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9" s="69">
        <f>IF(tblIngredients[[#This Row],[کد ماده]]="","",SUMIFS(tblRecipe[مصرف کل],tblRecipe[کد ماده],tblIngredients[[#This Row],[کد ماده]]))</f>
        <v/>
      </c>
      <c r="AE19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9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9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9" s="34">
        <f>IF(tblIngredients[[#This Row],[کد ماده]]="","",MAX(tblIngredients[[#This Row],[موجودی فعلی]],0)*tblIngredients[[#This Row],[بهای میانگین]])</f>
        <v/>
      </c>
      <c r="AI19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9" s="69">
        <f>IF(tblIngredients[[#This Row],[کد ماده]]="","",MAX(N(tblIngredients[[#This Row],[حد سفارش]])-tblIngredients[[#This Row],[موجودی فعلی]],0))</f>
        <v/>
      </c>
      <c r="AK19" s="69">
        <f>IF(tblIngredients[[#This Row],[کد ماده]]="","",SUMIFS(tblRecipe[مصرف بازه],tblRecipe[کد ماده],tblIngredients[[#This Row],[کد ماده]]))</f>
        <v/>
      </c>
      <c r="AL19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9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0">
      <c r="U20" s="44" t="inlineStr">
        <is>
          <t>ING-015</t>
        </is>
      </c>
      <c r="V20" s="44" t="inlineStr">
        <is>
          <t>موز</t>
        </is>
      </c>
      <c r="W20" s="44" t="inlineStr">
        <is>
          <t>میوه و سبزی</t>
        </is>
      </c>
      <c r="X20" s="44" t="inlineStr">
        <is>
          <t>گرم</t>
        </is>
      </c>
      <c r="Y20" s="66" t="n">
        <v>7000</v>
      </c>
      <c r="Z20" s="67" t="n">
        <v>0.15</v>
      </c>
      <c r="AA20" s="70" t="n">
        <v>1000</v>
      </c>
      <c r="AB20" s="44" t="inlineStr">
        <is>
          <t>SUP-003</t>
        </is>
      </c>
      <c r="AC20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0" s="69">
        <f>IF(tblIngredients[[#This Row],[کد ماده]]="","",SUMIFS(tblRecipe[مصرف کل],tblRecipe[کد ماده],tblIngredients[[#This Row],[کد ماده]]))</f>
        <v/>
      </c>
      <c r="AE20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0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0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0" s="34">
        <f>IF(tblIngredients[[#This Row],[کد ماده]]="","",MAX(tblIngredients[[#This Row],[موجودی فعلی]],0)*tblIngredients[[#This Row],[بهای میانگین]])</f>
        <v/>
      </c>
      <c r="AI20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0" s="69">
        <f>IF(tblIngredients[[#This Row],[کد ماده]]="","",MAX(N(tblIngredients[[#This Row],[حد سفارش]])-tblIngredients[[#This Row],[موجودی فعلی]],0))</f>
        <v/>
      </c>
      <c r="AK20" s="69">
        <f>IF(tblIngredients[[#This Row],[کد ماده]]="","",SUMIFS(tblRecipe[مصرف بازه],tblRecipe[کد ماده],tblIngredients[[#This Row],[کد ماده]]))</f>
        <v/>
      </c>
      <c r="AL20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0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1">
      <c r="U21" s="44" t="inlineStr">
        <is>
          <t>ING-016</t>
        </is>
      </c>
      <c r="V21" s="44" t="inlineStr">
        <is>
          <t>کره بادام‌زمینی</t>
        </is>
      </c>
      <c r="W21" s="44" t="inlineStr">
        <is>
          <t>خشکبار</t>
        </is>
      </c>
      <c r="X21" s="44" t="inlineStr">
        <is>
          <t>گرم</t>
        </is>
      </c>
      <c r="Y21" s="66" t="n">
        <v>2000</v>
      </c>
      <c r="Z21" s="67" t="n">
        <v>0.72</v>
      </c>
      <c r="AA21" s="70" t="n">
        <v>250</v>
      </c>
      <c r="AB21" s="44" t="inlineStr">
        <is>
          <t>SUP-001</t>
        </is>
      </c>
      <c r="AC21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1" s="69">
        <f>IF(tblIngredients[[#This Row],[کد ماده]]="","",SUMIFS(tblRecipe[مصرف کل],tblRecipe[کد ماده],tblIngredients[[#This Row],[کد ماده]]))</f>
        <v/>
      </c>
      <c r="AE21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1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1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1" s="34">
        <f>IF(tblIngredients[[#This Row],[کد ماده]]="","",MAX(tblIngredients[[#This Row],[موجودی فعلی]],0)*tblIngredients[[#This Row],[بهای میانگین]])</f>
        <v/>
      </c>
      <c r="AI21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1" s="69">
        <f>IF(tblIngredients[[#This Row],[کد ماده]]="","",MAX(N(tblIngredients[[#This Row],[حد سفارش]])-tblIngredients[[#This Row],[موجودی فعلی]],0))</f>
        <v/>
      </c>
      <c r="AK21" s="69">
        <f>IF(tblIngredients[[#This Row],[کد ماده]]="","",SUMIFS(tblRecipe[مصرف بازه],tblRecipe[کد ماده],tblIngredients[[#This Row],[کد ماده]]))</f>
        <v/>
      </c>
      <c r="AL21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1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2">
      <c r="U22" s="44" t="inlineStr">
        <is>
          <t>ING-017</t>
        </is>
      </c>
      <c r="V22" s="44" t="inlineStr">
        <is>
          <t>سیروپ موهیتو/لیمو</t>
        </is>
      </c>
      <c r="W22" s="44" t="inlineStr">
        <is>
          <t>سیروپ و پوره</t>
        </is>
      </c>
      <c r="X22" s="44" t="inlineStr">
        <is>
          <t>میلی‌لیتر</t>
        </is>
      </c>
      <c r="Y22" s="66" t="n">
        <v>4000</v>
      </c>
      <c r="Z22" s="67" t="n">
        <v>0.42</v>
      </c>
      <c r="AA22" s="70" t="n">
        <v>500</v>
      </c>
      <c r="AB22" s="44" t="inlineStr">
        <is>
          <t>SUP-001</t>
        </is>
      </c>
      <c r="AC22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2" s="69">
        <f>IF(tblIngredients[[#This Row],[کد ماده]]="","",SUMIFS(tblRecipe[مصرف کل],tblRecipe[کد ماده],tblIngredients[[#This Row],[کد ماده]]))</f>
        <v/>
      </c>
      <c r="AE22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2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2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2" s="34">
        <f>IF(tblIngredients[[#This Row],[کد ماده]]="","",MAX(tblIngredients[[#This Row],[موجودی فعلی]],0)*tblIngredients[[#This Row],[بهای میانگین]])</f>
        <v/>
      </c>
      <c r="AI22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2" s="69">
        <f>IF(tblIngredients[[#This Row],[کد ماده]]="","",MAX(N(tblIngredients[[#This Row],[حد سفارش]])-tblIngredients[[#This Row],[موجودی فعلی]],0))</f>
        <v/>
      </c>
      <c r="AK22" s="69">
        <f>IF(tblIngredients[[#This Row],[کد ماده]]="","",SUMIFS(tblRecipe[مصرف بازه],tblRecipe[کد ماده],tblIngredients[[#This Row],[کد ماده]]))</f>
        <v/>
      </c>
      <c r="AL22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2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3">
      <c r="U23" s="44" t="inlineStr">
        <is>
          <t>ING-018</t>
        </is>
      </c>
      <c r="V23" s="44" t="inlineStr">
        <is>
          <t>سیروپ آبی</t>
        </is>
      </c>
      <c r="W23" s="44" t="inlineStr">
        <is>
          <t>سیروپ و پوره</t>
        </is>
      </c>
      <c r="X23" s="44" t="inlineStr">
        <is>
          <t>میلی‌لیتر</t>
        </is>
      </c>
      <c r="Y23" s="66" t="n">
        <v>2500</v>
      </c>
      <c r="Z23" s="67" t="n">
        <v>0.55</v>
      </c>
      <c r="AA23" s="70" t="n">
        <v>350</v>
      </c>
      <c r="AB23" s="44" t="inlineStr">
        <is>
          <t>SUP-001</t>
        </is>
      </c>
      <c r="AC23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3" s="69">
        <f>IF(tblIngredients[[#This Row],[کد ماده]]="","",SUMIFS(tblRecipe[مصرف کل],tblRecipe[کد ماده],tblIngredients[[#This Row],[کد ماده]]))</f>
        <v/>
      </c>
      <c r="AE23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3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3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3" s="34">
        <f>IF(tblIngredients[[#This Row],[کد ماده]]="","",MAX(tblIngredients[[#This Row],[موجودی فعلی]],0)*tblIngredients[[#This Row],[بهای میانگین]])</f>
        <v/>
      </c>
      <c r="AI23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3" s="69">
        <f>IF(tblIngredients[[#This Row],[کد ماده]]="","",MAX(N(tblIngredients[[#This Row],[حد سفارش]])-tblIngredients[[#This Row],[موجودی فعلی]],0))</f>
        <v/>
      </c>
      <c r="AK23" s="69">
        <f>IF(tblIngredients[[#This Row],[کد ماده]]="","",SUMIFS(tblRecipe[مصرف بازه],tblRecipe[کد ماده],tblIngredients[[#This Row],[کد ماده]]))</f>
        <v/>
      </c>
      <c r="AL23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3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4">
      <c r="U24" s="44" t="inlineStr">
        <is>
          <t>ING-019</t>
        </is>
      </c>
      <c r="V24" s="44" t="inlineStr">
        <is>
          <t>مالت</t>
        </is>
      </c>
      <c r="W24" s="44" t="inlineStr">
        <is>
          <t>سایر</t>
        </is>
      </c>
      <c r="X24" s="44" t="inlineStr">
        <is>
          <t>میلی‌لیتر</t>
        </is>
      </c>
      <c r="Y24" s="66" t="n">
        <v>5000</v>
      </c>
      <c r="Z24" s="67" t="n">
        <v>0.22</v>
      </c>
      <c r="AA24" s="70" t="n">
        <v>800</v>
      </c>
      <c r="AB24" s="44" t="inlineStr">
        <is>
          <t>SUP-003</t>
        </is>
      </c>
      <c r="AC24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4" s="69">
        <f>IF(tblIngredients[[#This Row],[کد ماده]]="","",SUMIFS(tblRecipe[مصرف کل],tblRecipe[کد ماده],tblIngredients[[#This Row],[کد ماده]]))</f>
        <v/>
      </c>
      <c r="AE24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4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4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4" s="34">
        <f>IF(tblIngredients[[#This Row],[کد ماده]]="","",MAX(tblIngredients[[#This Row],[موجودی فعلی]],0)*tblIngredients[[#This Row],[بهای میانگین]])</f>
        <v/>
      </c>
      <c r="AI24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4" s="69">
        <f>IF(tblIngredients[[#This Row],[کد ماده]]="","",MAX(N(tblIngredients[[#This Row],[حد سفارش]])-tblIngredients[[#This Row],[موجودی فعلی]],0))</f>
        <v/>
      </c>
      <c r="AK24" s="69">
        <f>IF(tblIngredients[[#This Row],[کد ماده]]="","",SUMIFS(tblRecipe[مصرف بازه],tblRecipe[کد ماده],tblIngredients[[#This Row],[کد ماده]]))</f>
        <v/>
      </c>
      <c r="AL24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4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5">
      <c r="U25" s="44" t="inlineStr">
        <is>
          <t>ING-020</t>
        </is>
      </c>
      <c r="V25" s="44" t="inlineStr">
        <is>
          <t>پاستا</t>
        </is>
      </c>
      <c r="W25" s="44" t="inlineStr">
        <is>
          <t>غذا</t>
        </is>
      </c>
      <c r="X25" s="44" t="inlineStr">
        <is>
          <t>گرم</t>
        </is>
      </c>
      <c r="Y25" s="66" t="n">
        <v>12000</v>
      </c>
      <c r="Z25" s="67" t="n">
        <v>0.2</v>
      </c>
      <c r="AA25" s="70" t="n">
        <v>2000</v>
      </c>
      <c r="AB25" s="44" t="inlineStr">
        <is>
          <t>SUP-003</t>
        </is>
      </c>
      <c r="AC25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5" s="69">
        <f>IF(tblIngredients[[#This Row],[کد ماده]]="","",SUMIFS(tblRecipe[مصرف کل],tblRecipe[کد ماده],tblIngredients[[#This Row],[کد ماده]]))</f>
        <v/>
      </c>
      <c r="AE25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5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5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5" s="34">
        <f>IF(tblIngredients[[#This Row],[کد ماده]]="","",MAX(tblIngredients[[#This Row],[موجودی فعلی]],0)*tblIngredients[[#This Row],[بهای میانگین]])</f>
        <v/>
      </c>
      <c r="AI25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5" s="69">
        <f>IF(tblIngredients[[#This Row],[کد ماده]]="","",MAX(N(tblIngredients[[#This Row],[حد سفارش]])-tblIngredients[[#This Row],[موجودی فعلی]],0))</f>
        <v/>
      </c>
      <c r="AK25" s="69">
        <f>IF(tblIngredients[[#This Row],[کد ماده]]="","",SUMIFS(tblRecipe[مصرف بازه],tblRecipe[کد ماده],tblIngredients[[#This Row],[کد ماده]]))</f>
        <v/>
      </c>
      <c r="AL25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5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6">
      <c r="U26" s="44" t="inlineStr">
        <is>
          <t>ING-021</t>
        </is>
      </c>
      <c r="V26" s="44" t="inlineStr">
        <is>
          <t>مرغ</t>
        </is>
      </c>
      <c r="W26" s="44" t="inlineStr">
        <is>
          <t>پروتئین</t>
        </is>
      </c>
      <c r="X26" s="44" t="inlineStr">
        <is>
          <t>گرم</t>
        </is>
      </c>
      <c r="Y26" s="66" t="n">
        <v>9000</v>
      </c>
      <c r="Z26" s="67" t="n">
        <v>0.46</v>
      </c>
      <c r="AA26" s="70" t="n">
        <v>1500</v>
      </c>
      <c r="AB26" s="44" t="inlineStr">
        <is>
          <t>SUP-003</t>
        </is>
      </c>
      <c r="AC26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6" s="69">
        <f>IF(tblIngredients[[#This Row],[کد ماده]]="","",SUMIFS(tblRecipe[مصرف کل],tblRecipe[کد ماده],tblIngredients[[#This Row],[کد ماده]]))</f>
        <v/>
      </c>
      <c r="AE26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6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6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6" s="34">
        <f>IF(tblIngredients[[#This Row],[کد ماده]]="","",MAX(tblIngredients[[#This Row],[موجودی فعلی]],0)*tblIngredients[[#This Row],[بهای میانگین]])</f>
        <v/>
      </c>
      <c r="AI26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6" s="69">
        <f>IF(tblIngredients[[#This Row],[کد ماده]]="","",MAX(N(tblIngredients[[#This Row],[حد سفارش]])-tblIngredients[[#This Row],[موجودی فعلی]],0))</f>
        <v/>
      </c>
      <c r="AK26" s="69">
        <f>IF(tblIngredients[[#This Row],[کد ماده]]="","",SUMIFS(tblRecipe[مصرف بازه],tblRecipe[کد ماده],tblIngredients[[#This Row],[کد ماده]]))</f>
        <v/>
      </c>
      <c r="AL26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6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7">
      <c r="U27" s="44" t="inlineStr">
        <is>
          <t>ING-022</t>
        </is>
      </c>
      <c r="V27" s="44" t="inlineStr">
        <is>
          <t>پستو</t>
        </is>
      </c>
      <c r="W27" s="44" t="inlineStr">
        <is>
          <t>غذا</t>
        </is>
      </c>
      <c r="X27" s="44" t="inlineStr">
        <is>
          <t>گرم</t>
        </is>
      </c>
      <c r="Y27" s="66" t="n">
        <v>2500</v>
      </c>
      <c r="Z27" s="67" t="n">
        <v>0.8</v>
      </c>
      <c r="AA27" s="70" t="n">
        <v>350</v>
      </c>
      <c r="AB27" s="44" t="inlineStr">
        <is>
          <t>SUP-003</t>
        </is>
      </c>
      <c r="AC27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7" s="69">
        <f>IF(tblIngredients[[#This Row],[کد ماده]]="","",SUMIFS(tblRecipe[مصرف کل],tblRecipe[کد ماده],tblIngredients[[#This Row],[کد ماده]]))</f>
        <v/>
      </c>
      <c r="AE27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7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7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7" s="34">
        <f>IF(tblIngredients[[#This Row],[کد ماده]]="","",MAX(tblIngredients[[#This Row],[موجودی فعلی]],0)*tblIngredients[[#This Row],[بهای میانگین]])</f>
        <v/>
      </c>
      <c r="AI27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7" s="69">
        <f>IF(tblIngredients[[#This Row],[کد ماده]]="","",MAX(N(tblIngredients[[#This Row],[حد سفارش]])-tblIngredients[[#This Row],[موجودی فعلی]],0))</f>
        <v/>
      </c>
      <c r="AK27" s="69">
        <f>IF(tblIngredients[[#This Row],[کد ماده]]="","",SUMIFS(tblRecipe[مصرف بازه],tblRecipe[کد ماده],tblIngredients[[#This Row],[کد ماده]]))</f>
        <v/>
      </c>
      <c r="AL27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7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8">
      <c r="U28" s="44" t="inlineStr">
        <is>
          <t>ING-023</t>
        </is>
      </c>
      <c r="V28" s="44" t="inlineStr">
        <is>
          <t>سس آلفردو</t>
        </is>
      </c>
      <c r="W28" s="44" t="inlineStr">
        <is>
          <t>غذا</t>
        </is>
      </c>
      <c r="X28" s="44" t="inlineStr">
        <is>
          <t>گرم</t>
        </is>
      </c>
      <c r="Y28" s="66" t="n">
        <v>4500</v>
      </c>
      <c r="Z28" s="67" t="n">
        <v>0.42</v>
      </c>
      <c r="AA28" s="70" t="n">
        <v>700</v>
      </c>
      <c r="AB28" s="44" t="inlineStr">
        <is>
          <t>SUP-003</t>
        </is>
      </c>
      <c r="AC28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8" s="69">
        <f>IF(tblIngredients[[#This Row],[کد ماده]]="","",SUMIFS(tblRecipe[مصرف کل],tblRecipe[کد ماده],tblIngredients[[#This Row],[کد ماده]]))</f>
        <v/>
      </c>
      <c r="AE28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8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8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8" s="34">
        <f>IF(tblIngredients[[#This Row],[کد ماده]]="","",MAX(tblIngredients[[#This Row],[موجودی فعلی]],0)*tblIngredients[[#This Row],[بهای میانگین]])</f>
        <v/>
      </c>
      <c r="AI28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8" s="69">
        <f>IF(tblIngredients[[#This Row],[کد ماده]]="","",MAX(N(tblIngredients[[#This Row],[حد سفارش]])-tblIngredients[[#This Row],[موجودی فعلی]],0))</f>
        <v/>
      </c>
      <c r="AK28" s="69">
        <f>IF(tblIngredients[[#This Row],[کد ماده]]="","",SUMIFS(tblRecipe[مصرف بازه],tblRecipe[کد ماده],tblIngredients[[#This Row],[کد ماده]]))</f>
        <v/>
      </c>
      <c r="AL28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8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9">
      <c r="U29" s="44" t="inlineStr">
        <is>
          <t>ING-024</t>
        </is>
      </c>
      <c r="V29" s="44" t="inlineStr">
        <is>
          <t>قارچ</t>
        </is>
      </c>
      <c r="W29" s="44" t="inlineStr">
        <is>
          <t>میوه و سبزی</t>
        </is>
      </c>
      <c r="X29" s="44" t="inlineStr">
        <is>
          <t>گرم</t>
        </is>
      </c>
      <c r="Y29" s="66" t="n">
        <v>4000</v>
      </c>
      <c r="Z29" s="67" t="n">
        <v>0.24</v>
      </c>
      <c r="AA29" s="70" t="n">
        <v>600</v>
      </c>
      <c r="AB29" s="44" t="inlineStr">
        <is>
          <t>SUP-003</t>
        </is>
      </c>
      <c r="AC29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9" s="69">
        <f>IF(tblIngredients[[#This Row],[کد ماده]]="","",SUMIFS(tblRecipe[مصرف کل],tblRecipe[کد ماده],tblIngredients[[#This Row],[کد ماده]]))</f>
        <v/>
      </c>
      <c r="AE29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9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9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9" s="34">
        <f>IF(tblIngredients[[#This Row],[کد ماده]]="","",MAX(tblIngredients[[#This Row],[موجودی فعلی]],0)*tblIngredients[[#This Row],[بهای میانگین]])</f>
        <v/>
      </c>
      <c r="AI29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9" s="69">
        <f>IF(tblIngredients[[#This Row],[کد ماده]]="","",MAX(N(tblIngredients[[#This Row],[حد سفارش]])-tblIngredients[[#This Row],[موجودی فعلی]],0))</f>
        <v/>
      </c>
      <c r="AK29" s="69">
        <f>IF(tblIngredients[[#This Row],[کد ماده]]="","",SUMIFS(tblRecipe[مصرف بازه],tblRecipe[کد ماده],tblIngredients[[#This Row],[کد ماده]]))</f>
        <v/>
      </c>
      <c r="AL29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9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0">
      <c r="U30" s="44" t="inlineStr">
        <is>
          <t>ING-025</t>
        </is>
      </c>
      <c r="V30" s="44" t="inlineStr">
        <is>
          <t>سیب‌زمینی</t>
        </is>
      </c>
      <c r="W30" s="44" t="inlineStr">
        <is>
          <t>غذا</t>
        </is>
      </c>
      <c r="X30" s="44" t="inlineStr">
        <is>
          <t>گرم</t>
        </is>
      </c>
      <c r="Y30" s="66" t="n">
        <v>15000</v>
      </c>
      <c r="Z30" s="67" t="n">
        <v>0.09</v>
      </c>
      <c r="AA30" s="70" t="n">
        <v>2500</v>
      </c>
      <c r="AB30" s="44" t="inlineStr">
        <is>
          <t>SUP-003</t>
        </is>
      </c>
      <c r="AC30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0" s="69">
        <f>IF(tblIngredients[[#This Row],[کد ماده]]="","",SUMIFS(tblRecipe[مصرف کل],tblRecipe[کد ماده],tblIngredients[[#This Row],[کد ماده]]))</f>
        <v/>
      </c>
      <c r="AE30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0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0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0" s="34">
        <f>IF(tblIngredients[[#This Row],[کد ماده]]="","",MAX(tblIngredients[[#This Row],[موجودی فعلی]],0)*tblIngredients[[#This Row],[بهای میانگین]])</f>
        <v/>
      </c>
      <c r="AI30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0" s="69">
        <f>IF(tblIngredients[[#This Row],[کد ماده]]="","",MAX(N(tblIngredients[[#This Row],[حد سفارش]])-tblIngredients[[#This Row],[موجودی فعلی]],0))</f>
        <v/>
      </c>
      <c r="AK30" s="69">
        <f>IF(tblIngredients[[#This Row],[کد ماده]]="","",SUMIFS(tblRecipe[مصرف بازه],tblRecipe[کد ماده],tblIngredients[[#This Row],[کد ماده]]))</f>
        <v/>
      </c>
      <c r="AL30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0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1">
      <c r="U31" s="44" t="inlineStr">
        <is>
          <t>ING-026</t>
        </is>
      </c>
      <c r="V31" s="44" t="inlineStr">
        <is>
          <t>پنیر</t>
        </is>
      </c>
      <c r="W31" s="44" t="inlineStr">
        <is>
          <t>لبنیات</t>
        </is>
      </c>
      <c r="X31" s="44" t="inlineStr">
        <is>
          <t>گرم</t>
        </is>
      </c>
      <c r="Y31" s="66" t="n">
        <v>3000</v>
      </c>
      <c r="Z31" s="67" t="n">
        <v>0.82</v>
      </c>
      <c r="AA31" s="70" t="n">
        <v>450</v>
      </c>
      <c r="AB31" s="44" t="inlineStr">
        <is>
          <t>SUP-002</t>
        </is>
      </c>
      <c r="AC31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1" s="69">
        <f>IF(tblIngredients[[#This Row],[کد ماده]]="","",SUMIFS(tblRecipe[مصرف کل],tblRecipe[کد ماده],tblIngredients[[#This Row],[کد ماده]]))</f>
        <v/>
      </c>
      <c r="AE31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1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1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1" s="34">
        <f>IF(tblIngredients[[#This Row],[کد ماده]]="","",MAX(tblIngredients[[#This Row],[موجودی فعلی]],0)*tblIngredients[[#This Row],[بهای میانگین]])</f>
        <v/>
      </c>
      <c r="AI31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1" s="69">
        <f>IF(tblIngredients[[#This Row],[کد ماده]]="","",MAX(N(tblIngredients[[#This Row],[حد سفارش]])-tblIngredients[[#This Row],[موجودی فعلی]],0))</f>
        <v/>
      </c>
      <c r="AK31" s="69">
        <f>IF(tblIngredients[[#This Row],[کد ماده]]="","",SUMIFS(tblRecipe[مصرف بازه],tblRecipe[کد ماده],tblIngredients[[#This Row],[کد ماده]]))</f>
        <v/>
      </c>
      <c r="AL31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1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2">
      <c r="U32" s="44" t="inlineStr">
        <is>
          <t>ING-027</t>
        </is>
      </c>
      <c r="V32" s="44" t="inlineStr">
        <is>
          <t>کاهو و سبزیجات</t>
        </is>
      </c>
      <c r="W32" s="44" t="inlineStr">
        <is>
          <t>میوه و سبزی</t>
        </is>
      </c>
      <c r="X32" s="44" t="inlineStr">
        <is>
          <t>گرم</t>
        </is>
      </c>
      <c r="Y32" s="66" t="n">
        <v>6000</v>
      </c>
      <c r="Z32" s="67" t="n">
        <v>0.12</v>
      </c>
      <c r="AA32" s="70" t="n">
        <v>800</v>
      </c>
      <c r="AB32" s="44" t="inlineStr">
        <is>
          <t>SUP-003</t>
        </is>
      </c>
      <c r="AC32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2" s="69">
        <f>IF(tblIngredients[[#This Row],[کد ماده]]="","",SUMIFS(tblRecipe[مصرف کل],tblRecipe[کد ماده],tblIngredients[[#This Row],[کد ماده]]))</f>
        <v/>
      </c>
      <c r="AE32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2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2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2" s="34">
        <f>IF(tblIngredients[[#This Row],[کد ماده]]="","",MAX(tblIngredients[[#This Row],[موجودی فعلی]],0)*tblIngredients[[#This Row],[بهای میانگین]])</f>
        <v/>
      </c>
      <c r="AI32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2" s="69">
        <f>IF(tblIngredients[[#This Row],[کد ماده]]="","",MAX(N(tblIngredients[[#This Row],[حد سفارش]])-tblIngredients[[#This Row],[موجودی فعلی]],0))</f>
        <v/>
      </c>
      <c r="AK32" s="69">
        <f>IF(tblIngredients[[#This Row],[کد ماده]]="","",SUMIFS(tblRecipe[مصرف بازه],tblRecipe[کد ماده],tblIngredients[[#This Row],[کد ماده]]))</f>
        <v/>
      </c>
      <c r="AL32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2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3">
      <c r="U33" s="44" t="inlineStr">
        <is>
          <t>ING-028</t>
        </is>
      </c>
      <c r="V33" s="44" t="inlineStr">
        <is>
          <t>کیک روز</t>
        </is>
      </c>
      <c r="W33" s="44" t="inlineStr">
        <is>
          <t>غذا</t>
        </is>
      </c>
      <c r="X33" s="44" t="inlineStr">
        <is>
          <t>عدد</t>
        </is>
      </c>
      <c r="Y33" s="66" t="n">
        <v>20</v>
      </c>
      <c r="Z33" s="67" t="n">
        <v>150</v>
      </c>
      <c r="AA33" s="70" t="n">
        <v>4</v>
      </c>
      <c r="AB33" s="44" t="inlineStr">
        <is>
          <t>SUP-003</t>
        </is>
      </c>
      <c r="AC33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3" s="69">
        <f>IF(tblIngredients[[#This Row],[کد ماده]]="","",SUMIFS(tblRecipe[مصرف کل],tblRecipe[کد ماده],tblIngredients[[#This Row],[کد ماده]]))</f>
        <v/>
      </c>
      <c r="AE33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3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3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3" s="34">
        <f>IF(tblIngredients[[#This Row],[کد ماده]]="","",MAX(tblIngredients[[#This Row],[موجودی فعلی]],0)*tblIngredients[[#This Row],[بهای میانگین]])</f>
        <v/>
      </c>
      <c r="AI33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3" s="69">
        <f>IF(tblIngredients[[#This Row],[کد ماده]]="","",MAX(N(tblIngredients[[#This Row],[حد سفارش]])-tblIngredients[[#This Row],[موجودی فعلی]],0))</f>
        <v/>
      </c>
      <c r="AK33" s="69">
        <f>IF(tblIngredients[[#This Row],[کد ماده]]="","",SUMIFS(tblRecipe[مصرف بازه],tblRecipe[کد ماده],tblIngredients[[#This Row],[کد ماده]]))</f>
        <v/>
      </c>
      <c r="AL33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3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4">
      <c r="U34" s="44" t="inlineStr">
        <is>
          <t>ING-029</t>
        </is>
      </c>
      <c r="V34" s="44" t="inlineStr">
        <is>
          <t>لیوان و درب</t>
        </is>
      </c>
      <c r="W34" s="44" t="inlineStr">
        <is>
          <t>بسته‌بندی</t>
        </is>
      </c>
      <c r="X34" s="44" t="inlineStr">
        <is>
          <t>عدد</t>
        </is>
      </c>
      <c r="Y34" s="66" t="n">
        <v>1000</v>
      </c>
      <c r="Z34" s="67" t="n">
        <v>3.2</v>
      </c>
      <c r="AA34" s="70" t="n">
        <v>150</v>
      </c>
      <c r="AB34" s="44" t="inlineStr">
        <is>
          <t>SUP-004</t>
        </is>
      </c>
      <c r="AC34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4" s="69">
        <f>IF(tblIngredients[[#This Row],[کد ماده]]="","",SUMIFS(tblRecipe[مصرف کل],tblRecipe[کد ماده],tblIngredients[[#This Row],[کد ماده]]))</f>
        <v/>
      </c>
      <c r="AE34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4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4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4" s="34">
        <f>IF(tblIngredients[[#This Row],[کد ماده]]="","",MAX(tblIngredients[[#This Row],[موجودی فعلی]],0)*tblIngredients[[#This Row],[بهای میانگین]])</f>
        <v/>
      </c>
      <c r="AI34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4" s="69">
        <f>IF(tblIngredients[[#This Row],[کد ماده]]="","",MAX(N(tblIngredients[[#This Row],[حد سفارش]])-tblIngredients[[#This Row],[موجودی فعلی]],0))</f>
        <v/>
      </c>
      <c r="AK34" s="69">
        <f>IF(tblIngredients[[#This Row],[کد ماده]]="","",SUMIFS(tblRecipe[مصرف بازه],tblRecipe[کد ماده],tblIngredients[[#This Row],[کد ماده]]))</f>
        <v/>
      </c>
      <c r="AL34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4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5">
      <c r="U35" s="44" t="inlineStr">
        <is>
          <t>ING-030</t>
        </is>
      </c>
      <c r="V35" s="44" t="inlineStr">
        <is>
          <t>سیروپ فندق/وانیل/نارگیل</t>
        </is>
      </c>
      <c r="W35" s="44" t="inlineStr">
        <is>
          <t>سیروپ و پوره</t>
        </is>
      </c>
      <c r="X35" s="44" t="inlineStr">
        <is>
          <t>میلی‌لیتر</t>
        </is>
      </c>
      <c r="Y35" s="66" t="n">
        <v>3000</v>
      </c>
      <c r="Z35" s="67" t="n">
        <v>0.45</v>
      </c>
      <c r="AA35" s="70" t="n">
        <v>600</v>
      </c>
      <c r="AB35" s="44" t="inlineStr">
        <is>
          <t>SUP-001</t>
        </is>
      </c>
      <c r="AC35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5" s="69">
        <f>IF(tblIngredients[[#This Row],[کد ماده]]="","",SUMIFS(tblRecipe[مصرف کل],tblRecipe[کد ماده],tblIngredients[[#This Row],[کد ماده]]))</f>
        <v/>
      </c>
      <c r="AE35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5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5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5" s="34">
        <f>IF(tblIngredients[[#This Row],[کد ماده]]="","",MAX(tblIngredients[[#This Row],[موجودی فعلی]],0)*tblIngredients[[#This Row],[بهای میانگین]])</f>
        <v/>
      </c>
      <c r="AI35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5" s="69">
        <f>IF(tblIngredients[[#This Row],[کد ماده]]="","",MAX(N(tblIngredients[[#This Row],[حد سفارش]])-tblIngredients[[#This Row],[موجودی فعلی]],0))</f>
        <v/>
      </c>
      <c r="AK35" s="69">
        <f>IF(tblIngredients[[#This Row],[کد ماده]]="","",SUMIFS(tblRecipe[مصرف بازه],tblRecipe[کد ماده],tblIngredients[[#This Row],[کد ماده]]))</f>
        <v/>
      </c>
      <c r="AL35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5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</sheetData>
  <mergeCells count="4">
    <mergeCell ref="A4:S4"/>
    <mergeCell ref="A1:AL1"/>
    <mergeCell ref="U4:AM4"/>
    <mergeCell ref="A2:AL2"/>
  </mergeCells>
  <conditionalFormatting sqref="A6:S10000">
    <cfRule type="expression" priority="1" dxfId="1" stopIfTrue="0">
      <formula>$N6&lt;&gt;""</formula>
    </cfRule>
    <cfRule type="expression" priority="2" dxfId="3" stopIfTrue="0">
      <formula>$R6="پیش‌نویس"</formula>
    </cfRule>
    <cfRule type="expression" priority="3" dxfId="2" stopIfTrue="0">
      <formula>$R6="ابطال"</formula>
    </cfRule>
  </conditionalFormatting>
  <conditionalFormatting sqref="E6:E10000">
    <cfRule type="expression" priority="4" dxfId="1" stopIfTrue="0">
      <formula>$E6="کد نامعتبر"</formula>
    </cfRule>
  </conditionalFormatting>
  <conditionalFormatting sqref="U6:U10000">
    <cfRule type="expression" priority="5" dxfId="1">
      <formula>AND($U6&lt;&gt;"",COUNTIF($U$6:$U$10000,$U6)&gt;1)</formula>
    </cfRule>
  </conditionalFormatting>
  <conditionalFormatting sqref="AI6:AI10000">
    <cfRule type="expression" priority="6" dxfId="2" stopIfTrue="0">
      <formula>$AI6="ناموجود"</formula>
    </cfRule>
    <cfRule type="expression" priority="7" dxfId="3" stopIfTrue="0">
      <formula>$AI6="نیاز به خرید"</formula>
    </cfRule>
  </conditionalFormatting>
  <conditionalFormatting sqref="AJ6:AJ10000">
    <cfRule type="expression" priority="8" dxfId="3" stopIfTrue="0">
      <formula>AND(ISNUMBER($AJ6),$AJ6&gt;0)</formula>
    </cfRule>
  </conditionalFormatting>
  <dataValidations count="14">
    <dataValidation sqref="C6:C10000" showDropDown="0" showInputMessage="0" showErrorMessage="1" allowBlank="1" errorTitle="ورودی نامعتبر" error="لطفاً یک مقدار معتبر از فهرست انتخاب کنید." type="list" errorStyle="stop">
      <formula1>=StockTypes</formula1>
    </dataValidation>
    <dataValidation sqref="D6:D10000" showDropDown="0" showInputMessage="0" showErrorMessage="1" allowBlank="1" errorTitle="ورودی نامعتبر" error="لطفاً یک مقدار معتبر از فهرست انتخاب کنید." type="list" errorStyle="stop">
      <formula1>=IngredientCodes</formula1>
    </dataValidation>
    <dataValidation sqref="I6:I10000" showDropDown="0" showInputMessage="0" showErrorMessage="1" allowBlank="1" errorTitle="ورودی نامعتبر" error="لطفاً یک مقدار معتبر از فهرست انتخاب کنید." type="list" errorStyle="stop">
      <formula1>=SupplierCodes</formula1>
    </dataValidation>
    <dataValidation sqref="K6:K10000" showDropDown="0" showInputMessage="0" showErrorMessage="1" allowBlank="1" errorTitle="ورودی نامعتبر" error="لطفاً یک مقدار معتبر از فهرست انتخاب کنید." type="list" errorStyle="stop">
      <formula1>=PaymentMethods</formula1>
    </dataValidation>
    <dataValidation sqref="L6:L10000" showDropDown="0" showInputMessage="0" showErrorMessage="1" allowBlank="1" errorTitle="ورودی نامعتبر" error="لطفاً یک مقدار معتبر از فهرست انتخاب کنید." type="list" errorStyle="stop">
      <formula1>=ApprovalStatus</formula1>
    </dataValidation>
    <dataValidation sqref="F6:F10000" showDropDown="0" showInputMessage="0" showErrorMessage="1" allowBlank="1" errorTitle="ورودی نامعتبر" error="خرید و ضایعات باید مقدار مثبت باشند؛ فقط «اصلاح موجودی» می‌تواند منفی باشد؛ صفر مجاز نیست." type="custom" errorStyle="stop">
      <formula1>AND(ISNUMBER(F6),F6&lt;&gt;0,OR(C6="اصلاح موجودی",F6&gt;0))</formula1>
    </dataValidation>
    <dataValidation sqref="G6:G10000" showDropDown="0" showInputMessage="0" showErrorMessage="1" allowBlank="1" errorTitle="ورودی نامعتبر" error="برای «خرید» بهای واحد الزامی و غیرمنفی است." type="custom" errorStyle="stop">
      <formula1>IF(C6="خرید",AND(ISNUMBER(G6),G6&gt;=0),OR(G6="",AND(ISNUMBER(G6),G6&gt;=0)))</formula1>
    </dataValidation>
    <dataValidation sqref="H6:H10000" showDropDown="0" showInputMessage="0" showErrorMessage="1" allowBlank="1" errorTitle="ورودی نامعتبر" error="تخفیف نمی‌تواند منفی باشد." type="decimal" operator="greaterThanOrEqual">
      <formula1>0</formula1>
    </dataValidation>
    <dataValidation sqref="W6:W10000" showDropDown="0" showInputMessage="0" showErrorMessage="1" allowBlank="1" errorTitle="ورودی نامعتبر" error="لطفاً یک مقدار معتبر از فهرست انتخاب کنید." type="list" errorStyle="warning">
      <formula1>=IngredientGroup</formula1>
    </dataValidation>
    <dataValidation sqref="X6:X10000" showDropDown="0" showInputMessage="0" showErrorMessage="1" allowBlank="1" errorTitle="ورودی نامعتبر" error="لطفاً یک مقدار معتبر از فهرست انتخاب کنید." type="list" errorStyle="warning">
      <formula1>=Units</formula1>
    </dataValidation>
    <dataValidation sqref="AB6:AB10000" showDropDown="0" showInputMessage="0" showErrorMessage="1" allowBlank="1" errorTitle="ورودی نامعتبر" error="لطفاً یک مقدار معتبر از فهرست انتخاب کنید." type="list" errorStyle="stop">
      <formula1>=SupplierCodes</formula1>
    </dataValidation>
    <dataValidation sqref="Y6:Y10000" showDropDown="0" showInputMessage="0" showErrorMessage="1" allowBlank="1" errorTitle="ورودی نامعتبر" error="مقدار باید عدد غیرمنفی باشد." type="decimal" operator="greaterThanOrEqual">
      <formula1>0</formula1>
    </dataValidation>
    <dataValidation sqref="Z6:Z10000" showDropDown="0" showInputMessage="0" showErrorMessage="1" allowBlank="1" errorTitle="ورودی نامعتبر" error="مقدار باید عدد غیرمنفی باشد." type="decimal" operator="greaterThanOrEqual">
      <formula1>0</formula1>
    </dataValidation>
    <dataValidation sqref="AA6:AA10000" showDropDown="0" showInputMessage="0" showErrorMessage="1" allowBlank="1" errorTitle="ورودی نامعتبر" error="مقدار باید عدد غیرمنفی باشد." type="decimal" operator="greaterThanOrEqual">
      <formula1>0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Y144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24" customWidth="1" min="2" max="2"/>
    <col width="13" customWidth="1" min="3" max="3"/>
    <col width="11" customWidth="1" min="4" max="4"/>
    <col width="12" customWidth="1" min="5" max="5"/>
    <col width="12" customWidth="1" min="6" max="6"/>
    <col width="10" customWidth="1" min="7" max="7"/>
    <col width="7" customWidth="1" min="8" max="8"/>
    <col width="28" customWidth="1" min="9" max="9"/>
    <col width="11" customWidth="1" min="10" max="10"/>
    <col width="9" customWidth="1" min="11" max="11"/>
    <col width="3" customWidth="1" min="12" max="12"/>
    <col width="12" customWidth="1" min="13" max="13"/>
    <col width="22" customWidth="1" min="14" max="14"/>
    <col width="11" customWidth="1" min="15" max="15"/>
    <col width="20" customWidth="1" min="16" max="16"/>
    <col width="9" customWidth="1" min="17" max="17"/>
    <col width="11" customWidth="1" min="18" max="18"/>
    <col width="11" customWidth="1" min="19" max="19"/>
    <col width="10" customWidth="1" min="20" max="20"/>
    <col width="9" customWidth="1" min="21" max="21"/>
    <col width="10" customWidth="1" min="22" max="22"/>
    <col width="9" customWidth="1" min="23" max="23"/>
    <col width="10" customWidth="1" min="24" max="24"/>
    <col width="18" customWidth="1" min="25" max="25"/>
  </cols>
  <sheetData>
    <row r="1" ht="30" customHeight="1">
      <c r="A1" s="1" t="inlineStr">
        <is>
          <t>منو، قیمت‌گذاری و دستورپخت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هزینه استاندارد هر محصول از جمع ردیف‌های رسپی آن محاسبه می‌شود. «کل» = از شروع انبار؛ «بازه» = بازه انتخابی داشبورد.</t>
        </is>
      </c>
    </row>
    <row r="3" ht="26" customHeight="1">
      <c r="A3" s="37" t="inlineStr">
        <is>
          <t>محصولات</t>
        </is>
      </c>
      <c r="B3" s="39">
        <f>COUNTA(tblMenu[کد محصول])</f>
        <v/>
      </c>
      <c r="C3" s="37" t="inlineStr">
        <is>
          <t>بدون رسپی</t>
        </is>
      </c>
      <c r="D3" s="39">
        <f>COUNTIF(tblMenu[وضعیت رسپی],"بدون رسپی")</f>
        <v/>
      </c>
      <c r="E3" s="37" t="inlineStr">
        <is>
          <t>بهای مواد &gt; 40%</t>
        </is>
      </c>
      <c r="F3" s="39">
        <f>COUNTIF(tblMenu[درصد بهای مواد],"&gt;0.4")</f>
        <v/>
      </c>
      <c r="M3" s="37" t="inlineStr">
        <is>
          <t>ردیف رسپی</t>
        </is>
      </c>
      <c r="N3" s="39">
        <f>COUNTA(tblRecipe[کد محصول])</f>
        <v/>
      </c>
      <c r="O3" s="37" t="inlineStr">
        <is>
          <t>کد نامعتبر</t>
        </is>
      </c>
      <c r="P3" s="39">
        <f>COUNTIF(tblRecipe[نام ماده],"کد نامعتبر")+COUNTIF(tblRecipe[نام محصول],"کد نامعتبر")</f>
        <v/>
      </c>
    </row>
    <row r="4" ht="18" customHeight="1">
      <c r="A4" s="13" t="inlineStr">
        <is>
          <t>منو و قیمت فروش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M4" s="13" t="inlineStr">
        <is>
          <t>دستورپخت استاندارد (هر ردیف = یک ماده از یک محصول)  |  کل = کسر از انبار، بازه = گزارش</t>
        </is>
      </c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34" customHeight="1">
      <c r="A5" s="41" t="inlineStr">
        <is>
          <t>کد محصول</t>
        </is>
      </c>
      <c r="B5" s="41" t="inlineStr">
        <is>
          <t>نام محصول</t>
        </is>
      </c>
      <c r="C5" s="41" t="inlineStr">
        <is>
          <t>دسته</t>
        </is>
      </c>
      <c r="D5" s="41" t="inlineStr">
        <is>
          <t>قیمت فروش</t>
        </is>
      </c>
      <c r="E5" s="32" t="inlineStr">
        <is>
          <t>هزینه استاندارد</t>
        </is>
      </c>
      <c r="F5" s="32" t="inlineStr">
        <is>
          <t>سود ناخالص واحد</t>
        </is>
      </c>
      <c r="G5" s="32" t="inlineStr">
        <is>
          <t>درصد بهای مواد</t>
        </is>
      </c>
      <c r="H5" s="41" t="inlineStr">
        <is>
          <t>فعال؟</t>
        </is>
      </c>
      <c r="I5" s="41" t="inlineStr">
        <is>
          <t>توضیح</t>
        </is>
      </c>
      <c r="J5" s="32" t="inlineStr">
        <is>
          <t>وضعیت رسپی</t>
        </is>
      </c>
      <c r="K5" s="32" t="inlineStr">
        <is>
          <t>فروش بازه</t>
        </is>
      </c>
      <c r="M5" s="41" t="inlineStr">
        <is>
          <t>کد محصول</t>
        </is>
      </c>
      <c r="N5" s="32" t="inlineStr">
        <is>
          <t>نام محصول</t>
        </is>
      </c>
      <c r="O5" s="41" t="inlineStr">
        <is>
          <t>کد ماده</t>
        </is>
      </c>
      <c r="P5" s="32" t="inlineStr">
        <is>
          <t>نام ماده</t>
        </is>
      </c>
      <c r="Q5" s="32" t="inlineStr">
        <is>
          <t>واحد</t>
        </is>
      </c>
      <c r="R5" s="41" t="inlineStr">
        <is>
          <t>مقدار استاندارد</t>
        </is>
      </c>
      <c r="S5" s="32" t="inlineStr">
        <is>
          <t>بهای واحد ماده</t>
        </is>
      </c>
      <c r="T5" s="32" t="inlineStr">
        <is>
          <t>هزینه خط</t>
        </is>
      </c>
      <c r="U5" s="32" t="inlineStr">
        <is>
          <t>فروش کل</t>
        </is>
      </c>
      <c r="V5" s="32" t="inlineStr">
        <is>
          <t>مصرف کل</t>
        </is>
      </c>
      <c r="W5" s="32" t="inlineStr">
        <is>
          <t>فروش بازه</t>
        </is>
      </c>
      <c r="X5" s="32" t="inlineStr">
        <is>
          <t>مصرف بازه</t>
        </is>
      </c>
      <c r="Y5" s="41" t="inlineStr">
        <is>
          <t>یادداشت</t>
        </is>
      </c>
    </row>
    <row r="6">
      <c r="A6" s="44" t="inlineStr">
        <is>
          <t>CFE-ESP</t>
        </is>
      </c>
      <c r="B6" s="44" t="inlineStr">
        <is>
          <t>اسپرسو</t>
        </is>
      </c>
      <c r="C6" s="44" t="inlineStr">
        <is>
          <t>قهوه گرم</t>
        </is>
      </c>
      <c r="D6" s="68" t="n">
        <v>238</v>
      </c>
      <c r="E6" s="34">
        <f>IF(tblMenu[[#This Row],[کد محصول]]="","",SUMIFS(tblRecipe[هزینه خط],tblRecipe[کد محصول],tblMenu[[#This Row],[کد محصول]]))</f>
        <v/>
      </c>
      <c r="F6" s="34">
        <f>IF(tblMenu[[#This Row],[کد محصول]]="","",tblMenu[[#This Row],[قیمت فروش]]-tblMenu[[#This Row],[هزینه استاندارد]])</f>
        <v/>
      </c>
      <c r="G6" s="35">
        <f>IFERROR(tblMenu[[#This Row],[هزینه استاندارد]]/tblMenu[[#This Row],[قیمت فروش]],0)</f>
        <v/>
      </c>
      <c r="H6" s="44" t="inlineStr">
        <is>
          <t>بله</t>
        </is>
      </c>
      <c r="I6" s="44" t="inlineStr">
        <is>
          <t>منوی اصلی</t>
        </is>
      </c>
      <c r="J6" s="33">
        <f>IF(tblMenu[[#This Row],[کد محصول]]="","",IF(COUNTIF(tblRecipe[کد محصول],tblMenu[[#This Row],[کد محصول]])=0,"بدون رسپی","کامل"))</f>
        <v/>
      </c>
      <c r="K6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6" s="44" t="inlineStr">
        <is>
          <t>CFE-ESP</t>
        </is>
      </c>
      <c r="N6" s="33">
        <f>IF(tblRecipe[[#This Row],[کد محصول]]="","",IFERROR(INDEX(tblMenu[نام محصول],MATCH(tblRecipe[[#This Row],[کد محصول]],tblMenu[کد محصول],0)),"کد نامعتبر"))</f>
        <v/>
      </c>
      <c r="O6" s="44" t="inlineStr">
        <is>
          <t>ING-001</t>
        </is>
      </c>
      <c r="P6" s="33">
        <f>IF(tblRecipe[[#This Row],[کد ماده]]="","",IFERROR(INDEX(tblIngredients[نام ماده],MATCH(tblRecipe[[#This Row],[کد ماده]],tblIngredients[کد ماده],0)),"کد نامعتبر"))</f>
        <v/>
      </c>
      <c r="Q6" s="33">
        <f>IF(tblRecipe[[#This Row],[کد ماده]]="","",IFERROR(INDEX(tblIngredients[واحد],MATCH(tblRecipe[[#This Row],[کد ماده]],tblIngredients[کد ماده],0)),""))</f>
        <v/>
      </c>
      <c r="R6" s="45" t="n">
        <v>20</v>
      </c>
      <c r="S6" s="74">
        <f>IF(tblRecipe[[#This Row],[کد ماده]]="","",IFERROR(INDEX(tblIngredients[بهای میانگین],MATCH(tblRecipe[[#This Row],[کد ماده]],tblIngredients[کد ماده],0)),0))</f>
        <v/>
      </c>
      <c r="T6" s="34">
        <f>IF(tblRecipe[[#This Row],[کد ماده]]="","",tblRecipe[[#This Row],[مقدار استاندارد]]*tblRecipe[[#This Row],[بهای واحد ماده]])</f>
        <v/>
      </c>
      <c r="U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" s="69">
        <f>IF(tblRecipe[[#This Row],[کد ماده]]="","",tblRecipe[[#This Row],[مقدار استاندارد]]*tblRecipe[[#This Row],[فروش کل]])</f>
        <v/>
      </c>
      <c r="W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" s="69">
        <f>IF(tblRecipe[[#This Row],[کد ماده]]="","",tblRecipe[[#This Row],[مقدار استاندارد]]*tblRecipe[[#This Row],[فروش بازه]])</f>
        <v/>
      </c>
      <c r="Y6" s="44" t="inlineStr">
        <is>
          <t>قابل ویرایش</t>
        </is>
      </c>
    </row>
    <row r="7">
      <c r="A7" s="44" t="inlineStr">
        <is>
          <t>CFE-AMR</t>
        </is>
      </c>
      <c r="B7" s="44" t="inlineStr">
        <is>
          <t>امریکانو</t>
        </is>
      </c>
      <c r="C7" s="44" t="inlineStr">
        <is>
          <t>قهوه گرم</t>
        </is>
      </c>
      <c r="D7" s="68" t="n">
        <v>248</v>
      </c>
      <c r="E7" s="34">
        <f>IF(tblMenu[[#This Row],[کد محصول]]="","",SUMIFS(tblRecipe[هزینه خط],tblRecipe[کد محصول],tblMenu[[#This Row],[کد محصول]]))</f>
        <v/>
      </c>
      <c r="F7" s="34">
        <f>IF(tblMenu[[#This Row],[کد محصول]]="","",tblMenu[[#This Row],[قیمت فروش]]-tblMenu[[#This Row],[هزینه استاندارد]])</f>
        <v/>
      </c>
      <c r="G7" s="35">
        <f>IFERROR(tblMenu[[#This Row],[هزینه استاندارد]]/tblMenu[[#This Row],[قیمت فروش]],0)</f>
        <v/>
      </c>
      <c r="H7" s="44" t="inlineStr">
        <is>
          <t>بله</t>
        </is>
      </c>
      <c r="I7" s="44" t="inlineStr">
        <is>
          <t>منوی اصلی</t>
        </is>
      </c>
      <c r="J7" s="33">
        <f>IF(tblMenu[[#This Row],[کد محصول]]="","",IF(COUNTIF(tblRecipe[کد محصول],tblMenu[[#This Row],[کد محصول]])=0,"بدون رسپی","کامل"))</f>
        <v/>
      </c>
      <c r="K7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7" s="44" t="inlineStr">
        <is>
          <t>CFE-ESP</t>
        </is>
      </c>
      <c r="N7" s="33">
        <f>IF(tblRecipe[[#This Row],[کد محصول]]="","",IFERROR(INDEX(tblMenu[نام محصول],MATCH(tblRecipe[[#This Row],[کد محصول]],tblMenu[کد محصول],0)),"کد نامعتبر"))</f>
        <v/>
      </c>
      <c r="O7" s="44" t="inlineStr">
        <is>
          <t>ING-029</t>
        </is>
      </c>
      <c r="P7" s="33">
        <f>IF(tblRecipe[[#This Row],[کد ماده]]="","",IFERROR(INDEX(tblIngredients[نام ماده],MATCH(tblRecipe[[#This Row],[کد ماده]],tblIngredients[کد ماده],0)),"کد نامعتبر"))</f>
        <v/>
      </c>
      <c r="Q7" s="33">
        <f>IF(tblRecipe[[#This Row],[کد ماده]]="","",IFERROR(INDEX(tblIngredients[واحد],MATCH(tblRecipe[[#This Row],[کد ماده]],tblIngredients[کد ماده],0)),""))</f>
        <v/>
      </c>
      <c r="R7" s="45" t="n">
        <v>1</v>
      </c>
      <c r="S7" s="74">
        <f>IF(tblRecipe[[#This Row],[کد ماده]]="","",IFERROR(INDEX(tblIngredients[بهای میانگین],MATCH(tblRecipe[[#This Row],[کد ماده]],tblIngredients[کد ماده],0)),0))</f>
        <v/>
      </c>
      <c r="T7" s="34">
        <f>IF(tblRecipe[[#This Row],[کد ماده]]="","",tblRecipe[[#This Row],[مقدار استاندارد]]*tblRecipe[[#This Row],[بهای واحد ماده]])</f>
        <v/>
      </c>
      <c r="U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" s="69">
        <f>IF(tblRecipe[[#This Row],[کد ماده]]="","",tblRecipe[[#This Row],[مقدار استاندارد]]*tblRecipe[[#This Row],[فروش کل]])</f>
        <v/>
      </c>
      <c r="W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" s="69">
        <f>IF(tblRecipe[[#This Row],[کد ماده]]="","",tblRecipe[[#This Row],[مقدار استاندارد]]*tblRecipe[[#This Row],[فروش بازه]])</f>
        <v/>
      </c>
      <c r="Y7" s="44" t="inlineStr">
        <is>
          <t>قابل ویرایش</t>
        </is>
      </c>
    </row>
    <row r="8">
      <c r="A8" s="44" t="inlineStr">
        <is>
          <t>CFE-CAP</t>
        </is>
      </c>
      <c r="B8" s="44" t="inlineStr">
        <is>
          <t>کاپوچینو</t>
        </is>
      </c>
      <c r="C8" s="44" t="inlineStr">
        <is>
          <t>قهوه گرم</t>
        </is>
      </c>
      <c r="D8" s="68" t="n">
        <v>288</v>
      </c>
      <c r="E8" s="34">
        <f>IF(tblMenu[[#This Row],[کد محصول]]="","",SUMIFS(tblRecipe[هزینه خط],tblRecipe[کد محصول],tblMenu[[#This Row],[کد محصول]]))</f>
        <v/>
      </c>
      <c r="F8" s="34">
        <f>IF(tblMenu[[#This Row],[کد محصول]]="","",tblMenu[[#This Row],[قیمت فروش]]-tblMenu[[#This Row],[هزینه استاندارد]])</f>
        <v/>
      </c>
      <c r="G8" s="35">
        <f>IFERROR(tblMenu[[#This Row],[هزینه استاندارد]]/tblMenu[[#This Row],[قیمت فروش]],0)</f>
        <v/>
      </c>
      <c r="H8" s="44" t="inlineStr">
        <is>
          <t>بله</t>
        </is>
      </c>
      <c r="I8" s="44" t="inlineStr">
        <is>
          <t>منوی اصلی</t>
        </is>
      </c>
      <c r="J8" s="33">
        <f>IF(tblMenu[[#This Row],[کد محصول]]="","",IF(COUNTIF(tblRecipe[کد محصول],tblMenu[[#This Row],[کد محصول]])=0,"بدون رسپی","کامل"))</f>
        <v/>
      </c>
      <c r="K8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8" s="44" t="inlineStr">
        <is>
          <t>CFE-AMR</t>
        </is>
      </c>
      <c r="N8" s="33">
        <f>IF(tblRecipe[[#This Row],[کد محصول]]="","",IFERROR(INDEX(tblMenu[نام محصول],MATCH(tblRecipe[[#This Row],[کد محصول]],tblMenu[کد محصول],0)),"کد نامعتبر"))</f>
        <v/>
      </c>
      <c r="O8" s="44" t="inlineStr">
        <is>
          <t>ING-001</t>
        </is>
      </c>
      <c r="P8" s="33">
        <f>IF(tblRecipe[[#This Row],[کد ماده]]="","",IFERROR(INDEX(tblIngredients[نام ماده],MATCH(tblRecipe[[#This Row],[کد ماده]],tblIngredients[کد ماده],0)),"کد نامعتبر"))</f>
        <v/>
      </c>
      <c r="Q8" s="33">
        <f>IF(tblRecipe[[#This Row],[کد ماده]]="","",IFERROR(INDEX(tblIngredients[واحد],MATCH(tblRecipe[[#This Row],[کد ماده]],tblIngredients[کد ماده],0)),""))</f>
        <v/>
      </c>
      <c r="R8" s="45" t="n">
        <v>20</v>
      </c>
      <c r="S8" s="74">
        <f>IF(tblRecipe[[#This Row],[کد ماده]]="","",IFERROR(INDEX(tblIngredients[بهای میانگین],MATCH(tblRecipe[[#This Row],[کد ماده]],tblIngredients[کد ماده],0)),0))</f>
        <v/>
      </c>
      <c r="T8" s="34">
        <f>IF(tblRecipe[[#This Row],[کد ماده]]="","",tblRecipe[[#This Row],[مقدار استاندارد]]*tblRecipe[[#This Row],[بهای واحد ماده]])</f>
        <v/>
      </c>
      <c r="U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" s="69">
        <f>IF(tblRecipe[[#This Row],[کد ماده]]="","",tblRecipe[[#This Row],[مقدار استاندارد]]*tblRecipe[[#This Row],[فروش کل]])</f>
        <v/>
      </c>
      <c r="W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" s="69">
        <f>IF(tblRecipe[[#This Row],[کد ماده]]="","",tblRecipe[[#This Row],[مقدار استاندارد]]*tblRecipe[[#This Row],[فروش بازه]])</f>
        <v/>
      </c>
      <c r="Y8" s="44" t="inlineStr">
        <is>
          <t>قابل ویرایش</t>
        </is>
      </c>
    </row>
    <row r="9">
      <c r="A9" s="44" t="inlineStr">
        <is>
          <t>CFE-LAT</t>
        </is>
      </c>
      <c r="B9" s="44" t="inlineStr">
        <is>
          <t>لاته</t>
        </is>
      </c>
      <c r="C9" s="44" t="inlineStr">
        <is>
          <t>قهوه گرم</t>
        </is>
      </c>
      <c r="D9" s="68" t="n">
        <v>298</v>
      </c>
      <c r="E9" s="34">
        <f>IF(tblMenu[[#This Row],[کد محصول]]="","",SUMIFS(tblRecipe[هزینه خط],tblRecipe[کد محصول],tblMenu[[#This Row],[کد محصول]]))</f>
        <v/>
      </c>
      <c r="F9" s="34">
        <f>IF(tblMenu[[#This Row],[کد محصول]]="","",tblMenu[[#This Row],[قیمت فروش]]-tblMenu[[#This Row],[هزینه استاندارد]])</f>
        <v/>
      </c>
      <c r="G9" s="35">
        <f>IFERROR(tblMenu[[#This Row],[هزینه استاندارد]]/tblMenu[[#This Row],[قیمت فروش]],0)</f>
        <v/>
      </c>
      <c r="H9" s="44" t="inlineStr">
        <is>
          <t>بله</t>
        </is>
      </c>
      <c r="I9" s="44" t="inlineStr">
        <is>
          <t>منوی اصلی</t>
        </is>
      </c>
      <c r="J9" s="33">
        <f>IF(tblMenu[[#This Row],[کد محصول]]="","",IF(COUNTIF(tblRecipe[کد محصول],tblMenu[[#This Row],[کد محصول]])=0,"بدون رسپی","کامل"))</f>
        <v/>
      </c>
      <c r="K9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9" s="44" t="inlineStr">
        <is>
          <t>CFE-AMR</t>
        </is>
      </c>
      <c r="N9" s="33">
        <f>IF(tblRecipe[[#This Row],[کد محصول]]="","",IFERROR(INDEX(tblMenu[نام محصول],MATCH(tblRecipe[[#This Row],[کد محصول]],tblMenu[کد محصول],0)),"کد نامعتبر"))</f>
        <v/>
      </c>
      <c r="O9" s="44" t="inlineStr">
        <is>
          <t>ING-029</t>
        </is>
      </c>
      <c r="P9" s="33">
        <f>IF(tblRecipe[[#This Row],[کد ماده]]="","",IFERROR(INDEX(tblIngredients[نام ماده],MATCH(tblRecipe[[#This Row],[کد ماده]],tblIngredients[کد ماده],0)),"کد نامعتبر"))</f>
        <v/>
      </c>
      <c r="Q9" s="33">
        <f>IF(tblRecipe[[#This Row],[کد ماده]]="","",IFERROR(INDEX(tblIngredients[واحد],MATCH(tblRecipe[[#This Row],[کد ماده]],tblIngredients[کد ماده],0)),""))</f>
        <v/>
      </c>
      <c r="R9" s="45" t="n">
        <v>1</v>
      </c>
      <c r="S9" s="74">
        <f>IF(tblRecipe[[#This Row],[کد ماده]]="","",IFERROR(INDEX(tblIngredients[بهای میانگین],MATCH(tblRecipe[[#This Row],[کد ماده]],tblIngredients[کد ماده],0)),0))</f>
        <v/>
      </c>
      <c r="T9" s="34">
        <f>IF(tblRecipe[[#This Row],[کد ماده]]="","",tblRecipe[[#This Row],[مقدار استاندارد]]*tblRecipe[[#This Row],[بهای واحد ماده]])</f>
        <v/>
      </c>
      <c r="U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" s="69">
        <f>IF(tblRecipe[[#This Row],[کد ماده]]="","",tblRecipe[[#This Row],[مقدار استاندارد]]*tblRecipe[[#This Row],[فروش کل]])</f>
        <v/>
      </c>
      <c r="W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" s="69">
        <f>IF(tblRecipe[[#This Row],[کد ماده]]="","",tblRecipe[[#This Row],[مقدار استاندارد]]*tblRecipe[[#This Row],[فروش بازه]])</f>
        <v/>
      </c>
      <c r="Y9" s="44" t="inlineStr">
        <is>
          <t>قابل ویرایش</t>
        </is>
      </c>
    </row>
    <row r="10">
      <c r="A10" s="44" t="inlineStr">
        <is>
          <t>CFE-CAR</t>
        </is>
      </c>
      <c r="B10" s="44" t="inlineStr">
        <is>
          <t>کارامل ماکیاتو</t>
        </is>
      </c>
      <c r="C10" s="44" t="inlineStr">
        <is>
          <t>قهوه گرم</t>
        </is>
      </c>
      <c r="D10" s="68" t="n">
        <v>328</v>
      </c>
      <c r="E10" s="34">
        <f>IF(tblMenu[[#This Row],[کد محصول]]="","",SUMIFS(tblRecipe[هزینه خط],tblRecipe[کد محصول],tblMenu[[#This Row],[کد محصول]]))</f>
        <v/>
      </c>
      <c r="F10" s="34">
        <f>IF(tblMenu[[#This Row],[کد محصول]]="","",tblMenu[[#This Row],[قیمت فروش]]-tblMenu[[#This Row],[هزینه استاندارد]])</f>
        <v/>
      </c>
      <c r="G10" s="35">
        <f>IFERROR(tblMenu[[#This Row],[هزینه استاندارد]]/tblMenu[[#This Row],[قیمت فروش]],0)</f>
        <v/>
      </c>
      <c r="H10" s="44" t="inlineStr">
        <is>
          <t>بله</t>
        </is>
      </c>
      <c r="I10" s="44" t="inlineStr">
        <is>
          <t>منوی اصلی</t>
        </is>
      </c>
      <c r="J10" s="33">
        <f>IF(tblMenu[[#This Row],[کد محصول]]="","",IF(COUNTIF(tblRecipe[کد محصول],tblMenu[[#This Row],[کد محصول]])=0,"بدون رسپی","کامل"))</f>
        <v/>
      </c>
      <c r="K10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0" s="44" t="inlineStr">
        <is>
          <t>CFE-CAP</t>
        </is>
      </c>
      <c r="N10" s="33">
        <f>IF(tblRecipe[[#This Row],[کد محصول]]="","",IFERROR(INDEX(tblMenu[نام محصول],MATCH(tblRecipe[[#This Row],[کد محصول]],tblMenu[کد محصول],0)),"کد نامعتبر"))</f>
        <v/>
      </c>
      <c r="O10" s="44" t="inlineStr">
        <is>
          <t>ING-001</t>
        </is>
      </c>
      <c r="P10" s="33">
        <f>IF(tblRecipe[[#This Row],[کد ماده]]="","",IFERROR(INDEX(tblIngredients[نام ماده],MATCH(tblRecipe[[#This Row],[کد ماده]],tblIngredients[کد ماده],0)),"کد نامعتبر"))</f>
        <v/>
      </c>
      <c r="Q10" s="33">
        <f>IF(tblRecipe[[#This Row],[کد ماده]]="","",IFERROR(INDEX(tblIngredients[واحد],MATCH(tblRecipe[[#This Row],[کد ماده]],tblIngredients[کد ماده],0)),""))</f>
        <v/>
      </c>
      <c r="R10" s="45" t="n">
        <v>18</v>
      </c>
      <c r="S10" s="74">
        <f>IF(tblRecipe[[#This Row],[کد ماده]]="","",IFERROR(INDEX(tblIngredients[بهای میانگین],MATCH(tblRecipe[[#This Row],[کد ماده]],tblIngredients[کد ماده],0)),0))</f>
        <v/>
      </c>
      <c r="T10" s="34">
        <f>IF(tblRecipe[[#This Row],[کد ماده]]="","",tblRecipe[[#This Row],[مقدار استاندارد]]*tblRecipe[[#This Row],[بهای واحد ماده]])</f>
        <v/>
      </c>
      <c r="U1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" s="69">
        <f>IF(tblRecipe[[#This Row],[کد ماده]]="","",tblRecipe[[#This Row],[مقدار استاندارد]]*tblRecipe[[#This Row],[فروش کل]])</f>
        <v/>
      </c>
      <c r="W1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" s="69">
        <f>IF(tblRecipe[[#This Row],[کد ماده]]="","",tblRecipe[[#This Row],[مقدار استاندارد]]*tblRecipe[[#This Row],[فروش بازه]])</f>
        <v/>
      </c>
      <c r="Y10" s="44" t="inlineStr">
        <is>
          <t>قابل ویرایش</t>
        </is>
      </c>
    </row>
    <row r="11">
      <c r="A11" s="44" t="inlineStr">
        <is>
          <t>CFE-MOC</t>
        </is>
      </c>
      <c r="B11" s="44" t="inlineStr">
        <is>
          <t>موکا</t>
        </is>
      </c>
      <c r="C11" s="44" t="inlineStr">
        <is>
          <t>قهوه گرم</t>
        </is>
      </c>
      <c r="D11" s="68" t="n">
        <v>338</v>
      </c>
      <c r="E11" s="34">
        <f>IF(tblMenu[[#This Row],[کد محصول]]="","",SUMIFS(tblRecipe[هزینه خط],tblRecipe[کد محصول],tblMenu[[#This Row],[کد محصول]]))</f>
        <v/>
      </c>
      <c r="F11" s="34">
        <f>IF(tblMenu[[#This Row],[کد محصول]]="","",tblMenu[[#This Row],[قیمت فروش]]-tblMenu[[#This Row],[هزینه استاندارد]])</f>
        <v/>
      </c>
      <c r="G11" s="35">
        <f>IFERROR(tblMenu[[#This Row],[هزینه استاندارد]]/tblMenu[[#This Row],[قیمت فروش]],0)</f>
        <v/>
      </c>
      <c r="H11" s="44" t="inlineStr">
        <is>
          <t>بله</t>
        </is>
      </c>
      <c r="I11" s="44" t="inlineStr">
        <is>
          <t>منوی اصلی</t>
        </is>
      </c>
      <c r="J11" s="33">
        <f>IF(tblMenu[[#This Row],[کد محصول]]="","",IF(COUNTIF(tblRecipe[کد محصول],tblMenu[[#This Row],[کد محصول]])=0,"بدون رسپی","کامل"))</f>
        <v/>
      </c>
      <c r="K11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1" s="44" t="inlineStr">
        <is>
          <t>CFE-CAP</t>
        </is>
      </c>
      <c r="N11" s="33">
        <f>IF(tblRecipe[[#This Row],[کد محصول]]="","",IFERROR(INDEX(tblMenu[نام محصول],MATCH(tblRecipe[[#This Row],[کد محصول]],tblMenu[کد محصول],0)),"کد نامعتبر"))</f>
        <v/>
      </c>
      <c r="O11" s="44" t="inlineStr">
        <is>
          <t>ING-002</t>
        </is>
      </c>
      <c r="P11" s="33">
        <f>IF(tblRecipe[[#This Row],[کد ماده]]="","",IFERROR(INDEX(tblIngredients[نام ماده],MATCH(tblRecipe[[#This Row],[کد ماده]],tblIngredients[کد ماده],0)),"کد نامعتبر"))</f>
        <v/>
      </c>
      <c r="Q11" s="33">
        <f>IF(tblRecipe[[#This Row],[کد ماده]]="","",IFERROR(INDEX(tblIngredients[واحد],MATCH(tblRecipe[[#This Row],[کد ماده]],tblIngredients[کد ماده],0)),""))</f>
        <v/>
      </c>
      <c r="R11" s="45" t="n">
        <v>180</v>
      </c>
      <c r="S11" s="74">
        <f>IF(tblRecipe[[#This Row],[کد ماده]]="","",IFERROR(INDEX(tblIngredients[بهای میانگین],MATCH(tblRecipe[[#This Row],[کد ماده]],tblIngredients[کد ماده],0)),0))</f>
        <v/>
      </c>
      <c r="T11" s="34">
        <f>IF(tblRecipe[[#This Row],[کد ماده]]="","",tblRecipe[[#This Row],[مقدار استاندارد]]*tblRecipe[[#This Row],[بهای واحد ماده]])</f>
        <v/>
      </c>
      <c r="U1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" s="69">
        <f>IF(tblRecipe[[#This Row],[کد ماده]]="","",tblRecipe[[#This Row],[مقدار استاندارد]]*tblRecipe[[#This Row],[فروش کل]])</f>
        <v/>
      </c>
      <c r="W1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" s="69">
        <f>IF(tblRecipe[[#This Row],[کد ماده]]="","",tblRecipe[[#This Row],[مقدار استاندارد]]*tblRecipe[[#This Row],[فروش بازه]])</f>
        <v/>
      </c>
      <c r="Y11" s="44" t="inlineStr">
        <is>
          <t>قابل ویرایش</t>
        </is>
      </c>
    </row>
    <row r="12">
      <c r="A12" s="44" t="inlineStr">
        <is>
          <t>CFE-COR</t>
        </is>
      </c>
      <c r="B12" s="44" t="inlineStr">
        <is>
          <t>کورتادو</t>
        </is>
      </c>
      <c r="C12" s="44" t="inlineStr">
        <is>
          <t>قهوه گرم</t>
        </is>
      </c>
      <c r="D12" s="68" t="n">
        <v>288</v>
      </c>
      <c r="E12" s="34">
        <f>IF(tblMenu[[#This Row],[کد محصول]]="","",SUMIFS(tblRecipe[هزینه خط],tblRecipe[کد محصول],tblMenu[[#This Row],[کد محصول]]))</f>
        <v/>
      </c>
      <c r="F12" s="34">
        <f>IF(tblMenu[[#This Row],[کد محصول]]="","",tblMenu[[#This Row],[قیمت فروش]]-tblMenu[[#This Row],[هزینه استاندارد]])</f>
        <v/>
      </c>
      <c r="G12" s="35">
        <f>IFERROR(tblMenu[[#This Row],[هزینه استاندارد]]/tblMenu[[#This Row],[قیمت فروش]],0)</f>
        <v/>
      </c>
      <c r="H12" s="44" t="inlineStr">
        <is>
          <t>بله</t>
        </is>
      </c>
      <c r="I12" s="44" t="inlineStr">
        <is>
          <t>منوی اصلی</t>
        </is>
      </c>
      <c r="J12" s="33">
        <f>IF(tblMenu[[#This Row],[کد محصول]]="","",IF(COUNTIF(tblRecipe[کد محصول],tblMenu[[#This Row],[کد محصول]])=0,"بدون رسپی","کامل"))</f>
        <v/>
      </c>
      <c r="K12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2" s="44" t="inlineStr">
        <is>
          <t>CFE-CAP</t>
        </is>
      </c>
      <c r="N12" s="33">
        <f>IF(tblRecipe[[#This Row],[کد محصول]]="","",IFERROR(INDEX(tblMenu[نام محصول],MATCH(tblRecipe[[#This Row],[کد محصول]],tblMenu[کد محصول],0)),"کد نامعتبر"))</f>
        <v/>
      </c>
      <c r="O12" s="44" t="inlineStr">
        <is>
          <t>ING-029</t>
        </is>
      </c>
      <c r="P12" s="33">
        <f>IF(tblRecipe[[#This Row],[کد ماده]]="","",IFERROR(INDEX(tblIngredients[نام ماده],MATCH(tblRecipe[[#This Row],[کد ماده]],tblIngredients[کد ماده],0)),"کد نامعتبر"))</f>
        <v/>
      </c>
      <c r="Q12" s="33">
        <f>IF(tblRecipe[[#This Row],[کد ماده]]="","",IFERROR(INDEX(tblIngredients[واحد],MATCH(tblRecipe[[#This Row],[کد ماده]],tblIngredients[کد ماده],0)),""))</f>
        <v/>
      </c>
      <c r="R12" s="45" t="n">
        <v>1</v>
      </c>
      <c r="S12" s="74">
        <f>IF(tblRecipe[[#This Row],[کد ماده]]="","",IFERROR(INDEX(tblIngredients[بهای میانگین],MATCH(tblRecipe[[#This Row],[کد ماده]],tblIngredients[کد ماده],0)),0))</f>
        <v/>
      </c>
      <c r="T12" s="34">
        <f>IF(tblRecipe[[#This Row],[کد ماده]]="","",tblRecipe[[#This Row],[مقدار استاندارد]]*tblRecipe[[#This Row],[بهای واحد ماده]])</f>
        <v/>
      </c>
      <c r="U1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" s="69">
        <f>IF(tblRecipe[[#This Row],[کد ماده]]="","",tblRecipe[[#This Row],[مقدار استاندارد]]*tblRecipe[[#This Row],[فروش کل]])</f>
        <v/>
      </c>
      <c r="W1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" s="69">
        <f>IF(tblRecipe[[#This Row],[کد ماده]]="","",tblRecipe[[#This Row],[مقدار استاندارد]]*tblRecipe[[#This Row],[فروش بازه]])</f>
        <v/>
      </c>
      <c r="Y12" s="44" t="inlineStr">
        <is>
          <t>قابل ویرایش</t>
        </is>
      </c>
    </row>
    <row r="13">
      <c r="A13" s="44" t="inlineStr">
        <is>
          <t>CFE-AFF</t>
        </is>
      </c>
      <c r="B13" s="44" t="inlineStr">
        <is>
          <t>آفوگاتو</t>
        </is>
      </c>
      <c r="C13" s="44" t="inlineStr">
        <is>
          <t>قهوه گرم</t>
        </is>
      </c>
      <c r="D13" s="68" t="n">
        <v>318</v>
      </c>
      <c r="E13" s="34">
        <f>IF(tblMenu[[#This Row],[کد محصول]]="","",SUMIFS(tblRecipe[هزینه خط],tblRecipe[کد محصول],tblMenu[[#This Row],[کد محصول]]))</f>
        <v/>
      </c>
      <c r="F13" s="34">
        <f>IF(tblMenu[[#This Row],[کد محصول]]="","",tblMenu[[#This Row],[قیمت فروش]]-tblMenu[[#This Row],[هزینه استاندارد]])</f>
        <v/>
      </c>
      <c r="G13" s="35">
        <f>IFERROR(tblMenu[[#This Row],[هزینه استاندارد]]/tblMenu[[#This Row],[قیمت فروش]],0)</f>
        <v/>
      </c>
      <c r="H13" s="44" t="inlineStr">
        <is>
          <t>بله</t>
        </is>
      </c>
      <c r="I13" s="44" t="inlineStr">
        <is>
          <t>منوی اصلی</t>
        </is>
      </c>
      <c r="J13" s="33">
        <f>IF(tblMenu[[#This Row],[کد محصول]]="","",IF(COUNTIF(tblRecipe[کد محصول],tblMenu[[#This Row],[کد محصول]])=0,"بدون رسپی","کامل"))</f>
        <v/>
      </c>
      <c r="K13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3" s="44" t="inlineStr">
        <is>
          <t>CFE-LAT</t>
        </is>
      </c>
      <c r="N13" s="33">
        <f>IF(tblRecipe[[#This Row],[کد محصول]]="","",IFERROR(INDEX(tblMenu[نام محصول],MATCH(tblRecipe[[#This Row],[کد محصول]],tblMenu[کد محصول],0)),"کد نامعتبر"))</f>
        <v/>
      </c>
      <c r="O13" s="44" t="inlineStr">
        <is>
          <t>ING-001</t>
        </is>
      </c>
      <c r="P13" s="33">
        <f>IF(tblRecipe[[#This Row],[کد ماده]]="","",IFERROR(INDEX(tblIngredients[نام ماده],MATCH(tblRecipe[[#This Row],[کد ماده]],tblIngredients[کد ماده],0)),"کد نامعتبر"))</f>
        <v/>
      </c>
      <c r="Q13" s="33">
        <f>IF(tblRecipe[[#This Row],[کد ماده]]="","",IFERROR(INDEX(tblIngredients[واحد],MATCH(tblRecipe[[#This Row],[کد ماده]],tblIngredients[کد ماده],0)),""))</f>
        <v/>
      </c>
      <c r="R13" s="45" t="n">
        <v>18</v>
      </c>
      <c r="S13" s="74">
        <f>IF(tblRecipe[[#This Row],[کد ماده]]="","",IFERROR(INDEX(tblIngredients[بهای میانگین],MATCH(tblRecipe[[#This Row],[کد ماده]],tblIngredients[کد ماده],0)),0))</f>
        <v/>
      </c>
      <c r="T13" s="34">
        <f>IF(tblRecipe[[#This Row],[کد ماده]]="","",tblRecipe[[#This Row],[مقدار استاندارد]]*tblRecipe[[#This Row],[بهای واحد ماده]])</f>
        <v/>
      </c>
      <c r="U1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" s="69">
        <f>IF(tblRecipe[[#This Row],[کد ماده]]="","",tblRecipe[[#This Row],[مقدار استاندارد]]*tblRecipe[[#This Row],[فروش کل]])</f>
        <v/>
      </c>
      <c r="W1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" s="69">
        <f>IF(tblRecipe[[#This Row],[کد ماده]]="","",tblRecipe[[#This Row],[مقدار استاندارد]]*tblRecipe[[#This Row],[فروش بازه]])</f>
        <v/>
      </c>
      <c r="Y13" s="44" t="inlineStr">
        <is>
          <t>قابل ویرایش</t>
        </is>
      </c>
    </row>
    <row r="14">
      <c r="A14" s="44" t="inlineStr">
        <is>
          <t>HOT-TEA</t>
        </is>
      </c>
      <c r="B14" s="44" t="inlineStr">
        <is>
          <t>چای ساده</t>
        </is>
      </c>
      <c r="C14" s="44" t="inlineStr">
        <is>
          <t>چای و گرم</t>
        </is>
      </c>
      <c r="D14" s="68" t="n">
        <v>138</v>
      </c>
      <c r="E14" s="34">
        <f>IF(tblMenu[[#This Row],[کد محصول]]="","",SUMIFS(tblRecipe[هزینه خط],tblRecipe[کد محصول],tblMenu[[#This Row],[کد محصول]]))</f>
        <v/>
      </c>
      <c r="F14" s="34">
        <f>IF(tblMenu[[#This Row],[کد محصول]]="","",tblMenu[[#This Row],[قیمت فروش]]-tblMenu[[#This Row],[هزینه استاندارد]])</f>
        <v/>
      </c>
      <c r="G14" s="35">
        <f>IFERROR(tblMenu[[#This Row],[هزینه استاندارد]]/tblMenu[[#This Row],[قیمت فروش]],0)</f>
        <v/>
      </c>
      <c r="H14" s="44" t="inlineStr">
        <is>
          <t>بله</t>
        </is>
      </c>
      <c r="I14" s="44" t="inlineStr">
        <is>
          <t>منوی اصلی</t>
        </is>
      </c>
      <c r="J14" s="33">
        <f>IF(tblMenu[[#This Row],[کد محصول]]="","",IF(COUNTIF(tblRecipe[کد محصول],tblMenu[[#This Row],[کد محصول]])=0,"بدون رسپی","کامل"))</f>
        <v/>
      </c>
      <c r="K14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4" s="44" t="inlineStr">
        <is>
          <t>CFE-LAT</t>
        </is>
      </c>
      <c r="N14" s="33">
        <f>IF(tblRecipe[[#This Row],[کد محصول]]="","",IFERROR(INDEX(tblMenu[نام محصول],MATCH(tblRecipe[[#This Row],[کد محصول]],tblMenu[کد محصول],0)),"کد نامعتبر"))</f>
        <v/>
      </c>
      <c r="O14" s="44" t="inlineStr">
        <is>
          <t>ING-002</t>
        </is>
      </c>
      <c r="P14" s="33">
        <f>IF(tblRecipe[[#This Row],[کد ماده]]="","",IFERROR(INDEX(tblIngredients[نام ماده],MATCH(tblRecipe[[#This Row],[کد ماده]],tblIngredients[کد ماده],0)),"کد نامعتبر"))</f>
        <v/>
      </c>
      <c r="Q14" s="33">
        <f>IF(tblRecipe[[#This Row],[کد ماده]]="","",IFERROR(INDEX(tblIngredients[واحد],MATCH(tblRecipe[[#This Row],[کد ماده]],tblIngredients[کد ماده],0)),""))</f>
        <v/>
      </c>
      <c r="R14" s="45" t="n">
        <v>220</v>
      </c>
      <c r="S14" s="74">
        <f>IF(tblRecipe[[#This Row],[کد ماده]]="","",IFERROR(INDEX(tblIngredients[بهای میانگین],MATCH(tblRecipe[[#This Row],[کد ماده]],tblIngredients[کد ماده],0)),0))</f>
        <v/>
      </c>
      <c r="T14" s="34">
        <f>IF(tblRecipe[[#This Row],[کد ماده]]="","",tblRecipe[[#This Row],[مقدار استاندارد]]*tblRecipe[[#This Row],[بهای واحد ماده]])</f>
        <v/>
      </c>
      <c r="U1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" s="69">
        <f>IF(tblRecipe[[#This Row],[کد ماده]]="","",tblRecipe[[#This Row],[مقدار استاندارد]]*tblRecipe[[#This Row],[فروش کل]])</f>
        <v/>
      </c>
      <c r="W1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" s="69">
        <f>IF(tblRecipe[[#This Row],[کد ماده]]="","",tblRecipe[[#This Row],[مقدار استاندارد]]*tblRecipe[[#This Row],[فروش بازه]])</f>
        <v/>
      </c>
      <c r="Y14" s="44" t="inlineStr">
        <is>
          <t>قابل ویرایش</t>
        </is>
      </c>
    </row>
    <row r="15">
      <c r="A15" s="44" t="inlineStr">
        <is>
          <t>HOT-GRN</t>
        </is>
      </c>
      <c r="B15" s="44" t="inlineStr">
        <is>
          <t>چای سبز</t>
        </is>
      </c>
      <c r="C15" s="44" t="inlineStr">
        <is>
          <t>چای و گرم</t>
        </is>
      </c>
      <c r="D15" s="68" t="n">
        <v>148</v>
      </c>
      <c r="E15" s="34">
        <f>IF(tblMenu[[#This Row],[کد محصول]]="","",SUMIFS(tblRecipe[هزینه خط],tblRecipe[کد محصول],tblMenu[[#This Row],[کد محصول]]))</f>
        <v/>
      </c>
      <c r="F15" s="34">
        <f>IF(tblMenu[[#This Row],[کد محصول]]="","",tblMenu[[#This Row],[قیمت فروش]]-tblMenu[[#This Row],[هزینه استاندارد]])</f>
        <v/>
      </c>
      <c r="G15" s="35">
        <f>IFERROR(tblMenu[[#This Row],[هزینه استاندارد]]/tblMenu[[#This Row],[قیمت فروش]],0)</f>
        <v/>
      </c>
      <c r="H15" s="44" t="inlineStr">
        <is>
          <t>بله</t>
        </is>
      </c>
      <c r="I15" s="44" t="inlineStr">
        <is>
          <t>منوی اصلی</t>
        </is>
      </c>
      <c r="J15" s="33">
        <f>IF(tblMenu[[#This Row],[کد محصول]]="","",IF(COUNTIF(tblRecipe[کد محصول],tblMenu[[#This Row],[کد محصول]])=0,"بدون رسپی","کامل"))</f>
        <v/>
      </c>
      <c r="K15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5" s="44" t="inlineStr">
        <is>
          <t>CFE-LAT</t>
        </is>
      </c>
      <c r="N15" s="33">
        <f>IF(tblRecipe[[#This Row],[کد محصول]]="","",IFERROR(INDEX(tblMenu[نام محصول],MATCH(tblRecipe[[#This Row],[کد محصول]],tblMenu[کد محصول],0)),"کد نامعتبر"))</f>
        <v/>
      </c>
      <c r="O15" s="44" t="inlineStr">
        <is>
          <t>ING-029</t>
        </is>
      </c>
      <c r="P15" s="33">
        <f>IF(tblRecipe[[#This Row],[کد ماده]]="","",IFERROR(INDEX(tblIngredients[نام ماده],MATCH(tblRecipe[[#This Row],[کد ماده]],tblIngredients[کد ماده],0)),"کد نامعتبر"))</f>
        <v/>
      </c>
      <c r="Q15" s="33">
        <f>IF(tblRecipe[[#This Row],[کد ماده]]="","",IFERROR(INDEX(tblIngredients[واحد],MATCH(tblRecipe[[#This Row],[کد ماده]],tblIngredients[کد ماده],0)),""))</f>
        <v/>
      </c>
      <c r="R15" s="45" t="n">
        <v>1</v>
      </c>
      <c r="S15" s="74">
        <f>IF(tblRecipe[[#This Row],[کد ماده]]="","",IFERROR(INDEX(tblIngredients[بهای میانگین],MATCH(tblRecipe[[#This Row],[کد ماده]],tblIngredients[کد ماده],0)),0))</f>
        <v/>
      </c>
      <c r="T15" s="34">
        <f>IF(tblRecipe[[#This Row],[کد ماده]]="","",tblRecipe[[#This Row],[مقدار استاندارد]]*tblRecipe[[#This Row],[بهای واحد ماده]])</f>
        <v/>
      </c>
      <c r="U1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5" s="69">
        <f>IF(tblRecipe[[#This Row],[کد ماده]]="","",tblRecipe[[#This Row],[مقدار استاندارد]]*tblRecipe[[#This Row],[فروش کل]])</f>
        <v/>
      </c>
      <c r="W1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5" s="69">
        <f>IF(tblRecipe[[#This Row],[کد ماده]]="","",tblRecipe[[#This Row],[مقدار استاندارد]]*tblRecipe[[#This Row],[فروش بازه]])</f>
        <v/>
      </c>
      <c r="Y15" s="44" t="inlineStr">
        <is>
          <t>قابل ویرایش</t>
        </is>
      </c>
    </row>
    <row r="16">
      <c r="A16" s="44" t="inlineStr">
        <is>
          <t>HOT-MAS</t>
        </is>
      </c>
      <c r="B16" s="44" t="inlineStr">
        <is>
          <t>چای ماسالا</t>
        </is>
      </c>
      <c r="C16" s="44" t="inlineStr">
        <is>
          <t>چای و گرم</t>
        </is>
      </c>
      <c r="D16" s="68" t="n">
        <v>238</v>
      </c>
      <c r="E16" s="34">
        <f>IF(tblMenu[[#This Row],[کد محصول]]="","",SUMIFS(tblRecipe[هزینه خط],tblRecipe[کد محصول],tblMenu[[#This Row],[کد محصول]]))</f>
        <v/>
      </c>
      <c r="F16" s="34">
        <f>IF(tblMenu[[#This Row],[کد محصول]]="","",tblMenu[[#This Row],[قیمت فروش]]-tblMenu[[#This Row],[هزینه استاندارد]])</f>
        <v/>
      </c>
      <c r="G16" s="35">
        <f>IFERROR(tblMenu[[#This Row],[هزینه استاندارد]]/tblMenu[[#This Row],[قیمت فروش]],0)</f>
        <v/>
      </c>
      <c r="H16" s="44" t="inlineStr">
        <is>
          <t>بله</t>
        </is>
      </c>
      <c r="I16" s="44" t="inlineStr">
        <is>
          <t>منوی اصلی</t>
        </is>
      </c>
      <c r="J16" s="33">
        <f>IF(tblMenu[[#This Row],[کد محصول]]="","",IF(COUNTIF(tblRecipe[کد محصول],tblMenu[[#This Row],[کد محصول]])=0,"بدون رسپی","کامل"))</f>
        <v/>
      </c>
      <c r="K16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6" s="44" t="inlineStr">
        <is>
          <t>CFE-CAR</t>
        </is>
      </c>
      <c r="N16" s="33">
        <f>IF(tblRecipe[[#This Row],[کد محصول]]="","",IFERROR(INDEX(tblMenu[نام محصول],MATCH(tblRecipe[[#This Row],[کد محصول]],tblMenu[کد محصول],0)),"کد نامعتبر"))</f>
        <v/>
      </c>
      <c r="O16" s="44" t="inlineStr">
        <is>
          <t>ING-001</t>
        </is>
      </c>
      <c r="P16" s="33">
        <f>IF(tblRecipe[[#This Row],[کد ماده]]="","",IFERROR(INDEX(tblIngredients[نام ماده],MATCH(tblRecipe[[#This Row],[کد ماده]],tblIngredients[کد ماده],0)),"کد نامعتبر"))</f>
        <v/>
      </c>
      <c r="Q16" s="33">
        <f>IF(tblRecipe[[#This Row],[کد ماده]]="","",IFERROR(INDEX(tblIngredients[واحد],MATCH(tblRecipe[[#This Row],[کد ماده]],tblIngredients[کد ماده],0)),""))</f>
        <v/>
      </c>
      <c r="R16" s="45" t="n">
        <v>18</v>
      </c>
      <c r="S16" s="74">
        <f>IF(tblRecipe[[#This Row],[کد ماده]]="","",IFERROR(INDEX(tblIngredients[بهای میانگین],MATCH(tblRecipe[[#This Row],[کد ماده]],tblIngredients[کد ماده],0)),0))</f>
        <v/>
      </c>
      <c r="T16" s="34">
        <f>IF(tblRecipe[[#This Row],[کد ماده]]="","",tblRecipe[[#This Row],[مقدار استاندارد]]*tblRecipe[[#This Row],[بهای واحد ماده]])</f>
        <v/>
      </c>
      <c r="U1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6" s="69">
        <f>IF(tblRecipe[[#This Row],[کد ماده]]="","",tblRecipe[[#This Row],[مقدار استاندارد]]*tblRecipe[[#This Row],[فروش کل]])</f>
        <v/>
      </c>
      <c r="W1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6" s="69">
        <f>IF(tblRecipe[[#This Row],[کد ماده]]="","",tblRecipe[[#This Row],[مقدار استاندارد]]*tblRecipe[[#This Row],[فروش بازه]])</f>
        <v/>
      </c>
      <c r="Y16" s="44" t="inlineStr">
        <is>
          <t>قابل ویرایش</t>
        </is>
      </c>
    </row>
    <row r="17">
      <c r="A17" s="44" t="inlineStr">
        <is>
          <t>HOT-KRK</t>
        </is>
      </c>
      <c r="B17" s="44" t="inlineStr">
        <is>
          <t>چای کرک</t>
        </is>
      </c>
      <c r="C17" s="44" t="inlineStr">
        <is>
          <t>چای و گرم</t>
        </is>
      </c>
      <c r="D17" s="68" t="n">
        <v>248</v>
      </c>
      <c r="E17" s="34">
        <f>IF(tblMenu[[#This Row],[کد محصول]]="","",SUMIFS(tblRecipe[هزینه خط],tblRecipe[کد محصول],tblMenu[[#This Row],[کد محصول]]))</f>
        <v/>
      </c>
      <c r="F17" s="34">
        <f>IF(tblMenu[[#This Row],[کد محصول]]="","",tblMenu[[#This Row],[قیمت فروش]]-tblMenu[[#This Row],[هزینه استاندارد]])</f>
        <v/>
      </c>
      <c r="G17" s="35">
        <f>IFERROR(tblMenu[[#This Row],[هزینه استاندارد]]/tblMenu[[#This Row],[قیمت فروش]],0)</f>
        <v/>
      </c>
      <c r="H17" s="44" t="inlineStr">
        <is>
          <t>بله</t>
        </is>
      </c>
      <c r="I17" s="44" t="inlineStr">
        <is>
          <t>منوی اصلی</t>
        </is>
      </c>
      <c r="J17" s="33">
        <f>IF(tblMenu[[#This Row],[کد محصول]]="","",IF(COUNTIF(tblRecipe[کد محصول],tblMenu[[#This Row],[کد محصول]])=0,"بدون رسپی","کامل"))</f>
        <v/>
      </c>
      <c r="K17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7" s="44" t="inlineStr">
        <is>
          <t>CFE-CAR</t>
        </is>
      </c>
      <c r="N17" s="33">
        <f>IF(tblRecipe[[#This Row],[کد محصول]]="","",IFERROR(INDEX(tblMenu[نام محصول],MATCH(tblRecipe[[#This Row],[کد محصول]],tblMenu[کد محصول],0)),"کد نامعتبر"))</f>
        <v/>
      </c>
      <c r="O17" s="44" t="inlineStr">
        <is>
          <t>ING-002</t>
        </is>
      </c>
      <c r="P17" s="33">
        <f>IF(tblRecipe[[#This Row],[کد ماده]]="","",IFERROR(INDEX(tblIngredients[نام ماده],MATCH(tblRecipe[[#This Row],[کد ماده]],tblIngredients[کد ماده],0)),"کد نامعتبر"))</f>
        <v/>
      </c>
      <c r="Q17" s="33">
        <f>IF(tblRecipe[[#This Row],[کد ماده]]="","",IFERROR(INDEX(tblIngredients[واحد],MATCH(tblRecipe[[#This Row],[کد ماده]],tblIngredients[کد ماده],0)),""))</f>
        <v/>
      </c>
      <c r="R17" s="45" t="n">
        <v>220</v>
      </c>
      <c r="S17" s="74">
        <f>IF(tblRecipe[[#This Row],[کد ماده]]="","",IFERROR(INDEX(tblIngredients[بهای میانگین],MATCH(tblRecipe[[#This Row],[کد ماده]],tblIngredients[کد ماده],0)),0))</f>
        <v/>
      </c>
      <c r="T17" s="34">
        <f>IF(tblRecipe[[#This Row],[کد ماده]]="","",tblRecipe[[#This Row],[مقدار استاندارد]]*tblRecipe[[#This Row],[بهای واحد ماده]])</f>
        <v/>
      </c>
      <c r="U1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7" s="69">
        <f>IF(tblRecipe[[#This Row],[کد ماده]]="","",tblRecipe[[#This Row],[مقدار استاندارد]]*tblRecipe[[#This Row],[فروش کل]])</f>
        <v/>
      </c>
      <c r="W1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7" s="69">
        <f>IF(tblRecipe[[#This Row],[کد ماده]]="","",tblRecipe[[#This Row],[مقدار استاندارد]]*tblRecipe[[#This Row],[فروش بازه]])</f>
        <v/>
      </c>
      <c r="Y17" s="44" t="inlineStr">
        <is>
          <t>قابل ویرایش</t>
        </is>
      </c>
    </row>
    <row r="18">
      <c r="A18" s="44" t="inlineStr">
        <is>
          <t>HOT-CHO</t>
        </is>
      </c>
      <c r="B18" s="44" t="inlineStr">
        <is>
          <t>هات چاکلت</t>
        </is>
      </c>
      <c r="C18" s="44" t="inlineStr">
        <is>
          <t>چای و گرم</t>
        </is>
      </c>
      <c r="D18" s="68" t="n">
        <v>288</v>
      </c>
      <c r="E18" s="34">
        <f>IF(tblMenu[[#This Row],[کد محصول]]="","",SUMIFS(tblRecipe[هزینه خط],tblRecipe[کد محصول],tblMenu[[#This Row],[کد محصول]]))</f>
        <v/>
      </c>
      <c r="F18" s="34">
        <f>IF(tblMenu[[#This Row],[کد محصول]]="","",tblMenu[[#This Row],[قیمت فروش]]-tblMenu[[#This Row],[هزینه استاندارد]])</f>
        <v/>
      </c>
      <c r="G18" s="35">
        <f>IFERROR(tblMenu[[#This Row],[هزینه استاندارد]]/tblMenu[[#This Row],[قیمت فروش]],0)</f>
        <v/>
      </c>
      <c r="H18" s="44" t="inlineStr">
        <is>
          <t>بله</t>
        </is>
      </c>
      <c r="I18" s="44" t="inlineStr">
        <is>
          <t>منوی اصلی</t>
        </is>
      </c>
      <c r="J18" s="33">
        <f>IF(tblMenu[[#This Row],[کد محصول]]="","",IF(COUNTIF(tblRecipe[کد محصول],tblMenu[[#This Row],[کد محصول]])=0,"بدون رسپی","کامل"))</f>
        <v/>
      </c>
      <c r="K18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8" s="44" t="inlineStr">
        <is>
          <t>CFE-CAR</t>
        </is>
      </c>
      <c r="N18" s="33">
        <f>IF(tblRecipe[[#This Row],[کد محصول]]="","",IFERROR(INDEX(tblMenu[نام محصول],MATCH(tblRecipe[[#This Row],[کد محصول]],tblMenu[کد محصول],0)),"کد نامعتبر"))</f>
        <v/>
      </c>
      <c r="O18" s="44" t="inlineStr">
        <is>
          <t>ING-004</t>
        </is>
      </c>
      <c r="P18" s="33">
        <f>IF(tblRecipe[[#This Row],[کد ماده]]="","",IFERROR(INDEX(tblIngredients[نام ماده],MATCH(tblRecipe[[#This Row],[کد ماده]],tblIngredients[کد ماده],0)),"کد نامعتبر"))</f>
        <v/>
      </c>
      <c r="Q18" s="33">
        <f>IF(tblRecipe[[#This Row],[کد ماده]]="","",IFERROR(INDEX(tblIngredients[واحد],MATCH(tblRecipe[[#This Row],[کد ماده]],tblIngredients[کد ماده],0)),""))</f>
        <v/>
      </c>
      <c r="R18" s="45" t="n">
        <v>25</v>
      </c>
      <c r="S18" s="74">
        <f>IF(tblRecipe[[#This Row],[کد ماده]]="","",IFERROR(INDEX(tblIngredients[بهای میانگین],MATCH(tblRecipe[[#This Row],[کد ماده]],tblIngredients[کد ماده],0)),0))</f>
        <v/>
      </c>
      <c r="T18" s="34">
        <f>IF(tblRecipe[[#This Row],[کد ماده]]="","",tblRecipe[[#This Row],[مقدار استاندارد]]*tblRecipe[[#This Row],[بهای واحد ماده]])</f>
        <v/>
      </c>
      <c r="U1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8" s="69">
        <f>IF(tblRecipe[[#This Row],[کد ماده]]="","",tblRecipe[[#This Row],[مقدار استاندارد]]*tblRecipe[[#This Row],[فروش کل]])</f>
        <v/>
      </c>
      <c r="W1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8" s="69">
        <f>IF(tblRecipe[[#This Row],[کد ماده]]="","",tblRecipe[[#This Row],[مقدار استاندارد]]*tblRecipe[[#This Row],[فروش بازه]])</f>
        <v/>
      </c>
      <c r="Y18" s="44" t="inlineStr">
        <is>
          <t>قابل ویرایش</t>
        </is>
      </c>
    </row>
    <row r="19">
      <c r="A19" s="44" t="inlineStr">
        <is>
          <t>HOT-WCH</t>
        </is>
      </c>
      <c r="B19" s="44" t="inlineStr">
        <is>
          <t>وایت چاکلت</t>
        </is>
      </c>
      <c r="C19" s="44" t="inlineStr">
        <is>
          <t>چای و گرم</t>
        </is>
      </c>
      <c r="D19" s="68" t="n">
        <v>288</v>
      </c>
      <c r="E19" s="34">
        <f>IF(tblMenu[[#This Row],[کد محصول]]="","",SUMIFS(tblRecipe[هزینه خط],tblRecipe[کد محصول],tblMenu[[#This Row],[کد محصول]]))</f>
        <v/>
      </c>
      <c r="F19" s="34">
        <f>IF(tblMenu[[#This Row],[کد محصول]]="","",tblMenu[[#This Row],[قیمت فروش]]-tblMenu[[#This Row],[هزینه استاندارد]])</f>
        <v/>
      </c>
      <c r="G19" s="35">
        <f>IFERROR(tblMenu[[#This Row],[هزینه استاندارد]]/tblMenu[[#This Row],[قیمت فروش]],0)</f>
        <v/>
      </c>
      <c r="H19" s="44" t="inlineStr">
        <is>
          <t>بله</t>
        </is>
      </c>
      <c r="I19" s="44" t="inlineStr">
        <is>
          <t>منوی اصلی</t>
        </is>
      </c>
      <c r="J19" s="33">
        <f>IF(tblMenu[[#This Row],[کد محصول]]="","",IF(COUNTIF(tblRecipe[کد محصول],tblMenu[[#This Row],[کد محصول]])=0,"بدون رسپی","کامل"))</f>
        <v/>
      </c>
      <c r="K19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9" s="44" t="inlineStr">
        <is>
          <t>CFE-CAR</t>
        </is>
      </c>
      <c r="N19" s="33">
        <f>IF(tblRecipe[[#This Row],[کد محصول]]="","",IFERROR(INDEX(tblMenu[نام محصول],MATCH(tblRecipe[[#This Row],[کد محصول]],tblMenu[کد محصول],0)),"کد نامعتبر"))</f>
        <v/>
      </c>
      <c r="O19" s="44" t="inlineStr">
        <is>
          <t>ING-029</t>
        </is>
      </c>
      <c r="P19" s="33">
        <f>IF(tblRecipe[[#This Row],[کد ماده]]="","",IFERROR(INDEX(tblIngredients[نام ماده],MATCH(tblRecipe[[#This Row],[کد ماده]],tblIngredients[کد ماده],0)),"کد نامعتبر"))</f>
        <v/>
      </c>
      <c r="Q19" s="33">
        <f>IF(tblRecipe[[#This Row],[کد ماده]]="","",IFERROR(INDEX(tblIngredients[واحد],MATCH(tblRecipe[[#This Row],[کد ماده]],tblIngredients[کد ماده],0)),""))</f>
        <v/>
      </c>
      <c r="R19" s="45" t="n">
        <v>1</v>
      </c>
      <c r="S19" s="74">
        <f>IF(tblRecipe[[#This Row],[کد ماده]]="","",IFERROR(INDEX(tblIngredients[بهای میانگین],MATCH(tblRecipe[[#This Row],[کد ماده]],tblIngredients[کد ماده],0)),0))</f>
        <v/>
      </c>
      <c r="T19" s="34">
        <f>IF(tblRecipe[[#This Row],[کد ماده]]="","",tblRecipe[[#This Row],[مقدار استاندارد]]*tblRecipe[[#This Row],[بهای واحد ماده]])</f>
        <v/>
      </c>
      <c r="U1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9" s="69">
        <f>IF(tblRecipe[[#This Row],[کد ماده]]="","",tblRecipe[[#This Row],[مقدار استاندارد]]*tblRecipe[[#This Row],[فروش کل]])</f>
        <v/>
      </c>
      <c r="W1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9" s="69">
        <f>IF(tblRecipe[[#This Row],[کد ماده]]="","",tblRecipe[[#This Row],[مقدار استاندارد]]*tblRecipe[[#This Row],[فروش بازه]])</f>
        <v/>
      </c>
      <c r="Y19" s="44" t="inlineStr">
        <is>
          <t>قابل ویرایش</t>
        </is>
      </c>
    </row>
    <row r="20">
      <c r="A20" s="44" t="inlineStr">
        <is>
          <t>HOT-MAT</t>
        </is>
      </c>
      <c r="B20" s="44" t="inlineStr">
        <is>
          <t>ماچا لته</t>
        </is>
      </c>
      <c r="C20" s="44" t="inlineStr">
        <is>
          <t>چای و گرم</t>
        </is>
      </c>
      <c r="D20" s="68" t="n">
        <v>298</v>
      </c>
      <c r="E20" s="34">
        <f>IF(tblMenu[[#This Row],[کد محصول]]="","",SUMIFS(tblRecipe[هزینه خط],tblRecipe[کد محصول],tblMenu[[#This Row],[کد محصول]]))</f>
        <v/>
      </c>
      <c r="F20" s="34">
        <f>IF(tblMenu[[#This Row],[کد محصول]]="","",tblMenu[[#This Row],[قیمت فروش]]-tblMenu[[#This Row],[هزینه استاندارد]])</f>
        <v/>
      </c>
      <c r="G20" s="35">
        <f>IFERROR(tblMenu[[#This Row],[هزینه استاندارد]]/tblMenu[[#This Row],[قیمت فروش]],0)</f>
        <v/>
      </c>
      <c r="H20" s="44" t="inlineStr">
        <is>
          <t>بله</t>
        </is>
      </c>
      <c r="I20" s="44" t="inlineStr">
        <is>
          <t>منوی اصلی</t>
        </is>
      </c>
      <c r="J20" s="33">
        <f>IF(tblMenu[[#This Row],[کد محصول]]="","",IF(COUNTIF(tblRecipe[کد محصول],tblMenu[[#This Row],[کد محصول]])=0,"بدون رسپی","کامل"))</f>
        <v/>
      </c>
      <c r="K20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0" s="44" t="inlineStr">
        <is>
          <t>CFE-MOC</t>
        </is>
      </c>
      <c r="N20" s="33">
        <f>IF(tblRecipe[[#This Row],[کد محصول]]="","",IFERROR(INDEX(tblMenu[نام محصول],MATCH(tblRecipe[[#This Row],[کد محصول]],tblMenu[کد محصول],0)),"کد نامعتبر"))</f>
        <v/>
      </c>
      <c r="O20" s="44" t="inlineStr">
        <is>
          <t>ING-001</t>
        </is>
      </c>
      <c r="P20" s="33">
        <f>IF(tblRecipe[[#This Row],[کد ماده]]="","",IFERROR(INDEX(tblIngredients[نام ماده],MATCH(tblRecipe[[#This Row],[کد ماده]],tblIngredients[کد ماده],0)),"کد نامعتبر"))</f>
        <v/>
      </c>
      <c r="Q20" s="33">
        <f>IF(tblRecipe[[#This Row],[کد ماده]]="","",IFERROR(INDEX(tblIngredients[واحد],MATCH(tblRecipe[[#This Row],[کد ماده]],tblIngredients[کد ماده],0)),""))</f>
        <v/>
      </c>
      <c r="R20" s="45" t="n">
        <v>18</v>
      </c>
      <c r="S20" s="74">
        <f>IF(tblRecipe[[#This Row],[کد ماده]]="","",IFERROR(INDEX(tblIngredients[بهای میانگین],MATCH(tblRecipe[[#This Row],[کد ماده]],tblIngredients[کد ماده],0)),0))</f>
        <v/>
      </c>
      <c r="T20" s="34">
        <f>IF(tblRecipe[[#This Row],[کد ماده]]="","",tblRecipe[[#This Row],[مقدار استاندارد]]*tblRecipe[[#This Row],[بهای واحد ماده]])</f>
        <v/>
      </c>
      <c r="U2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0" s="69">
        <f>IF(tblRecipe[[#This Row],[کد ماده]]="","",tblRecipe[[#This Row],[مقدار استاندارد]]*tblRecipe[[#This Row],[فروش کل]])</f>
        <v/>
      </c>
      <c r="W2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0" s="69">
        <f>IF(tblRecipe[[#This Row],[کد ماده]]="","",tblRecipe[[#This Row],[مقدار استاندارد]]*tblRecipe[[#This Row],[فروش بازه]])</f>
        <v/>
      </c>
      <c r="Y20" s="44" t="inlineStr">
        <is>
          <t>قابل ویرایش</t>
        </is>
      </c>
    </row>
    <row r="21">
      <c r="A21" s="44" t="inlineStr">
        <is>
          <t>HOT-MLK</t>
        </is>
      </c>
      <c r="B21" s="44" t="inlineStr">
        <is>
          <t>شیر کاکائو</t>
        </is>
      </c>
      <c r="C21" s="44" t="inlineStr">
        <is>
          <t>چای و گرم</t>
        </is>
      </c>
      <c r="D21" s="68" t="n">
        <v>188</v>
      </c>
      <c r="E21" s="34">
        <f>IF(tblMenu[[#This Row],[کد محصول]]="","",SUMIFS(tblRecipe[هزینه خط],tblRecipe[کد محصول],tblMenu[[#This Row],[کد محصول]]))</f>
        <v/>
      </c>
      <c r="F21" s="34">
        <f>IF(tblMenu[[#This Row],[کد محصول]]="","",tblMenu[[#This Row],[قیمت فروش]]-tblMenu[[#This Row],[هزینه استاندارد]])</f>
        <v/>
      </c>
      <c r="G21" s="35">
        <f>IFERROR(tblMenu[[#This Row],[هزینه استاندارد]]/tblMenu[[#This Row],[قیمت فروش]],0)</f>
        <v/>
      </c>
      <c r="H21" s="44" t="inlineStr">
        <is>
          <t>بله</t>
        </is>
      </c>
      <c r="I21" s="44" t="inlineStr">
        <is>
          <t>منوی اصلی</t>
        </is>
      </c>
      <c r="J21" s="33">
        <f>IF(tblMenu[[#This Row],[کد محصول]]="","",IF(COUNTIF(tblRecipe[کد محصول],tblMenu[[#This Row],[کد محصول]])=0,"بدون رسپی","کامل"))</f>
        <v/>
      </c>
      <c r="K21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1" s="44" t="inlineStr">
        <is>
          <t>CFE-MOC</t>
        </is>
      </c>
      <c r="N21" s="33">
        <f>IF(tblRecipe[[#This Row],[کد محصول]]="","",IFERROR(INDEX(tblMenu[نام محصول],MATCH(tblRecipe[[#This Row],[کد محصول]],tblMenu[کد محصول],0)),"کد نامعتبر"))</f>
        <v/>
      </c>
      <c r="O21" s="44" t="inlineStr">
        <is>
          <t>ING-002</t>
        </is>
      </c>
      <c r="P21" s="33">
        <f>IF(tblRecipe[[#This Row],[کد ماده]]="","",IFERROR(INDEX(tblIngredients[نام ماده],MATCH(tblRecipe[[#This Row],[کد ماده]],tblIngredients[کد ماده],0)),"کد نامعتبر"))</f>
        <v/>
      </c>
      <c r="Q21" s="33">
        <f>IF(tblRecipe[[#This Row],[کد ماده]]="","",IFERROR(INDEX(tblIngredients[واحد],MATCH(tblRecipe[[#This Row],[کد ماده]],tblIngredients[کد ماده],0)),""))</f>
        <v/>
      </c>
      <c r="R21" s="45" t="n">
        <v>200</v>
      </c>
      <c r="S21" s="74">
        <f>IF(tblRecipe[[#This Row],[کد ماده]]="","",IFERROR(INDEX(tblIngredients[بهای میانگین],MATCH(tblRecipe[[#This Row],[کد ماده]],tblIngredients[کد ماده],0)),0))</f>
        <v/>
      </c>
      <c r="T21" s="34">
        <f>IF(tblRecipe[[#This Row],[کد ماده]]="","",tblRecipe[[#This Row],[مقدار استاندارد]]*tblRecipe[[#This Row],[بهای واحد ماده]])</f>
        <v/>
      </c>
      <c r="U2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1" s="69">
        <f>IF(tblRecipe[[#This Row],[کد ماده]]="","",tblRecipe[[#This Row],[مقدار استاندارد]]*tblRecipe[[#This Row],[فروش کل]])</f>
        <v/>
      </c>
      <c r="W2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1" s="69">
        <f>IF(tblRecipe[[#This Row],[کد ماده]]="","",tblRecipe[[#This Row],[مقدار استاندارد]]*tblRecipe[[#This Row],[فروش بازه]])</f>
        <v/>
      </c>
      <c r="Y21" s="44" t="inlineStr">
        <is>
          <t>قابل ویرایش</t>
        </is>
      </c>
    </row>
    <row r="22">
      <c r="A22" s="44" t="inlineStr">
        <is>
          <t>MS-VAN</t>
        </is>
      </c>
      <c r="B22" s="44" t="inlineStr">
        <is>
          <t>میلک‌شیک وانیل</t>
        </is>
      </c>
      <c r="C22" s="44" t="inlineStr">
        <is>
          <t>میلک‌شیک</t>
        </is>
      </c>
      <c r="D22" s="68" t="n">
        <v>308</v>
      </c>
      <c r="E22" s="34">
        <f>IF(tblMenu[[#This Row],[کد محصول]]="","",SUMIFS(tblRecipe[هزینه خط],tblRecipe[کد محصول],tblMenu[[#This Row],[کد محصول]]))</f>
        <v/>
      </c>
      <c r="F22" s="34">
        <f>IF(tblMenu[[#This Row],[کد محصول]]="","",tblMenu[[#This Row],[قیمت فروش]]-tblMenu[[#This Row],[هزینه استاندارد]])</f>
        <v/>
      </c>
      <c r="G22" s="35">
        <f>IFERROR(tblMenu[[#This Row],[هزینه استاندارد]]/tblMenu[[#This Row],[قیمت فروش]],0)</f>
        <v/>
      </c>
      <c r="H22" s="44" t="inlineStr">
        <is>
          <t>بله</t>
        </is>
      </c>
      <c r="I22" s="44" t="inlineStr">
        <is>
          <t>منوی اصلی</t>
        </is>
      </c>
      <c r="J22" s="33">
        <f>IF(tblMenu[[#This Row],[کد محصول]]="","",IF(COUNTIF(tblRecipe[کد محصول],tblMenu[[#This Row],[کد محصول]])=0,"بدون رسپی","کامل"))</f>
        <v/>
      </c>
      <c r="K22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2" s="44" t="inlineStr">
        <is>
          <t>CFE-MOC</t>
        </is>
      </c>
      <c r="N22" s="33">
        <f>IF(tblRecipe[[#This Row],[کد محصول]]="","",IFERROR(INDEX(tblMenu[نام محصول],MATCH(tblRecipe[[#This Row],[کد محصول]],tblMenu[کد محصول],0)),"کد نامعتبر"))</f>
        <v/>
      </c>
      <c r="O22" s="44" t="inlineStr">
        <is>
          <t>ING-005</t>
        </is>
      </c>
      <c r="P22" s="33">
        <f>IF(tblRecipe[[#This Row],[کد ماده]]="","",IFERROR(INDEX(tblIngredients[نام ماده],MATCH(tblRecipe[[#This Row],[کد ماده]],tblIngredients[کد ماده],0)),"کد نامعتبر"))</f>
        <v/>
      </c>
      <c r="Q22" s="33">
        <f>IF(tblRecipe[[#This Row],[کد ماده]]="","",IFERROR(INDEX(tblIngredients[واحد],MATCH(tblRecipe[[#This Row],[کد ماده]],tblIngredients[کد ماده],0)),""))</f>
        <v/>
      </c>
      <c r="R22" s="45" t="n">
        <v>18</v>
      </c>
      <c r="S22" s="74">
        <f>IF(tblRecipe[[#This Row],[کد ماده]]="","",IFERROR(INDEX(tblIngredients[بهای میانگین],MATCH(tblRecipe[[#This Row],[کد ماده]],tblIngredients[کد ماده],0)),0))</f>
        <v/>
      </c>
      <c r="T22" s="34">
        <f>IF(tblRecipe[[#This Row],[کد ماده]]="","",tblRecipe[[#This Row],[مقدار استاندارد]]*tblRecipe[[#This Row],[بهای واحد ماده]])</f>
        <v/>
      </c>
      <c r="U2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2" s="69">
        <f>IF(tblRecipe[[#This Row],[کد ماده]]="","",tblRecipe[[#This Row],[مقدار استاندارد]]*tblRecipe[[#This Row],[فروش کل]])</f>
        <v/>
      </c>
      <c r="W2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2" s="69">
        <f>IF(tblRecipe[[#This Row],[کد ماده]]="","",tblRecipe[[#This Row],[مقدار استاندارد]]*tblRecipe[[#This Row],[فروش بازه]])</f>
        <v/>
      </c>
      <c r="Y22" s="44" t="inlineStr">
        <is>
          <t>قابل ویرایش</t>
        </is>
      </c>
    </row>
    <row r="23">
      <c r="A23" s="44" t="inlineStr">
        <is>
          <t>MS-CHO</t>
        </is>
      </c>
      <c r="B23" s="44" t="inlineStr">
        <is>
          <t>میلک‌شیک شکلات</t>
        </is>
      </c>
      <c r="C23" s="44" t="inlineStr">
        <is>
          <t>میلک‌شیک</t>
        </is>
      </c>
      <c r="D23" s="68" t="n">
        <v>338</v>
      </c>
      <c r="E23" s="34">
        <f>IF(tblMenu[[#This Row],[کد محصول]]="","",SUMIFS(tblRecipe[هزینه خط],tblRecipe[کد محصول],tblMenu[[#This Row],[کد محصول]]))</f>
        <v/>
      </c>
      <c r="F23" s="34">
        <f>IF(tblMenu[[#This Row],[کد محصول]]="","",tblMenu[[#This Row],[قیمت فروش]]-tblMenu[[#This Row],[هزینه استاندارد]])</f>
        <v/>
      </c>
      <c r="G23" s="35">
        <f>IFERROR(tblMenu[[#This Row],[هزینه استاندارد]]/tblMenu[[#This Row],[قیمت فروش]],0)</f>
        <v/>
      </c>
      <c r="H23" s="44" t="inlineStr">
        <is>
          <t>بله</t>
        </is>
      </c>
      <c r="I23" s="44" t="inlineStr">
        <is>
          <t>منوی اصلی</t>
        </is>
      </c>
      <c r="J23" s="33">
        <f>IF(tblMenu[[#This Row],[کد محصول]]="","",IF(COUNTIF(tblRecipe[کد محصول],tblMenu[[#This Row],[کد محصول]])=0,"بدون رسپی","کامل"))</f>
        <v/>
      </c>
      <c r="K23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3" s="44" t="inlineStr">
        <is>
          <t>CFE-MOC</t>
        </is>
      </c>
      <c r="N23" s="33">
        <f>IF(tblRecipe[[#This Row],[کد محصول]]="","",IFERROR(INDEX(tblMenu[نام محصول],MATCH(tblRecipe[[#This Row],[کد محصول]],tblMenu[کد محصول],0)),"کد نامعتبر"))</f>
        <v/>
      </c>
      <c r="O23" s="44" t="inlineStr">
        <is>
          <t>ING-029</t>
        </is>
      </c>
      <c r="P23" s="33">
        <f>IF(tblRecipe[[#This Row],[کد ماده]]="","",IFERROR(INDEX(tblIngredients[نام ماده],MATCH(tblRecipe[[#This Row],[کد ماده]],tblIngredients[کد ماده],0)),"کد نامعتبر"))</f>
        <v/>
      </c>
      <c r="Q23" s="33">
        <f>IF(tblRecipe[[#This Row],[کد ماده]]="","",IFERROR(INDEX(tblIngredients[واحد],MATCH(tblRecipe[[#This Row],[کد ماده]],tblIngredients[کد ماده],0)),""))</f>
        <v/>
      </c>
      <c r="R23" s="45" t="n">
        <v>1</v>
      </c>
      <c r="S23" s="74">
        <f>IF(tblRecipe[[#This Row],[کد ماده]]="","",IFERROR(INDEX(tblIngredients[بهای میانگین],MATCH(tblRecipe[[#This Row],[کد ماده]],tblIngredients[کد ماده],0)),0))</f>
        <v/>
      </c>
      <c r="T23" s="34">
        <f>IF(tblRecipe[[#This Row],[کد ماده]]="","",tblRecipe[[#This Row],[مقدار استاندارد]]*tblRecipe[[#This Row],[بهای واحد ماده]])</f>
        <v/>
      </c>
      <c r="U2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3" s="69">
        <f>IF(tblRecipe[[#This Row],[کد ماده]]="","",tblRecipe[[#This Row],[مقدار استاندارد]]*tblRecipe[[#This Row],[فروش کل]])</f>
        <v/>
      </c>
      <c r="W2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3" s="69">
        <f>IF(tblRecipe[[#This Row],[کد ماده]]="","",tblRecipe[[#This Row],[مقدار استاندارد]]*tblRecipe[[#This Row],[فروش بازه]])</f>
        <v/>
      </c>
      <c r="Y23" s="44" t="inlineStr">
        <is>
          <t>قابل ویرایش</t>
        </is>
      </c>
    </row>
    <row r="24">
      <c r="A24" s="44" t="inlineStr">
        <is>
          <t>MS-NUT</t>
        </is>
      </c>
      <c r="B24" s="44" t="inlineStr">
        <is>
          <t>میلک‌شیک نوتلا</t>
        </is>
      </c>
      <c r="C24" s="44" t="inlineStr">
        <is>
          <t>میلک‌شیک</t>
        </is>
      </c>
      <c r="D24" s="68" t="n">
        <v>388</v>
      </c>
      <c r="E24" s="34">
        <f>IF(tblMenu[[#This Row],[کد محصول]]="","",SUMIFS(tblRecipe[هزینه خط],tblRecipe[کد محصول],tblMenu[[#This Row],[کد محصول]]))</f>
        <v/>
      </c>
      <c r="F24" s="34">
        <f>IF(tblMenu[[#This Row],[کد محصول]]="","",tblMenu[[#This Row],[قیمت فروش]]-tblMenu[[#This Row],[هزینه استاندارد]])</f>
        <v/>
      </c>
      <c r="G24" s="35">
        <f>IFERROR(tblMenu[[#This Row],[هزینه استاندارد]]/tblMenu[[#This Row],[قیمت فروش]],0)</f>
        <v/>
      </c>
      <c r="H24" s="44" t="inlineStr">
        <is>
          <t>بله</t>
        </is>
      </c>
      <c r="I24" s="44" t="inlineStr">
        <is>
          <t>منوی اصلی</t>
        </is>
      </c>
      <c r="J24" s="33">
        <f>IF(tblMenu[[#This Row],[کد محصول]]="","",IF(COUNTIF(tblRecipe[کد محصول],tblMenu[[#This Row],[کد محصول]])=0,"بدون رسپی","کامل"))</f>
        <v/>
      </c>
      <c r="K24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4" s="44" t="inlineStr">
        <is>
          <t>CFE-COR</t>
        </is>
      </c>
      <c r="N24" s="33">
        <f>IF(tblRecipe[[#This Row],[کد محصول]]="","",IFERROR(INDEX(tblMenu[نام محصول],MATCH(tblRecipe[[#This Row],[کد محصول]],tblMenu[کد محصول],0)),"کد نامعتبر"))</f>
        <v/>
      </c>
      <c r="O24" s="44" t="inlineStr">
        <is>
          <t>ING-001</t>
        </is>
      </c>
      <c r="P24" s="33">
        <f>IF(tblRecipe[[#This Row],[کد ماده]]="","",IFERROR(INDEX(tblIngredients[نام ماده],MATCH(tblRecipe[[#This Row],[کد ماده]],tblIngredients[کد ماده],0)),"کد نامعتبر"))</f>
        <v/>
      </c>
      <c r="Q24" s="33">
        <f>IF(tblRecipe[[#This Row],[کد ماده]]="","",IFERROR(INDEX(tblIngredients[واحد],MATCH(tblRecipe[[#This Row],[کد ماده]],tblIngredients[کد ماده],0)),""))</f>
        <v/>
      </c>
      <c r="R24" s="45" t="n">
        <v>18</v>
      </c>
      <c r="S24" s="74">
        <f>IF(tblRecipe[[#This Row],[کد ماده]]="","",IFERROR(INDEX(tblIngredients[بهای میانگین],MATCH(tblRecipe[[#This Row],[کد ماده]],tblIngredients[کد ماده],0)),0))</f>
        <v/>
      </c>
      <c r="T24" s="34">
        <f>IF(tblRecipe[[#This Row],[کد ماده]]="","",tblRecipe[[#This Row],[مقدار استاندارد]]*tblRecipe[[#This Row],[بهای واحد ماده]])</f>
        <v/>
      </c>
      <c r="U2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4" s="69">
        <f>IF(tblRecipe[[#This Row],[کد ماده]]="","",tblRecipe[[#This Row],[مقدار استاندارد]]*tblRecipe[[#This Row],[فروش کل]])</f>
        <v/>
      </c>
      <c r="W2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4" s="69">
        <f>IF(tblRecipe[[#This Row],[کد ماده]]="","",tblRecipe[[#This Row],[مقدار استاندارد]]*tblRecipe[[#This Row],[فروش بازه]])</f>
        <v/>
      </c>
      <c r="Y24" s="44" t="inlineStr">
        <is>
          <t>قابل ویرایش</t>
        </is>
      </c>
    </row>
    <row r="25">
      <c r="A25" s="44" t="inlineStr">
        <is>
          <t>MS-STR</t>
        </is>
      </c>
      <c r="B25" s="44" t="inlineStr">
        <is>
          <t>میلک‌شیک توت‌فرنگی</t>
        </is>
      </c>
      <c r="C25" s="44" t="inlineStr">
        <is>
          <t>میلک‌شیک</t>
        </is>
      </c>
      <c r="D25" s="68" t="n">
        <v>348</v>
      </c>
      <c r="E25" s="34">
        <f>IF(tblMenu[[#This Row],[کد محصول]]="","",SUMIFS(tblRecipe[هزینه خط],tblRecipe[کد محصول],tblMenu[[#This Row],[کد محصول]]))</f>
        <v/>
      </c>
      <c r="F25" s="34">
        <f>IF(tblMenu[[#This Row],[کد محصول]]="","",tblMenu[[#This Row],[قیمت فروش]]-tblMenu[[#This Row],[هزینه استاندارد]])</f>
        <v/>
      </c>
      <c r="G25" s="35">
        <f>IFERROR(tblMenu[[#This Row],[هزینه استاندارد]]/tblMenu[[#This Row],[قیمت فروش]],0)</f>
        <v/>
      </c>
      <c r="H25" s="44" t="inlineStr">
        <is>
          <t>بله</t>
        </is>
      </c>
      <c r="I25" s="44" t="inlineStr">
        <is>
          <t>منوی اصلی</t>
        </is>
      </c>
      <c r="J25" s="33">
        <f>IF(tblMenu[[#This Row],[کد محصول]]="","",IF(COUNTIF(tblRecipe[کد محصول],tblMenu[[#This Row],[کد محصول]])=0,"بدون رسپی","کامل"))</f>
        <v/>
      </c>
      <c r="K25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5" s="44" t="inlineStr">
        <is>
          <t>CFE-COR</t>
        </is>
      </c>
      <c r="N25" s="33">
        <f>IF(tblRecipe[[#This Row],[کد محصول]]="","",IFERROR(INDEX(tblMenu[نام محصول],MATCH(tblRecipe[[#This Row],[کد محصول]],tblMenu[کد محصول],0)),"کد نامعتبر"))</f>
        <v/>
      </c>
      <c r="O25" s="44" t="inlineStr">
        <is>
          <t>ING-002</t>
        </is>
      </c>
      <c r="P25" s="33">
        <f>IF(tblRecipe[[#This Row],[کد ماده]]="","",IFERROR(INDEX(tblIngredients[نام ماده],MATCH(tblRecipe[[#This Row],[کد ماده]],tblIngredients[کد ماده],0)),"کد نامعتبر"))</f>
        <v/>
      </c>
      <c r="Q25" s="33">
        <f>IF(tblRecipe[[#This Row],[کد ماده]]="","",IFERROR(INDEX(tblIngredients[واحد],MATCH(tblRecipe[[#This Row],[کد ماده]],tblIngredients[کد ماده],0)),""))</f>
        <v/>
      </c>
      <c r="R25" s="45" t="n">
        <v>90</v>
      </c>
      <c r="S25" s="74">
        <f>IF(tblRecipe[[#This Row],[کد ماده]]="","",IFERROR(INDEX(tblIngredients[بهای میانگین],MATCH(tblRecipe[[#This Row],[کد ماده]],tblIngredients[کد ماده],0)),0))</f>
        <v/>
      </c>
      <c r="T25" s="34">
        <f>IF(tblRecipe[[#This Row],[کد ماده]]="","",tblRecipe[[#This Row],[مقدار استاندارد]]*tblRecipe[[#This Row],[بهای واحد ماده]])</f>
        <v/>
      </c>
      <c r="U2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5" s="69">
        <f>IF(tblRecipe[[#This Row],[کد ماده]]="","",tblRecipe[[#This Row],[مقدار استاندارد]]*tblRecipe[[#This Row],[فروش کل]])</f>
        <v/>
      </c>
      <c r="W2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5" s="69">
        <f>IF(tblRecipe[[#This Row],[کد ماده]]="","",tblRecipe[[#This Row],[مقدار استاندارد]]*tblRecipe[[#This Row],[فروش بازه]])</f>
        <v/>
      </c>
      <c r="Y25" s="44" t="inlineStr">
        <is>
          <t>قابل ویرایش</t>
        </is>
      </c>
    </row>
    <row r="26">
      <c r="A26" s="44" t="inlineStr">
        <is>
          <t>MS-COF</t>
        </is>
      </c>
      <c r="B26" s="44" t="inlineStr">
        <is>
          <t>میلک‌شیک قهوه</t>
        </is>
      </c>
      <c r="C26" s="44" t="inlineStr">
        <is>
          <t>میلک‌شیک</t>
        </is>
      </c>
      <c r="D26" s="68" t="n">
        <v>358</v>
      </c>
      <c r="E26" s="34">
        <f>IF(tblMenu[[#This Row],[کد محصول]]="","",SUMIFS(tblRecipe[هزینه خط],tblRecipe[کد محصول],tblMenu[[#This Row],[کد محصول]]))</f>
        <v/>
      </c>
      <c r="F26" s="34">
        <f>IF(tblMenu[[#This Row],[کد محصول]]="","",tblMenu[[#This Row],[قیمت فروش]]-tblMenu[[#This Row],[هزینه استاندارد]])</f>
        <v/>
      </c>
      <c r="G26" s="35">
        <f>IFERROR(tblMenu[[#This Row],[هزینه استاندارد]]/tblMenu[[#This Row],[قیمت فروش]],0)</f>
        <v/>
      </c>
      <c r="H26" s="44" t="inlineStr">
        <is>
          <t>بله</t>
        </is>
      </c>
      <c r="I26" s="44" t="inlineStr">
        <is>
          <t>منوی اصلی</t>
        </is>
      </c>
      <c r="J26" s="33">
        <f>IF(tblMenu[[#This Row],[کد محصول]]="","",IF(COUNTIF(tblRecipe[کد محصول],tblMenu[[#This Row],[کد محصول]])=0,"بدون رسپی","کامل"))</f>
        <v/>
      </c>
      <c r="K26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6" s="44" t="inlineStr">
        <is>
          <t>CFE-COR</t>
        </is>
      </c>
      <c r="N26" s="33">
        <f>IF(tblRecipe[[#This Row],[کد محصول]]="","",IFERROR(INDEX(tblMenu[نام محصول],MATCH(tblRecipe[[#This Row],[کد محصول]],tblMenu[کد محصول],0)),"کد نامعتبر"))</f>
        <v/>
      </c>
      <c r="O26" s="44" t="inlineStr">
        <is>
          <t>ING-029</t>
        </is>
      </c>
      <c r="P26" s="33">
        <f>IF(tblRecipe[[#This Row],[کد ماده]]="","",IFERROR(INDEX(tblIngredients[نام ماده],MATCH(tblRecipe[[#This Row],[کد ماده]],tblIngredients[کد ماده],0)),"کد نامعتبر"))</f>
        <v/>
      </c>
      <c r="Q26" s="33">
        <f>IF(tblRecipe[[#This Row],[کد ماده]]="","",IFERROR(INDEX(tblIngredients[واحد],MATCH(tblRecipe[[#This Row],[کد ماده]],tblIngredients[کد ماده],0)),""))</f>
        <v/>
      </c>
      <c r="R26" s="45" t="n">
        <v>1</v>
      </c>
      <c r="S26" s="74">
        <f>IF(tblRecipe[[#This Row],[کد ماده]]="","",IFERROR(INDEX(tblIngredients[بهای میانگین],MATCH(tblRecipe[[#This Row],[کد ماده]],tblIngredients[کد ماده],0)),0))</f>
        <v/>
      </c>
      <c r="T26" s="34">
        <f>IF(tblRecipe[[#This Row],[کد ماده]]="","",tblRecipe[[#This Row],[مقدار استاندارد]]*tblRecipe[[#This Row],[بهای واحد ماده]])</f>
        <v/>
      </c>
      <c r="U2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6" s="69">
        <f>IF(tblRecipe[[#This Row],[کد ماده]]="","",tblRecipe[[#This Row],[مقدار استاندارد]]*tblRecipe[[#This Row],[فروش کل]])</f>
        <v/>
      </c>
      <c r="W2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6" s="69">
        <f>IF(tblRecipe[[#This Row],[کد ماده]]="","",tblRecipe[[#This Row],[مقدار استاندارد]]*tblRecipe[[#This Row],[فروش بازه]])</f>
        <v/>
      </c>
      <c r="Y26" s="44" t="inlineStr">
        <is>
          <t>قابل ویرایش</t>
        </is>
      </c>
    </row>
    <row r="27">
      <c r="A27" s="44" t="inlineStr">
        <is>
          <t>MS-PNT</t>
        </is>
      </c>
      <c r="B27" s="44" t="inlineStr">
        <is>
          <t>میلک‌شیک بادام زمینی</t>
        </is>
      </c>
      <c r="C27" s="44" t="inlineStr">
        <is>
          <t>میلک‌شیک</t>
        </is>
      </c>
      <c r="D27" s="68" t="n">
        <v>348</v>
      </c>
      <c r="E27" s="34">
        <f>IF(tblMenu[[#This Row],[کد محصول]]="","",SUMIFS(tblRecipe[هزینه خط],tblRecipe[کد محصول],tblMenu[[#This Row],[کد محصول]]))</f>
        <v/>
      </c>
      <c r="F27" s="34">
        <f>IF(tblMenu[[#This Row],[کد محصول]]="","",tblMenu[[#This Row],[قیمت فروش]]-tblMenu[[#This Row],[هزینه استاندارد]])</f>
        <v/>
      </c>
      <c r="G27" s="35">
        <f>IFERROR(tblMenu[[#This Row],[هزینه استاندارد]]/tblMenu[[#This Row],[قیمت فروش]],0)</f>
        <v/>
      </c>
      <c r="H27" s="44" t="inlineStr">
        <is>
          <t>بله</t>
        </is>
      </c>
      <c r="I27" s="44" t="inlineStr">
        <is>
          <t>منوی اصلی</t>
        </is>
      </c>
      <c r="J27" s="33">
        <f>IF(tblMenu[[#This Row],[کد محصول]]="","",IF(COUNTIF(tblRecipe[کد محصول],tblMenu[[#This Row],[کد محصول]])=0,"بدون رسپی","کامل"))</f>
        <v/>
      </c>
      <c r="K27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7" s="44" t="inlineStr">
        <is>
          <t>CFE-AFF</t>
        </is>
      </c>
      <c r="N27" s="33">
        <f>IF(tblRecipe[[#This Row],[کد محصول]]="","",IFERROR(INDEX(tblMenu[نام محصول],MATCH(tblRecipe[[#This Row],[کد محصول]],tblMenu[کد محصول],0)),"کد نامعتبر"))</f>
        <v/>
      </c>
      <c r="O27" s="44" t="inlineStr">
        <is>
          <t>ING-001</t>
        </is>
      </c>
      <c r="P27" s="33">
        <f>IF(tblRecipe[[#This Row],[کد ماده]]="","",IFERROR(INDEX(tblIngredients[نام ماده],MATCH(tblRecipe[[#This Row],[کد ماده]],tblIngredients[کد ماده],0)),"کد نامعتبر"))</f>
        <v/>
      </c>
      <c r="Q27" s="33">
        <f>IF(tblRecipe[[#This Row],[کد ماده]]="","",IFERROR(INDEX(tblIngredients[واحد],MATCH(tblRecipe[[#This Row],[کد ماده]],tblIngredients[کد ماده],0)),""))</f>
        <v/>
      </c>
      <c r="R27" s="45" t="n">
        <v>18</v>
      </c>
      <c r="S27" s="74">
        <f>IF(tblRecipe[[#This Row],[کد ماده]]="","",IFERROR(INDEX(tblIngredients[بهای میانگین],MATCH(tblRecipe[[#This Row],[کد ماده]],tblIngredients[کد ماده],0)),0))</f>
        <v/>
      </c>
      <c r="T27" s="34">
        <f>IF(tblRecipe[[#This Row],[کد ماده]]="","",tblRecipe[[#This Row],[مقدار استاندارد]]*tblRecipe[[#This Row],[بهای واحد ماده]])</f>
        <v/>
      </c>
      <c r="U2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7" s="69">
        <f>IF(tblRecipe[[#This Row],[کد ماده]]="","",tblRecipe[[#This Row],[مقدار استاندارد]]*tblRecipe[[#This Row],[فروش کل]])</f>
        <v/>
      </c>
      <c r="W2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7" s="69">
        <f>IF(tblRecipe[[#This Row],[کد ماده]]="","",tblRecipe[[#This Row],[مقدار استاندارد]]*tblRecipe[[#This Row],[فروش بازه]])</f>
        <v/>
      </c>
      <c r="Y27" s="44" t="inlineStr">
        <is>
          <t>قابل ویرایش</t>
        </is>
      </c>
    </row>
    <row r="28">
      <c r="A28" s="44" t="inlineStr">
        <is>
          <t>MOC-RIH</t>
        </is>
      </c>
      <c r="B28" s="44" t="inlineStr">
        <is>
          <t>ماکتل ریحا</t>
        </is>
      </c>
      <c r="C28" s="44" t="inlineStr">
        <is>
          <t>ماکتل سرد</t>
        </is>
      </c>
      <c r="D28" s="68" t="n">
        <v>328</v>
      </c>
      <c r="E28" s="34">
        <f>IF(tblMenu[[#This Row],[کد محصول]]="","",SUMIFS(tblRecipe[هزینه خط],tblRecipe[کد محصول],tblMenu[[#This Row],[کد محصول]]))</f>
        <v/>
      </c>
      <c r="F28" s="34">
        <f>IF(tblMenu[[#This Row],[کد محصول]]="","",tblMenu[[#This Row],[قیمت فروش]]-tblMenu[[#This Row],[هزینه استاندارد]])</f>
        <v/>
      </c>
      <c r="G28" s="35">
        <f>IFERROR(tblMenu[[#This Row],[هزینه استاندارد]]/tblMenu[[#This Row],[قیمت فروش]],0)</f>
        <v/>
      </c>
      <c r="H28" s="44" t="inlineStr">
        <is>
          <t>بله</t>
        </is>
      </c>
      <c r="I28" s="44" t="inlineStr">
        <is>
          <t>پاستیل و ملون</t>
        </is>
      </c>
      <c r="J28" s="33">
        <f>IF(tblMenu[[#This Row],[کد محصول]]="","",IF(COUNTIF(tblRecipe[کد محصول],tblMenu[[#This Row],[کد محصول]])=0,"بدون رسپی","کامل"))</f>
        <v/>
      </c>
      <c r="K28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8" s="44" t="inlineStr">
        <is>
          <t>CFE-AFF</t>
        </is>
      </c>
      <c r="N28" s="33">
        <f>IF(tblRecipe[[#This Row],[کد محصول]]="","",IFERROR(INDEX(tblMenu[نام محصول],MATCH(tblRecipe[[#This Row],[کد محصول]],tblMenu[کد محصول],0)),"کد نامعتبر"))</f>
        <v/>
      </c>
      <c r="O28" s="44" t="inlineStr">
        <is>
          <t>ING-012</t>
        </is>
      </c>
      <c r="P28" s="33">
        <f>IF(tblRecipe[[#This Row],[کد ماده]]="","",IFERROR(INDEX(tblIngredients[نام ماده],MATCH(tblRecipe[[#This Row],[کد ماده]],tblIngredients[کد ماده],0)),"کد نامعتبر"))</f>
        <v/>
      </c>
      <c r="Q28" s="33">
        <f>IF(tblRecipe[[#This Row],[کد ماده]]="","",IFERROR(INDEX(tblIngredients[واحد],MATCH(tblRecipe[[#This Row],[کد ماده]],tblIngredients[کد ماده],0)),""))</f>
        <v/>
      </c>
      <c r="R28" s="45" t="n">
        <v>80</v>
      </c>
      <c r="S28" s="74">
        <f>IF(tblRecipe[[#This Row],[کد ماده]]="","",IFERROR(INDEX(tblIngredients[بهای میانگین],MATCH(tblRecipe[[#This Row],[کد ماده]],tblIngredients[کد ماده],0)),0))</f>
        <v/>
      </c>
      <c r="T28" s="34">
        <f>IF(tblRecipe[[#This Row],[کد ماده]]="","",tblRecipe[[#This Row],[مقدار استاندارد]]*tblRecipe[[#This Row],[بهای واحد ماده]])</f>
        <v/>
      </c>
      <c r="U2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8" s="69">
        <f>IF(tblRecipe[[#This Row],[کد ماده]]="","",tblRecipe[[#This Row],[مقدار استاندارد]]*tblRecipe[[#This Row],[فروش کل]])</f>
        <v/>
      </c>
      <c r="W2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8" s="69">
        <f>IF(tblRecipe[[#This Row],[کد ماده]]="","",tblRecipe[[#This Row],[مقدار استاندارد]]*tblRecipe[[#This Row],[فروش بازه]])</f>
        <v/>
      </c>
      <c r="Y28" s="44" t="inlineStr">
        <is>
          <t>قابل ویرایش</t>
        </is>
      </c>
    </row>
    <row r="29">
      <c r="A29" s="44" t="inlineStr">
        <is>
          <t>MOC-BLU</t>
        </is>
      </c>
      <c r="B29" s="44" t="inlineStr">
        <is>
          <t>بلو اوشن</t>
        </is>
      </c>
      <c r="C29" s="44" t="inlineStr">
        <is>
          <t>ماکتل سرد</t>
        </is>
      </c>
      <c r="D29" s="68" t="n">
        <v>258</v>
      </c>
      <c r="E29" s="34">
        <f>IF(tblMenu[[#This Row],[کد محصول]]="","",SUMIFS(tblRecipe[هزینه خط],tblRecipe[کد محصول],tblMenu[[#This Row],[کد محصول]]))</f>
        <v/>
      </c>
      <c r="F29" s="34">
        <f>IF(tblMenu[[#This Row],[کد محصول]]="","",tblMenu[[#This Row],[قیمت فروش]]-tblMenu[[#This Row],[هزینه استاندارد]])</f>
        <v/>
      </c>
      <c r="G29" s="35">
        <f>IFERROR(tblMenu[[#This Row],[هزینه استاندارد]]/tblMenu[[#This Row],[قیمت فروش]],0)</f>
        <v/>
      </c>
      <c r="H29" s="44" t="inlineStr">
        <is>
          <t>بله</t>
        </is>
      </c>
      <c r="I29" s="44" t="inlineStr">
        <is>
          <t>استوایی و خنک</t>
        </is>
      </c>
      <c r="J29" s="33">
        <f>IF(tblMenu[[#This Row],[کد محصول]]="","",IF(COUNTIF(tblRecipe[کد محصول],tblMenu[[#This Row],[کد محصول]])=0,"بدون رسپی","کامل"))</f>
        <v/>
      </c>
      <c r="K29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9" s="44" t="inlineStr">
        <is>
          <t>CFE-AFF</t>
        </is>
      </c>
      <c r="N29" s="33">
        <f>IF(tblRecipe[[#This Row],[کد محصول]]="","",IFERROR(INDEX(tblMenu[نام محصول],MATCH(tblRecipe[[#This Row],[کد محصول]],tblMenu[کد محصول],0)),"کد نامعتبر"))</f>
        <v/>
      </c>
      <c r="O29" s="44" t="inlineStr">
        <is>
          <t>ING-029</t>
        </is>
      </c>
      <c r="P29" s="33">
        <f>IF(tblRecipe[[#This Row],[کد ماده]]="","",IFERROR(INDEX(tblIngredients[نام ماده],MATCH(tblRecipe[[#This Row],[کد ماده]],tblIngredients[کد ماده],0)),"کد نامعتبر"))</f>
        <v/>
      </c>
      <c r="Q29" s="33">
        <f>IF(tblRecipe[[#This Row],[کد ماده]]="","",IFERROR(INDEX(tblIngredients[واحد],MATCH(tblRecipe[[#This Row],[کد ماده]],tblIngredients[کد ماده],0)),""))</f>
        <v/>
      </c>
      <c r="R29" s="45" t="n">
        <v>1</v>
      </c>
      <c r="S29" s="74">
        <f>IF(tblRecipe[[#This Row],[کد ماده]]="","",IFERROR(INDEX(tblIngredients[بهای میانگین],MATCH(tblRecipe[[#This Row],[کد ماده]],tblIngredients[کد ماده],0)),0))</f>
        <v/>
      </c>
      <c r="T29" s="34">
        <f>IF(tblRecipe[[#This Row],[کد ماده]]="","",tblRecipe[[#This Row],[مقدار استاندارد]]*tblRecipe[[#This Row],[بهای واحد ماده]])</f>
        <v/>
      </c>
      <c r="U2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9" s="69">
        <f>IF(tblRecipe[[#This Row],[کد ماده]]="","",tblRecipe[[#This Row],[مقدار استاندارد]]*tblRecipe[[#This Row],[فروش کل]])</f>
        <v/>
      </c>
      <c r="W2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9" s="69">
        <f>IF(tblRecipe[[#This Row],[کد ماده]]="","",tblRecipe[[#This Row],[مقدار استاندارد]]*tblRecipe[[#This Row],[فروش بازه]])</f>
        <v/>
      </c>
      <c r="Y29" s="44" t="inlineStr">
        <is>
          <t>قابل ویرایش</t>
        </is>
      </c>
    </row>
    <row r="30">
      <c r="A30" s="44" t="inlineStr">
        <is>
          <t>MOC-SRI</t>
        </is>
      </c>
      <c r="B30" s="44" t="inlineStr">
        <is>
          <t>سان رایز</t>
        </is>
      </c>
      <c r="C30" s="44" t="inlineStr">
        <is>
          <t>ماکتل سرد</t>
        </is>
      </c>
      <c r="D30" s="68" t="n">
        <v>238</v>
      </c>
      <c r="E30" s="34">
        <f>IF(tblMenu[[#This Row],[کد محصول]]="","",SUMIFS(tblRecipe[هزینه خط],tblRecipe[کد محصول],tblMenu[[#This Row],[کد محصول]]))</f>
        <v/>
      </c>
      <c r="F30" s="34">
        <f>IF(tblMenu[[#This Row],[کد محصول]]="","",tblMenu[[#This Row],[قیمت فروش]]-tblMenu[[#This Row],[هزینه استاندارد]])</f>
        <v/>
      </c>
      <c r="G30" s="35">
        <f>IFERROR(tblMenu[[#This Row],[هزینه استاندارد]]/tblMenu[[#This Row],[قیمت فروش]],0)</f>
        <v/>
      </c>
      <c r="H30" s="44" t="inlineStr">
        <is>
          <t>بله</t>
        </is>
      </c>
      <c r="I30" s="44" t="inlineStr">
        <is>
          <t>شیرین و میوه‌ای</t>
        </is>
      </c>
      <c r="J30" s="33">
        <f>IF(tblMenu[[#This Row],[کد محصول]]="","",IF(COUNTIF(tblRecipe[کد محصول],tblMenu[[#This Row],[کد محصول]])=0,"بدون رسپی","کامل"))</f>
        <v/>
      </c>
      <c r="K30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0" s="44" t="inlineStr">
        <is>
          <t>HOT-TEA</t>
        </is>
      </c>
      <c r="N30" s="33">
        <f>IF(tblRecipe[[#This Row],[کد محصول]]="","",IFERROR(INDEX(tblMenu[نام محصول],MATCH(tblRecipe[[#This Row],[کد محصول]],tblMenu[کد محصول],0)),"کد نامعتبر"))</f>
        <v/>
      </c>
      <c r="O30" s="44" t="inlineStr">
        <is>
          <t>ING-008</t>
        </is>
      </c>
      <c r="P30" s="33">
        <f>IF(tblRecipe[[#This Row],[کد ماده]]="","",IFERROR(INDEX(tblIngredients[نام ماده],MATCH(tblRecipe[[#This Row],[کد ماده]],tblIngredients[کد ماده],0)),"کد نامعتبر"))</f>
        <v/>
      </c>
      <c r="Q30" s="33">
        <f>IF(tblRecipe[[#This Row],[کد ماده]]="","",IFERROR(INDEX(tblIngredients[واحد],MATCH(tblRecipe[[#This Row],[کد ماده]],tblIngredients[کد ماده],0)),""))</f>
        <v/>
      </c>
      <c r="R30" s="45" t="n">
        <v>5</v>
      </c>
      <c r="S30" s="74">
        <f>IF(tblRecipe[[#This Row],[کد ماده]]="","",IFERROR(INDEX(tblIngredients[بهای میانگین],MATCH(tblRecipe[[#This Row],[کد ماده]],tblIngredients[کد ماده],0)),0))</f>
        <v/>
      </c>
      <c r="T30" s="34">
        <f>IF(tblRecipe[[#This Row],[کد ماده]]="","",tblRecipe[[#This Row],[مقدار استاندارد]]*tblRecipe[[#This Row],[بهای واحد ماده]])</f>
        <v/>
      </c>
      <c r="U3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0" s="69">
        <f>IF(tblRecipe[[#This Row],[کد ماده]]="","",tblRecipe[[#This Row],[مقدار استاندارد]]*tblRecipe[[#This Row],[فروش کل]])</f>
        <v/>
      </c>
      <c r="W3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0" s="69">
        <f>IF(tblRecipe[[#This Row],[کد ماده]]="","",tblRecipe[[#This Row],[مقدار استاندارد]]*tblRecipe[[#This Row],[فروش بازه]])</f>
        <v/>
      </c>
      <c r="Y30" s="44" t="inlineStr">
        <is>
          <t>قابل ویرایش</t>
        </is>
      </c>
    </row>
    <row r="31">
      <c r="A31" s="44" t="inlineStr">
        <is>
          <t>MOC-SST</t>
        </is>
      </c>
      <c r="B31" s="44" t="inlineStr">
        <is>
          <t>سان ست</t>
        </is>
      </c>
      <c r="C31" s="44" t="inlineStr">
        <is>
          <t>ماکتل سرد</t>
        </is>
      </c>
      <c r="D31" s="68" t="n">
        <v>238</v>
      </c>
      <c r="E31" s="34">
        <f>IF(tblMenu[[#This Row],[کد محصول]]="","",SUMIFS(tblRecipe[هزینه خط],tblRecipe[کد محصول],tblMenu[[#This Row],[کد محصول]]))</f>
        <v/>
      </c>
      <c r="F31" s="34">
        <f>IF(tblMenu[[#This Row],[کد محصول]]="","",tblMenu[[#This Row],[قیمت فروش]]-tblMenu[[#This Row],[هزینه استاندارد]])</f>
        <v/>
      </c>
      <c r="G31" s="35">
        <f>IFERROR(tblMenu[[#This Row],[هزینه استاندارد]]/tblMenu[[#This Row],[قیمت فروش]],0)</f>
        <v/>
      </c>
      <c r="H31" s="44" t="inlineStr">
        <is>
          <t>بله</t>
        </is>
      </c>
      <c r="I31" s="44" t="inlineStr">
        <is>
          <t>ملس و انرژی‌بخش</t>
        </is>
      </c>
      <c r="J31" s="33">
        <f>IF(tblMenu[[#This Row],[کد محصول]]="","",IF(COUNTIF(tblRecipe[کد محصول],tblMenu[[#This Row],[کد محصول]])=0,"بدون رسپی","کامل"))</f>
        <v/>
      </c>
      <c r="K31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1" s="44" t="inlineStr">
        <is>
          <t>HOT-TEA</t>
        </is>
      </c>
      <c r="N31" s="33">
        <f>IF(tblRecipe[[#This Row],[کد محصول]]="","",IFERROR(INDEX(tblMenu[نام محصول],MATCH(tblRecipe[[#This Row],[کد محصول]],tblMenu[کد محصول],0)),"کد نامعتبر"))</f>
        <v/>
      </c>
      <c r="O31" s="44" t="inlineStr">
        <is>
          <t>ING-007</t>
        </is>
      </c>
      <c r="P31" s="33">
        <f>IF(tblRecipe[[#This Row],[کد ماده]]="","",IFERROR(INDEX(tblIngredients[نام ماده],MATCH(tblRecipe[[#This Row],[کد ماده]],tblIngredients[کد ماده],0)),"کد نامعتبر"))</f>
        <v/>
      </c>
      <c r="Q31" s="33">
        <f>IF(tblRecipe[[#This Row],[کد ماده]]="","",IFERROR(INDEX(tblIngredients[واحد],MATCH(tblRecipe[[#This Row],[کد ماده]],tblIngredients[کد ماده],0)),""))</f>
        <v/>
      </c>
      <c r="R31" s="45" t="n">
        <v>8</v>
      </c>
      <c r="S31" s="74">
        <f>IF(tblRecipe[[#This Row],[کد ماده]]="","",IFERROR(INDEX(tblIngredients[بهای میانگین],MATCH(tblRecipe[[#This Row],[کد ماده]],tblIngredients[کد ماده],0)),0))</f>
        <v/>
      </c>
      <c r="T31" s="34">
        <f>IF(tblRecipe[[#This Row],[کد ماده]]="","",tblRecipe[[#This Row],[مقدار استاندارد]]*tblRecipe[[#This Row],[بهای واحد ماده]])</f>
        <v/>
      </c>
      <c r="U3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1" s="69">
        <f>IF(tblRecipe[[#This Row],[کد ماده]]="","",tblRecipe[[#This Row],[مقدار استاندارد]]*tblRecipe[[#This Row],[فروش کل]])</f>
        <v/>
      </c>
      <c r="W3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1" s="69">
        <f>IF(tblRecipe[[#This Row],[کد ماده]]="","",tblRecipe[[#This Row],[مقدار استاندارد]]*tblRecipe[[#This Row],[فروش بازه]])</f>
        <v/>
      </c>
      <c r="Y31" s="44" t="inlineStr">
        <is>
          <t>قابل ویرایش</t>
        </is>
      </c>
    </row>
    <row r="32">
      <c r="A32" s="44" t="inlineStr">
        <is>
          <t>MOC-RML</t>
        </is>
      </c>
      <c r="B32" s="44" t="inlineStr">
        <is>
          <t>رویال مالت</t>
        </is>
      </c>
      <c r="C32" s="44" t="inlineStr">
        <is>
          <t>ماکتل سرد</t>
        </is>
      </c>
      <c r="D32" s="68" t="n">
        <v>218</v>
      </c>
      <c r="E32" s="34">
        <f>IF(tblMenu[[#This Row],[کد محصول]]="","",SUMIFS(tblRecipe[هزینه خط],tblRecipe[کد محصول],tblMenu[[#This Row],[کد محصول]]))</f>
        <v/>
      </c>
      <c r="F32" s="34">
        <f>IF(tblMenu[[#This Row],[کد محصول]]="","",tblMenu[[#This Row],[قیمت فروش]]-tblMenu[[#This Row],[هزینه استاندارد]])</f>
        <v/>
      </c>
      <c r="G32" s="35">
        <f>IFERROR(tblMenu[[#This Row],[هزینه استاندارد]]/tblMenu[[#This Row],[قیمت فروش]],0)</f>
        <v/>
      </c>
      <c r="H32" s="44" t="inlineStr">
        <is>
          <t>بله</t>
        </is>
      </c>
      <c r="I32" s="44" t="inlineStr">
        <is>
          <t>مالت با عطر دارچین</t>
        </is>
      </c>
      <c r="J32" s="33">
        <f>IF(tblMenu[[#This Row],[کد محصول]]="","",IF(COUNTIF(tblRecipe[کد محصول],tblMenu[[#This Row],[کد محصول]])=0,"بدون رسپی","کامل"))</f>
        <v/>
      </c>
      <c r="K32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2" s="44" t="inlineStr">
        <is>
          <t>HOT-TEA</t>
        </is>
      </c>
      <c r="N32" s="33">
        <f>IF(tblRecipe[[#This Row],[کد محصول]]="","",IFERROR(INDEX(tblMenu[نام محصول],MATCH(tblRecipe[[#This Row],[کد محصول]],tblMenu[کد محصول],0)),"کد نامعتبر"))</f>
        <v/>
      </c>
      <c r="O32" s="44" t="inlineStr">
        <is>
          <t>ING-029</t>
        </is>
      </c>
      <c r="P32" s="33">
        <f>IF(tblRecipe[[#This Row],[کد ماده]]="","",IFERROR(INDEX(tblIngredients[نام ماده],MATCH(tblRecipe[[#This Row],[کد ماده]],tblIngredients[کد ماده],0)),"کد نامعتبر"))</f>
        <v/>
      </c>
      <c r="Q32" s="33">
        <f>IF(tblRecipe[[#This Row],[کد ماده]]="","",IFERROR(INDEX(tblIngredients[واحد],MATCH(tblRecipe[[#This Row],[کد ماده]],tblIngredients[کد ماده],0)),""))</f>
        <v/>
      </c>
      <c r="R32" s="45" t="n">
        <v>1</v>
      </c>
      <c r="S32" s="74">
        <f>IF(tblRecipe[[#This Row],[کد ماده]]="","",IFERROR(INDEX(tblIngredients[بهای میانگین],MATCH(tblRecipe[[#This Row],[کد ماده]],tblIngredients[کد ماده],0)),0))</f>
        <v/>
      </c>
      <c r="T32" s="34">
        <f>IF(tblRecipe[[#This Row],[کد ماده]]="","",tblRecipe[[#This Row],[مقدار استاندارد]]*tblRecipe[[#This Row],[بهای واحد ماده]])</f>
        <v/>
      </c>
      <c r="U3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2" s="69">
        <f>IF(tblRecipe[[#This Row],[کد ماده]]="","",tblRecipe[[#This Row],[مقدار استاندارد]]*tblRecipe[[#This Row],[فروش کل]])</f>
        <v/>
      </c>
      <c r="W3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2" s="69">
        <f>IF(tblRecipe[[#This Row],[کد ماده]]="","",tblRecipe[[#This Row],[مقدار استاندارد]]*tblRecipe[[#This Row],[فروش بازه]])</f>
        <v/>
      </c>
      <c r="Y32" s="44" t="inlineStr">
        <is>
          <t>قابل ویرایش</t>
        </is>
      </c>
    </row>
    <row r="33">
      <c r="A33" s="44" t="inlineStr">
        <is>
          <t>MOC-MOJ</t>
        </is>
      </c>
      <c r="B33" s="44" t="inlineStr">
        <is>
          <t>موهیتو</t>
        </is>
      </c>
      <c r="C33" s="44" t="inlineStr">
        <is>
          <t>ماکتل سرد</t>
        </is>
      </c>
      <c r="D33" s="68" t="n">
        <v>198</v>
      </c>
      <c r="E33" s="34">
        <f>IF(tblMenu[[#This Row],[کد محصول]]="","",SUMIFS(tblRecipe[هزینه خط],tblRecipe[کد محصول],tblMenu[[#This Row],[کد محصول]]))</f>
        <v/>
      </c>
      <c r="F33" s="34">
        <f>IF(tblMenu[[#This Row],[کد محصول]]="","",tblMenu[[#This Row],[قیمت فروش]]-tblMenu[[#This Row],[هزینه استاندارد]])</f>
        <v/>
      </c>
      <c r="G33" s="35">
        <f>IFERROR(tblMenu[[#This Row],[هزینه استاندارد]]/tblMenu[[#This Row],[قیمت فروش]],0)</f>
        <v/>
      </c>
      <c r="H33" s="44" t="inlineStr">
        <is>
          <t>بله</t>
        </is>
      </c>
      <c r="I33" s="44" t="inlineStr">
        <is>
          <t>ترش و تازه‌کننده</t>
        </is>
      </c>
      <c r="J33" s="33">
        <f>IF(tblMenu[[#This Row],[کد محصول]]="","",IF(COUNTIF(tblRecipe[کد محصول],tblMenu[[#This Row],[کد محصول]])=0,"بدون رسپی","کامل"))</f>
        <v/>
      </c>
      <c r="K33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3" s="44" t="inlineStr">
        <is>
          <t>HOT-GRN</t>
        </is>
      </c>
      <c r="N33" s="33">
        <f>IF(tblRecipe[[#This Row],[کد محصول]]="","",IFERROR(INDEX(tblMenu[نام محصول],MATCH(tblRecipe[[#This Row],[کد محصول]],tblMenu[کد محصول],0)),"کد نامعتبر"))</f>
        <v/>
      </c>
      <c r="O33" s="44" t="inlineStr">
        <is>
          <t>ING-009</t>
        </is>
      </c>
      <c r="P33" s="33">
        <f>IF(tblRecipe[[#This Row],[کد ماده]]="","",IFERROR(INDEX(tblIngredients[نام ماده],MATCH(tblRecipe[[#This Row],[کد ماده]],tblIngredients[کد ماده],0)),"کد نامعتبر"))</f>
        <v/>
      </c>
      <c r="Q33" s="33">
        <f>IF(tblRecipe[[#This Row],[کد ماده]]="","",IFERROR(INDEX(tblIngredients[واحد],MATCH(tblRecipe[[#This Row],[کد ماده]],tblIngredients[کد ماده],0)),""))</f>
        <v/>
      </c>
      <c r="R33" s="45" t="n">
        <v>5</v>
      </c>
      <c r="S33" s="74">
        <f>IF(tblRecipe[[#This Row],[کد ماده]]="","",IFERROR(INDEX(tblIngredients[بهای میانگین],MATCH(tblRecipe[[#This Row],[کد ماده]],tblIngredients[کد ماده],0)),0))</f>
        <v/>
      </c>
      <c r="T33" s="34">
        <f>IF(tblRecipe[[#This Row],[کد ماده]]="","",tblRecipe[[#This Row],[مقدار استاندارد]]*tblRecipe[[#This Row],[بهای واحد ماده]])</f>
        <v/>
      </c>
      <c r="U3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3" s="69">
        <f>IF(tblRecipe[[#This Row],[کد ماده]]="","",tblRecipe[[#This Row],[مقدار استاندارد]]*tblRecipe[[#This Row],[فروش کل]])</f>
        <v/>
      </c>
      <c r="W3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3" s="69">
        <f>IF(tblRecipe[[#This Row],[کد ماده]]="","",tblRecipe[[#This Row],[مقدار استاندارد]]*tblRecipe[[#This Row],[فروش بازه]])</f>
        <v/>
      </c>
      <c r="Y33" s="44" t="inlineStr">
        <is>
          <t>قابل ویرایش</t>
        </is>
      </c>
    </row>
    <row r="34">
      <c r="A34" s="44" t="inlineStr">
        <is>
          <t>MOC-RMO</t>
        </is>
      </c>
      <c r="B34" s="44" t="inlineStr">
        <is>
          <t>رد موهیتو</t>
        </is>
      </c>
      <c r="C34" s="44" t="inlineStr">
        <is>
          <t>ماکتل سرد</t>
        </is>
      </c>
      <c r="D34" s="68" t="n">
        <v>198</v>
      </c>
      <c r="E34" s="34">
        <f>IF(tblMenu[[#This Row],[کد محصول]]="","",SUMIFS(tblRecipe[هزینه خط],tblRecipe[کد محصول],tblMenu[[#This Row],[کد محصول]]))</f>
        <v/>
      </c>
      <c r="F34" s="34">
        <f>IF(tblMenu[[#This Row],[کد محصول]]="","",tblMenu[[#This Row],[قیمت فروش]]-tblMenu[[#This Row],[هزینه استاندارد]])</f>
        <v/>
      </c>
      <c r="G34" s="35">
        <f>IFERROR(tblMenu[[#This Row],[هزینه استاندارد]]/tblMenu[[#This Row],[قیمت فروش]],0)</f>
        <v/>
      </c>
      <c r="H34" s="44" t="inlineStr">
        <is>
          <t>بله</t>
        </is>
      </c>
      <c r="I34" s="44" t="inlineStr">
        <is>
          <t>ترش و شیرین</t>
        </is>
      </c>
      <c r="J34" s="33">
        <f>IF(tblMenu[[#This Row],[کد محصول]]="","",IF(COUNTIF(tblRecipe[کد محصول],tblMenu[[#This Row],[کد محصول]])=0,"بدون رسپی","کامل"))</f>
        <v/>
      </c>
      <c r="K34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4" s="44" t="inlineStr">
        <is>
          <t>HOT-GRN</t>
        </is>
      </c>
      <c r="N34" s="33">
        <f>IF(tblRecipe[[#This Row],[کد محصول]]="","",IFERROR(INDEX(tblMenu[نام محصول],MATCH(tblRecipe[[#This Row],[کد محصول]],tblMenu[کد محصول],0)),"کد نامعتبر"))</f>
        <v/>
      </c>
      <c r="O34" s="44" t="inlineStr">
        <is>
          <t>ING-029</t>
        </is>
      </c>
      <c r="P34" s="33">
        <f>IF(tblRecipe[[#This Row],[کد ماده]]="","",IFERROR(INDEX(tblIngredients[نام ماده],MATCH(tblRecipe[[#This Row],[کد ماده]],tblIngredients[کد ماده],0)),"کد نامعتبر"))</f>
        <v/>
      </c>
      <c r="Q34" s="33">
        <f>IF(tblRecipe[[#This Row],[کد ماده]]="","",IFERROR(INDEX(tblIngredients[واحد],MATCH(tblRecipe[[#This Row],[کد ماده]],tblIngredients[کد ماده],0)),""))</f>
        <v/>
      </c>
      <c r="R34" s="45" t="n">
        <v>1</v>
      </c>
      <c r="S34" s="74">
        <f>IF(tblRecipe[[#This Row],[کد ماده]]="","",IFERROR(INDEX(tblIngredients[بهای میانگین],MATCH(tblRecipe[[#This Row],[کد ماده]],tblIngredients[کد ماده],0)),0))</f>
        <v/>
      </c>
      <c r="T34" s="34">
        <f>IF(tblRecipe[[#This Row],[کد ماده]]="","",tblRecipe[[#This Row],[مقدار استاندارد]]*tblRecipe[[#This Row],[بهای واحد ماده]])</f>
        <v/>
      </c>
      <c r="U3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4" s="69">
        <f>IF(tblRecipe[[#This Row],[کد ماده]]="","",tblRecipe[[#This Row],[مقدار استاندارد]]*tblRecipe[[#This Row],[فروش کل]])</f>
        <v/>
      </c>
      <c r="W3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4" s="69">
        <f>IF(tblRecipe[[#This Row],[کد ماده]]="","",tblRecipe[[#This Row],[مقدار استاندارد]]*tblRecipe[[#This Row],[فروش بازه]])</f>
        <v/>
      </c>
      <c r="Y34" s="44" t="inlineStr">
        <is>
          <t>قابل ویرایش</t>
        </is>
      </c>
    </row>
    <row r="35">
      <c r="A35" s="44" t="inlineStr">
        <is>
          <t>MOC-LEM</t>
        </is>
      </c>
      <c r="B35" s="44" t="inlineStr">
        <is>
          <t>لیموناد</t>
        </is>
      </c>
      <c r="C35" s="44" t="inlineStr">
        <is>
          <t>ماکتل سرد</t>
        </is>
      </c>
      <c r="D35" s="68" t="n">
        <v>188</v>
      </c>
      <c r="E35" s="34">
        <f>IF(tblMenu[[#This Row],[کد محصول]]="","",SUMIFS(tblRecipe[هزینه خط],tblRecipe[کد محصول],tblMenu[[#This Row],[کد محصول]]))</f>
        <v/>
      </c>
      <c r="F35" s="34">
        <f>IF(tblMenu[[#This Row],[کد محصول]]="","",tblMenu[[#This Row],[قیمت فروش]]-tblMenu[[#This Row],[هزینه استاندارد]])</f>
        <v/>
      </c>
      <c r="G35" s="35">
        <f>IFERROR(tblMenu[[#This Row],[هزینه استاندارد]]/tblMenu[[#This Row],[قیمت فروش]],0)</f>
        <v/>
      </c>
      <c r="H35" s="44" t="inlineStr">
        <is>
          <t>بله</t>
        </is>
      </c>
      <c r="I35" s="44" t="inlineStr">
        <is>
          <t>خالص و خنک</t>
        </is>
      </c>
      <c r="J35" s="33">
        <f>IF(tblMenu[[#This Row],[کد محصول]]="","",IF(COUNTIF(tblRecipe[کد محصول],tblMenu[[#This Row],[کد محصول]])=0,"بدون رسپی","کامل"))</f>
        <v/>
      </c>
      <c r="K35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5" s="44" t="inlineStr">
        <is>
          <t>HOT-MAS</t>
        </is>
      </c>
      <c r="N35" s="33">
        <f>IF(tblRecipe[[#This Row],[کد محصول]]="","",IFERROR(INDEX(tblMenu[نام محصول],MATCH(tblRecipe[[#This Row],[کد محصول]],tblMenu[کد محصول],0)),"کد نامعتبر"))</f>
        <v/>
      </c>
      <c r="O35" s="44" t="inlineStr">
        <is>
          <t>ING-008</t>
        </is>
      </c>
      <c r="P35" s="33">
        <f>IF(tblRecipe[[#This Row],[کد ماده]]="","",IFERROR(INDEX(tblIngredients[نام ماده],MATCH(tblRecipe[[#This Row],[کد ماده]],tblIngredients[کد ماده],0)),"کد نامعتبر"))</f>
        <v/>
      </c>
      <c r="Q35" s="33">
        <f>IF(tblRecipe[[#This Row],[کد ماده]]="","",IFERROR(INDEX(tblIngredients[واحد],MATCH(tblRecipe[[#This Row],[کد ماده]],tblIngredients[کد ماده],0)),""))</f>
        <v/>
      </c>
      <c r="R35" s="45" t="n">
        <v>4</v>
      </c>
      <c r="S35" s="74">
        <f>IF(tblRecipe[[#This Row],[کد ماده]]="","",IFERROR(INDEX(tblIngredients[بهای میانگین],MATCH(tblRecipe[[#This Row],[کد ماده]],tblIngredients[کد ماده],0)),0))</f>
        <v/>
      </c>
      <c r="T35" s="34">
        <f>IF(tblRecipe[[#This Row],[کد ماده]]="","",tblRecipe[[#This Row],[مقدار استاندارد]]*tblRecipe[[#This Row],[بهای واحد ماده]])</f>
        <v/>
      </c>
      <c r="U3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5" s="69">
        <f>IF(tblRecipe[[#This Row],[کد ماده]]="","",tblRecipe[[#This Row],[مقدار استاندارد]]*tblRecipe[[#This Row],[فروش کل]])</f>
        <v/>
      </c>
      <c r="W3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5" s="69">
        <f>IF(tblRecipe[[#This Row],[کد ماده]]="","",tblRecipe[[#This Row],[مقدار استاندارد]]*tblRecipe[[#This Row],[فروش بازه]])</f>
        <v/>
      </c>
      <c r="Y35" s="44" t="inlineStr">
        <is>
          <t>قابل ویرایش</t>
        </is>
      </c>
    </row>
    <row r="36">
      <c r="A36" s="44" t="inlineStr">
        <is>
          <t>IC-AMR</t>
        </is>
      </c>
      <c r="B36" s="44" t="inlineStr">
        <is>
          <t>آیس امریکانو</t>
        </is>
      </c>
      <c r="C36" s="44" t="inlineStr">
        <is>
          <t>قهوه سرد</t>
        </is>
      </c>
      <c r="D36" s="68" t="n">
        <v>258</v>
      </c>
      <c r="E36" s="34">
        <f>IF(tblMenu[[#This Row],[کد محصول]]="","",SUMIFS(tblRecipe[هزینه خط],tblRecipe[کد محصول],tblMenu[[#This Row],[کد محصول]]))</f>
        <v/>
      </c>
      <c r="F36" s="34">
        <f>IF(tblMenu[[#This Row],[کد محصول]]="","",tblMenu[[#This Row],[قیمت فروش]]-tblMenu[[#This Row],[هزینه استاندارد]])</f>
        <v/>
      </c>
      <c r="G36" s="35">
        <f>IFERROR(tblMenu[[#This Row],[هزینه استاندارد]]/tblMenu[[#This Row],[قیمت فروش]],0)</f>
        <v/>
      </c>
      <c r="H36" s="44" t="inlineStr">
        <is>
          <t>بله</t>
        </is>
      </c>
      <c r="I36" s="44" t="inlineStr">
        <is>
          <t>منوی اصلی</t>
        </is>
      </c>
      <c r="J36" s="33">
        <f>IF(tblMenu[[#This Row],[کد محصول]]="","",IF(COUNTIF(tblRecipe[کد محصول],tblMenu[[#This Row],[کد محصول]])=0,"بدون رسپی","کامل"))</f>
        <v/>
      </c>
      <c r="K36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6" s="44" t="inlineStr">
        <is>
          <t>HOT-MAS</t>
        </is>
      </c>
      <c r="N36" s="33">
        <f>IF(tblRecipe[[#This Row],[کد محصول]]="","",IFERROR(INDEX(tblMenu[نام محصول],MATCH(tblRecipe[[#This Row],[کد محصول]],tblMenu[کد محصول],0)),"کد نامعتبر"))</f>
        <v/>
      </c>
      <c r="O36" s="44" t="inlineStr">
        <is>
          <t>ING-010</t>
        </is>
      </c>
      <c r="P36" s="33">
        <f>IF(tblRecipe[[#This Row],[کد ماده]]="","",IFERROR(INDEX(tblIngredients[نام ماده],MATCH(tblRecipe[[#This Row],[کد ماده]],tblIngredients[کد ماده],0)),"کد نامعتبر"))</f>
        <v/>
      </c>
      <c r="Q36" s="33">
        <f>IF(tblRecipe[[#This Row],[کد ماده]]="","",IFERROR(INDEX(tblIngredients[واحد],MATCH(tblRecipe[[#This Row],[کد ماده]],tblIngredients[کد ماده],0)),""))</f>
        <v/>
      </c>
      <c r="R36" s="45" t="n">
        <v>12</v>
      </c>
      <c r="S36" s="74">
        <f>IF(tblRecipe[[#This Row],[کد ماده]]="","",IFERROR(INDEX(tblIngredients[بهای میانگین],MATCH(tblRecipe[[#This Row],[کد ماده]],tblIngredients[کد ماده],0)),0))</f>
        <v/>
      </c>
      <c r="T36" s="34">
        <f>IF(tblRecipe[[#This Row],[کد ماده]]="","",tblRecipe[[#This Row],[مقدار استاندارد]]*tblRecipe[[#This Row],[بهای واحد ماده]])</f>
        <v/>
      </c>
      <c r="U3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6" s="69">
        <f>IF(tblRecipe[[#This Row],[کد ماده]]="","",tblRecipe[[#This Row],[مقدار استاندارد]]*tblRecipe[[#This Row],[فروش کل]])</f>
        <v/>
      </c>
      <c r="W3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6" s="69">
        <f>IF(tblRecipe[[#This Row],[کد ماده]]="","",tblRecipe[[#This Row],[مقدار استاندارد]]*tblRecipe[[#This Row],[فروش بازه]])</f>
        <v/>
      </c>
      <c r="Y36" s="44" t="inlineStr">
        <is>
          <t>قابل ویرایش</t>
        </is>
      </c>
    </row>
    <row r="37">
      <c r="A37" s="44" t="inlineStr">
        <is>
          <t>IC-LAT</t>
        </is>
      </c>
      <c r="B37" s="44" t="inlineStr">
        <is>
          <t>آیس لته</t>
        </is>
      </c>
      <c r="C37" s="44" t="inlineStr">
        <is>
          <t>قهوه سرد</t>
        </is>
      </c>
      <c r="D37" s="68" t="n">
        <v>308</v>
      </c>
      <c r="E37" s="34">
        <f>IF(tblMenu[[#This Row],[کد محصول]]="","",SUMIFS(tblRecipe[هزینه خط],tblRecipe[کد محصول],tblMenu[[#This Row],[کد محصول]]))</f>
        <v/>
      </c>
      <c r="F37" s="34">
        <f>IF(tblMenu[[#This Row],[کد محصول]]="","",tblMenu[[#This Row],[قیمت فروش]]-tblMenu[[#This Row],[هزینه استاندارد]])</f>
        <v/>
      </c>
      <c r="G37" s="35">
        <f>IFERROR(tblMenu[[#This Row],[هزینه استاندارد]]/tblMenu[[#This Row],[قیمت فروش]],0)</f>
        <v/>
      </c>
      <c r="H37" s="44" t="inlineStr">
        <is>
          <t>بله</t>
        </is>
      </c>
      <c r="I37" s="44" t="inlineStr">
        <is>
          <t>منوی اصلی</t>
        </is>
      </c>
      <c r="J37" s="33">
        <f>IF(tblMenu[[#This Row],[کد محصول]]="","",IF(COUNTIF(tblRecipe[کد محصول],tblMenu[[#This Row],[کد محصول]])=0,"بدون رسپی","کامل"))</f>
        <v/>
      </c>
      <c r="K37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7" s="44" t="inlineStr">
        <is>
          <t>HOT-MAS</t>
        </is>
      </c>
      <c r="N37" s="33">
        <f>IF(tblRecipe[[#This Row],[کد محصول]]="","",IFERROR(INDEX(tblMenu[نام محصول],MATCH(tblRecipe[[#This Row],[کد محصول]],tblMenu[کد محصول],0)),"کد نامعتبر"))</f>
        <v/>
      </c>
      <c r="O37" s="44" t="inlineStr">
        <is>
          <t>ING-002</t>
        </is>
      </c>
      <c r="P37" s="33">
        <f>IF(tblRecipe[[#This Row],[کد ماده]]="","",IFERROR(INDEX(tblIngredients[نام ماده],MATCH(tblRecipe[[#This Row],[کد ماده]],tblIngredients[کد ماده],0)),"کد نامعتبر"))</f>
        <v/>
      </c>
      <c r="Q37" s="33">
        <f>IF(tblRecipe[[#This Row],[کد ماده]]="","",IFERROR(INDEX(tblIngredients[واحد],MATCH(tblRecipe[[#This Row],[کد ماده]],tblIngredients[کد ماده],0)),""))</f>
        <v/>
      </c>
      <c r="R37" s="45" t="n">
        <v>140</v>
      </c>
      <c r="S37" s="74">
        <f>IF(tblRecipe[[#This Row],[کد ماده]]="","",IFERROR(INDEX(tblIngredients[بهای میانگین],MATCH(tblRecipe[[#This Row],[کد ماده]],tblIngredients[کد ماده],0)),0))</f>
        <v/>
      </c>
      <c r="T37" s="34">
        <f>IF(tblRecipe[[#This Row],[کد ماده]]="","",tblRecipe[[#This Row],[مقدار استاندارد]]*tblRecipe[[#This Row],[بهای واحد ماده]])</f>
        <v/>
      </c>
      <c r="U3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7" s="69">
        <f>IF(tblRecipe[[#This Row],[کد ماده]]="","",tblRecipe[[#This Row],[مقدار استاندارد]]*tblRecipe[[#This Row],[فروش کل]])</f>
        <v/>
      </c>
      <c r="W3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7" s="69">
        <f>IF(tblRecipe[[#This Row],[کد ماده]]="","",tblRecipe[[#This Row],[مقدار استاندارد]]*tblRecipe[[#This Row],[فروش بازه]])</f>
        <v/>
      </c>
      <c r="Y37" s="44" t="inlineStr">
        <is>
          <t>قابل ویرایش</t>
        </is>
      </c>
    </row>
    <row r="38">
      <c r="A38" s="44" t="inlineStr">
        <is>
          <t>IC-CAR</t>
        </is>
      </c>
      <c r="B38" s="44" t="inlineStr">
        <is>
          <t>آیس کارامل</t>
        </is>
      </c>
      <c r="C38" s="44" t="inlineStr">
        <is>
          <t>قهوه سرد</t>
        </is>
      </c>
      <c r="D38" s="68" t="n">
        <v>338</v>
      </c>
      <c r="E38" s="34">
        <f>IF(tblMenu[[#This Row],[کد محصول]]="","",SUMIFS(tblRecipe[هزینه خط],tblRecipe[کد محصول],tblMenu[[#This Row],[کد محصول]]))</f>
        <v/>
      </c>
      <c r="F38" s="34">
        <f>IF(tblMenu[[#This Row],[کد محصول]]="","",tblMenu[[#This Row],[قیمت فروش]]-tblMenu[[#This Row],[هزینه استاندارد]])</f>
        <v/>
      </c>
      <c r="G38" s="35">
        <f>IFERROR(tblMenu[[#This Row],[هزینه استاندارد]]/tblMenu[[#This Row],[قیمت فروش]],0)</f>
        <v/>
      </c>
      <c r="H38" s="44" t="inlineStr">
        <is>
          <t>بله</t>
        </is>
      </c>
      <c r="I38" s="44" t="inlineStr">
        <is>
          <t>منوی اصلی</t>
        </is>
      </c>
      <c r="J38" s="33">
        <f>IF(tblMenu[[#This Row],[کد محصول]]="","",IF(COUNTIF(tblRecipe[کد محصول],tblMenu[[#This Row],[کد محصول]])=0,"بدون رسپی","کامل"))</f>
        <v/>
      </c>
      <c r="K38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8" s="44" t="inlineStr">
        <is>
          <t>HOT-MAS</t>
        </is>
      </c>
      <c r="N38" s="33">
        <f>IF(tblRecipe[[#This Row],[کد محصول]]="","",IFERROR(INDEX(tblMenu[نام محصول],MATCH(tblRecipe[[#This Row],[کد محصول]],tblMenu[کد محصول],0)),"کد نامعتبر"))</f>
        <v/>
      </c>
      <c r="O38" s="44" t="inlineStr">
        <is>
          <t>ING-029</t>
        </is>
      </c>
      <c r="P38" s="33">
        <f>IF(tblRecipe[[#This Row],[کد ماده]]="","",IFERROR(INDEX(tblIngredients[نام ماده],MATCH(tblRecipe[[#This Row],[کد ماده]],tblIngredients[کد ماده],0)),"کد نامعتبر"))</f>
        <v/>
      </c>
      <c r="Q38" s="33">
        <f>IF(tblRecipe[[#This Row],[کد ماده]]="","",IFERROR(INDEX(tblIngredients[واحد],MATCH(tblRecipe[[#This Row],[کد ماده]],tblIngredients[کد ماده],0)),""))</f>
        <v/>
      </c>
      <c r="R38" s="45" t="n">
        <v>1</v>
      </c>
      <c r="S38" s="74">
        <f>IF(tblRecipe[[#This Row],[کد ماده]]="","",IFERROR(INDEX(tblIngredients[بهای میانگین],MATCH(tblRecipe[[#This Row],[کد ماده]],tblIngredients[کد ماده],0)),0))</f>
        <v/>
      </c>
      <c r="T38" s="34">
        <f>IF(tblRecipe[[#This Row],[کد ماده]]="","",tblRecipe[[#This Row],[مقدار استاندارد]]*tblRecipe[[#This Row],[بهای واحد ماده]])</f>
        <v/>
      </c>
      <c r="U3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8" s="69">
        <f>IF(tblRecipe[[#This Row],[کد ماده]]="","",tblRecipe[[#This Row],[مقدار استاندارد]]*tblRecipe[[#This Row],[فروش کل]])</f>
        <v/>
      </c>
      <c r="W3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8" s="69">
        <f>IF(tblRecipe[[#This Row],[کد ماده]]="","",tblRecipe[[#This Row],[مقدار استاندارد]]*tblRecipe[[#This Row],[فروش بازه]])</f>
        <v/>
      </c>
      <c r="Y38" s="44" t="inlineStr">
        <is>
          <t>قابل ویرایش</t>
        </is>
      </c>
    </row>
    <row r="39">
      <c r="A39" s="44" t="inlineStr">
        <is>
          <t>IC-MOC</t>
        </is>
      </c>
      <c r="B39" s="44" t="inlineStr">
        <is>
          <t>آیس موکا</t>
        </is>
      </c>
      <c r="C39" s="44" t="inlineStr">
        <is>
          <t>قهوه سرد</t>
        </is>
      </c>
      <c r="D39" s="68" t="n">
        <v>348</v>
      </c>
      <c r="E39" s="34">
        <f>IF(tblMenu[[#This Row],[کد محصول]]="","",SUMIFS(tblRecipe[هزینه خط],tblRecipe[کد محصول],tblMenu[[#This Row],[کد محصول]]))</f>
        <v/>
      </c>
      <c r="F39" s="34">
        <f>IF(tblMenu[[#This Row],[کد محصول]]="","",tblMenu[[#This Row],[قیمت فروش]]-tblMenu[[#This Row],[هزینه استاندارد]])</f>
        <v/>
      </c>
      <c r="G39" s="35">
        <f>IFERROR(tblMenu[[#This Row],[هزینه استاندارد]]/tblMenu[[#This Row],[قیمت فروش]],0)</f>
        <v/>
      </c>
      <c r="H39" s="44" t="inlineStr">
        <is>
          <t>بله</t>
        </is>
      </c>
      <c r="I39" s="44" t="inlineStr">
        <is>
          <t>منوی اصلی</t>
        </is>
      </c>
      <c r="J39" s="33">
        <f>IF(tblMenu[[#This Row],[کد محصول]]="","",IF(COUNTIF(tblRecipe[کد محصول],tblMenu[[#This Row],[کد محصول]])=0,"بدون رسپی","کامل"))</f>
        <v/>
      </c>
      <c r="K39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9" s="44" t="inlineStr">
        <is>
          <t>HOT-KRK</t>
        </is>
      </c>
      <c r="N39" s="33">
        <f>IF(tblRecipe[[#This Row],[کد محصول]]="","",IFERROR(INDEX(tblMenu[نام محصول],MATCH(tblRecipe[[#This Row],[کد محصول]],tblMenu[کد محصول],0)),"کد نامعتبر"))</f>
        <v/>
      </c>
      <c r="O39" s="44" t="inlineStr">
        <is>
          <t>ING-008</t>
        </is>
      </c>
      <c r="P39" s="33">
        <f>IF(tblRecipe[[#This Row],[کد ماده]]="","",IFERROR(INDEX(tblIngredients[نام ماده],MATCH(tblRecipe[[#This Row],[کد ماده]],tblIngredients[کد ماده],0)),"کد نامعتبر"))</f>
        <v/>
      </c>
      <c r="Q39" s="33">
        <f>IF(tblRecipe[[#This Row],[کد ماده]]="","",IFERROR(INDEX(tblIngredients[واحد],MATCH(tblRecipe[[#This Row],[کد ماده]],tblIngredients[کد ماده],0)),""))</f>
        <v/>
      </c>
      <c r="R39" s="45" t="n">
        <v>4</v>
      </c>
      <c r="S39" s="74">
        <f>IF(tblRecipe[[#This Row],[کد ماده]]="","",IFERROR(INDEX(tblIngredients[بهای میانگین],MATCH(tblRecipe[[#This Row],[کد ماده]],tblIngredients[کد ماده],0)),0))</f>
        <v/>
      </c>
      <c r="T39" s="34">
        <f>IF(tblRecipe[[#This Row],[کد ماده]]="","",tblRecipe[[#This Row],[مقدار استاندارد]]*tblRecipe[[#This Row],[بهای واحد ماده]])</f>
        <v/>
      </c>
      <c r="U3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9" s="69">
        <f>IF(tblRecipe[[#This Row],[کد ماده]]="","",tblRecipe[[#This Row],[مقدار استاندارد]]*tblRecipe[[#This Row],[فروش کل]])</f>
        <v/>
      </c>
      <c r="W3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9" s="69">
        <f>IF(tblRecipe[[#This Row],[کد ماده]]="","",tblRecipe[[#This Row],[مقدار استاندارد]]*tblRecipe[[#This Row],[فروش بازه]])</f>
        <v/>
      </c>
      <c r="Y39" s="44" t="inlineStr">
        <is>
          <t>قابل ویرایش</t>
        </is>
      </c>
    </row>
    <row r="40">
      <c r="A40" s="44" t="inlineStr">
        <is>
          <t>IC-MAT</t>
        </is>
      </c>
      <c r="B40" s="44" t="inlineStr">
        <is>
          <t>آیس ماچا لته</t>
        </is>
      </c>
      <c r="C40" s="44" t="inlineStr">
        <is>
          <t>قهوه سرد</t>
        </is>
      </c>
      <c r="D40" s="68" t="n">
        <v>308</v>
      </c>
      <c r="E40" s="34">
        <f>IF(tblMenu[[#This Row],[کد محصول]]="","",SUMIFS(tblRecipe[هزینه خط],tblRecipe[کد محصول],tblMenu[[#This Row],[کد محصول]]))</f>
        <v/>
      </c>
      <c r="F40" s="34">
        <f>IF(tblMenu[[#This Row],[کد محصول]]="","",tblMenu[[#This Row],[قیمت فروش]]-tblMenu[[#This Row],[هزینه استاندارد]])</f>
        <v/>
      </c>
      <c r="G40" s="35">
        <f>IFERROR(tblMenu[[#This Row],[هزینه استاندارد]]/tblMenu[[#This Row],[قیمت فروش]],0)</f>
        <v/>
      </c>
      <c r="H40" s="44" t="inlineStr">
        <is>
          <t>بله</t>
        </is>
      </c>
      <c r="I40" s="44" t="inlineStr">
        <is>
          <t>منوی اصلی</t>
        </is>
      </c>
      <c r="J40" s="33">
        <f>IF(tblMenu[[#This Row],[کد محصول]]="","",IF(COUNTIF(tblRecipe[کد محصول],tblMenu[[#This Row],[کد محصول]])=0,"بدون رسپی","کامل"))</f>
        <v/>
      </c>
      <c r="K40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0" s="44" t="inlineStr">
        <is>
          <t>HOT-KRK</t>
        </is>
      </c>
      <c r="N40" s="33">
        <f>IF(tblRecipe[[#This Row],[کد محصول]]="","",IFERROR(INDEX(tblMenu[نام محصول],MATCH(tblRecipe[[#This Row],[کد محصول]],tblMenu[کد محصول],0)),"کد نامعتبر"))</f>
        <v/>
      </c>
      <c r="O40" s="44" t="inlineStr">
        <is>
          <t>ING-010</t>
        </is>
      </c>
      <c r="P40" s="33">
        <f>IF(tblRecipe[[#This Row],[کد ماده]]="","",IFERROR(INDEX(tblIngredients[نام ماده],MATCH(tblRecipe[[#This Row],[کد ماده]],tblIngredients[کد ماده],0)),"کد نامعتبر"))</f>
        <v/>
      </c>
      <c r="Q40" s="33">
        <f>IF(tblRecipe[[#This Row],[کد ماده]]="","",IFERROR(INDEX(tblIngredients[واحد],MATCH(tblRecipe[[#This Row],[کد ماده]],tblIngredients[کد ماده],0)),""))</f>
        <v/>
      </c>
      <c r="R40" s="45" t="n">
        <v>10</v>
      </c>
      <c r="S40" s="74">
        <f>IF(tblRecipe[[#This Row],[کد ماده]]="","",IFERROR(INDEX(tblIngredients[بهای میانگین],MATCH(tblRecipe[[#This Row],[کد ماده]],tblIngredients[کد ماده],0)),0))</f>
        <v/>
      </c>
      <c r="T40" s="34">
        <f>IF(tblRecipe[[#This Row],[کد ماده]]="","",tblRecipe[[#This Row],[مقدار استاندارد]]*tblRecipe[[#This Row],[بهای واحد ماده]])</f>
        <v/>
      </c>
      <c r="U4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0" s="69">
        <f>IF(tblRecipe[[#This Row],[کد ماده]]="","",tblRecipe[[#This Row],[مقدار استاندارد]]*tblRecipe[[#This Row],[فروش کل]])</f>
        <v/>
      </c>
      <c r="W4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0" s="69">
        <f>IF(tblRecipe[[#This Row],[کد ماده]]="","",tblRecipe[[#This Row],[مقدار استاندارد]]*tblRecipe[[#This Row],[فروش بازه]])</f>
        <v/>
      </c>
      <c r="Y40" s="44" t="inlineStr">
        <is>
          <t>قابل ویرایش</t>
        </is>
      </c>
    </row>
    <row r="41">
      <c r="A41" s="44" t="inlineStr">
        <is>
          <t>ADD-SYR</t>
        </is>
      </c>
      <c r="B41" s="44" t="inlineStr">
        <is>
          <t>سیروپ فندق، وانیل، نارگیل</t>
        </is>
      </c>
      <c r="C41" s="44" t="inlineStr">
        <is>
          <t>افزودنی</t>
        </is>
      </c>
      <c r="D41" s="68" t="n">
        <v>60</v>
      </c>
      <c r="E41" s="34">
        <f>IF(tblMenu[[#This Row],[کد محصول]]="","",SUMIFS(tblRecipe[هزینه خط],tblRecipe[کد محصول],tblMenu[[#This Row],[کد محصول]]))</f>
        <v/>
      </c>
      <c r="F41" s="34">
        <f>IF(tblMenu[[#This Row],[کد محصول]]="","",tblMenu[[#This Row],[قیمت فروش]]-tblMenu[[#This Row],[هزینه استاندارد]])</f>
        <v/>
      </c>
      <c r="G41" s="35">
        <f>IFERROR(tblMenu[[#This Row],[هزینه استاندارد]]/tblMenu[[#This Row],[قیمت فروش]],0)</f>
        <v/>
      </c>
      <c r="H41" s="44" t="inlineStr">
        <is>
          <t>بله</t>
        </is>
      </c>
      <c r="I41" s="44" t="inlineStr">
        <is>
          <t>افزودنی قهوه سرد</t>
        </is>
      </c>
      <c r="J41" s="33">
        <f>IF(tblMenu[[#This Row],[کد محصول]]="","",IF(COUNTIF(tblRecipe[کد محصول],tblMenu[[#This Row],[کد محصول]])=0,"بدون رسپی","کامل"))</f>
        <v/>
      </c>
      <c r="K41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1" s="44" t="inlineStr">
        <is>
          <t>HOT-KRK</t>
        </is>
      </c>
      <c r="N41" s="33">
        <f>IF(tblRecipe[[#This Row],[کد محصول]]="","",IFERROR(INDEX(tblMenu[نام محصول],MATCH(tblRecipe[[#This Row],[کد محصول]],tblMenu[کد محصول],0)),"کد نامعتبر"))</f>
        <v/>
      </c>
      <c r="O41" s="44" t="inlineStr">
        <is>
          <t>ING-002</t>
        </is>
      </c>
      <c r="P41" s="33">
        <f>IF(tblRecipe[[#This Row],[کد ماده]]="","",IFERROR(INDEX(tblIngredients[نام ماده],MATCH(tblRecipe[[#This Row],[کد ماده]],tblIngredients[کد ماده],0)),"کد نامعتبر"))</f>
        <v/>
      </c>
      <c r="Q41" s="33">
        <f>IF(tblRecipe[[#This Row],[کد ماده]]="","",IFERROR(INDEX(tblIngredients[واحد],MATCH(tblRecipe[[#This Row],[کد ماده]],tblIngredients[کد ماده],0)),""))</f>
        <v/>
      </c>
      <c r="R41" s="45" t="n">
        <v>130</v>
      </c>
      <c r="S41" s="74">
        <f>IF(tblRecipe[[#This Row],[کد ماده]]="","",IFERROR(INDEX(tblIngredients[بهای میانگین],MATCH(tblRecipe[[#This Row],[کد ماده]],tblIngredients[کد ماده],0)),0))</f>
        <v/>
      </c>
      <c r="T41" s="34">
        <f>IF(tblRecipe[[#This Row],[کد ماده]]="","",tblRecipe[[#This Row],[مقدار استاندارد]]*tblRecipe[[#This Row],[بهای واحد ماده]])</f>
        <v/>
      </c>
      <c r="U4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1" s="69">
        <f>IF(tblRecipe[[#This Row],[کد ماده]]="","",tblRecipe[[#This Row],[مقدار استاندارد]]*tblRecipe[[#This Row],[فروش کل]])</f>
        <v/>
      </c>
      <c r="W4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1" s="69">
        <f>IF(tblRecipe[[#This Row],[کد ماده]]="","",tblRecipe[[#This Row],[مقدار استاندارد]]*tblRecipe[[#This Row],[فروش بازه]])</f>
        <v/>
      </c>
      <c r="Y41" s="44" t="inlineStr">
        <is>
          <t>قابل ویرایش</t>
        </is>
      </c>
    </row>
    <row r="42">
      <c r="A42" s="44" t="inlineStr">
        <is>
          <t>CAK-DAY</t>
        </is>
      </c>
      <c r="B42" s="44" t="inlineStr">
        <is>
          <t>کیک روز</t>
        </is>
      </c>
      <c r="C42" s="44" t="inlineStr">
        <is>
          <t>غذا</t>
        </is>
      </c>
      <c r="D42" s="68" t="n">
        <v>348</v>
      </c>
      <c r="E42" s="34">
        <f>IF(tblMenu[[#This Row],[کد محصول]]="","",SUMIFS(tblRecipe[هزینه خط],tblRecipe[کد محصول],tblMenu[[#This Row],[کد محصول]]))</f>
        <v/>
      </c>
      <c r="F42" s="34">
        <f>IF(tblMenu[[#This Row],[کد محصول]]="","",tblMenu[[#This Row],[قیمت فروش]]-tblMenu[[#This Row],[هزینه استاندارد]])</f>
        <v/>
      </c>
      <c r="G42" s="35">
        <f>IFERROR(tblMenu[[#This Row],[هزینه استاندارد]]/tblMenu[[#This Row],[قیمت فروش]],0)</f>
        <v/>
      </c>
      <c r="H42" s="44" t="inlineStr">
        <is>
          <t>بله</t>
        </is>
      </c>
      <c r="I42" s="44" t="inlineStr">
        <is>
          <t>منوی اصلی</t>
        </is>
      </c>
      <c r="J42" s="33">
        <f>IF(tblMenu[[#This Row],[کد محصول]]="","",IF(COUNTIF(tblRecipe[کد محصول],tblMenu[[#This Row],[کد محصول]])=0,"بدون رسپی","کامل"))</f>
        <v/>
      </c>
      <c r="K42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2" s="44" t="inlineStr">
        <is>
          <t>HOT-KRK</t>
        </is>
      </c>
      <c r="N42" s="33">
        <f>IF(tblRecipe[[#This Row],[کد محصول]]="","",IFERROR(INDEX(tblMenu[نام محصول],MATCH(tblRecipe[[#This Row],[کد محصول]],tblMenu[کد محصول],0)),"کد نامعتبر"))</f>
        <v/>
      </c>
      <c r="O42" s="44" t="inlineStr">
        <is>
          <t>ING-029</t>
        </is>
      </c>
      <c r="P42" s="33">
        <f>IF(tblRecipe[[#This Row],[کد ماده]]="","",IFERROR(INDEX(tblIngredients[نام ماده],MATCH(tblRecipe[[#This Row],[کد ماده]],tblIngredients[کد ماده],0)),"کد نامعتبر"))</f>
        <v/>
      </c>
      <c r="Q42" s="33">
        <f>IF(tblRecipe[[#This Row],[کد ماده]]="","",IFERROR(INDEX(tblIngredients[واحد],MATCH(tblRecipe[[#This Row],[کد ماده]],tblIngredients[کد ماده],0)),""))</f>
        <v/>
      </c>
      <c r="R42" s="45" t="n">
        <v>1</v>
      </c>
      <c r="S42" s="74">
        <f>IF(tblRecipe[[#This Row],[کد ماده]]="","",IFERROR(INDEX(tblIngredients[بهای میانگین],MATCH(tblRecipe[[#This Row],[کد ماده]],tblIngredients[کد ماده],0)),0))</f>
        <v/>
      </c>
      <c r="T42" s="34">
        <f>IF(tblRecipe[[#This Row],[کد ماده]]="","",tblRecipe[[#This Row],[مقدار استاندارد]]*tblRecipe[[#This Row],[بهای واحد ماده]])</f>
        <v/>
      </c>
      <c r="U4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2" s="69">
        <f>IF(tblRecipe[[#This Row],[کد ماده]]="","",tblRecipe[[#This Row],[مقدار استاندارد]]*tblRecipe[[#This Row],[فروش کل]])</f>
        <v/>
      </c>
      <c r="W4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2" s="69">
        <f>IF(tblRecipe[[#This Row],[کد ماده]]="","",tblRecipe[[#This Row],[مقدار استاندارد]]*tblRecipe[[#This Row],[فروش بازه]])</f>
        <v/>
      </c>
      <c r="Y42" s="44" t="inlineStr">
        <is>
          <t>قابل ویرایش</t>
        </is>
      </c>
    </row>
    <row r="43">
      <c r="A43" s="44" t="inlineStr">
        <is>
          <t>FR-FRY</t>
        </is>
      </c>
      <c r="B43" s="44" t="inlineStr">
        <is>
          <t>فرنچ فرایز</t>
        </is>
      </c>
      <c r="C43" s="44" t="inlineStr">
        <is>
          <t>غذا</t>
        </is>
      </c>
      <c r="D43" s="68" t="n">
        <v>248</v>
      </c>
      <c r="E43" s="34">
        <f>IF(tblMenu[[#This Row],[کد محصول]]="","",SUMIFS(tblRecipe[هزینه خط],tblRecipe[کد محصول],tblMenu[[#This Row],[کد محصول]]))</f>
        <v/>
      </c>
      <c r="F43" s="34">
        <f>IF(tblMenu[[#This Row],[کد محصول]]="","",tblMenu[[#This Row],[قیمت فروش]]-tblMenu[[#This Row],[هزینه استاندارد]])</f>
        <v/>
      </c>
      <c r="G43" s="35">
        <f>IFERROR(tblMenu[[#This Row],[هزینه استاندارد]]/tblMenu[[#This Row],[قیمت فروش]],0)</f>
        <v/>
      </c>
      <c r="H43" s="44" t="inlineStr">
        <is>
          <t>بله</t>
        </is>
      </c>
      <c r="I43" s="44" t="inlineStr">
        <is>
          <t>منوی دیلی پاستا</t>
        </is>
      </c>
      <c r="J43" s="33">
        <f>IF(tblMenu[[#This Row],[کد محصول]]="","",IF(COUNTIF(tblRecipe[کد محصول],tblMenu[[#This Row],[کد محصول]])=0,"بدون رسپی","کامل"))</f>
        <v/>
      </c>
      <c r="K43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3" s="44" t="inlineStr">
        <is>
          <t>HOT-CHO</t>
        </is>
      </c>
      <c r="N43" s="33">
        <f>IF(tblRecipe[[#This Row],[کد محصول]]="","",IFERROR(INDEX(tblMenu[نام محصول],MATCH(tblRecipe[[#This Row],[کد محصول]],tblMenu[کد محصول],0)),"کد نامعتبر"))</f>
        <v/>
      </c>
      <c r="O43" s="44" t="inlineStr">
        <is>
          <t>ING-005</t>
        </is>
      </c>
      <c r="P43" s="33">
        <f>IF(tblRecipe[[#This Row],[کد ماده]]="","",IFERROR(INDEX(tblIngredients[نام ماده],MATCH(tblRecipe[[#This Row],[کد ماده]],tblIngredients[کد ماده],0)),"کد نامعتبر"))</f>
        <v/>
      </c>
      <c r="Q43" s="33">
        <f>IF(tblRecipe[[#This Row],[کد ماده]]="","",IFERROR(INDEX(tblIngredients[واحد],MATCH(tblRecipe[[#This Row],[کد ماده]],tblIngredients[کد ماده],0)),""))</f>
        <v/>
      </c>
      <c r="R43" s="45" t="n">
        <v>20</v>
      </c>
      <c r="S43" s="74">
        <f>IF(tblRecipe[[#This Row],[کد ماده]]="","",IFERROR(INDEX(tblIngredients[بهای میانگین],MATCH(tblRecipe[[#This Row],[کد ماده]],tblIngredients[کد ماده],0)),0))</f>
        <v/>
      </c>
      <c r="T43" s="34">
        <f>IF(tblRecipe[[#This Row],[کد ماده]]="","",tblRecipe[[#This Row],[مقدار استاندارد]]*tblRecipe[[#This Row],[بهای واحد ماده]])</f>
        <v/>
      </c>
      <c r="U4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3" s="69">
        <f>IF(tblRecipe[[#This Row],[کد ماده]]="","",tblRecipe[[#This Row],[مقدار استاندارد]]*tblRecipe[[#This Row],[فروش کل]])</f>
        <v/>
      </c>
      <c r="W4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3" s="69">
        <f>IF(tblRecipe[[#This Row],[کد ماده]]="","",tblRecipe[[#This Row],[مقدار استاندارد]]*tblRecipe[[#This Row],[فروش بازه]])</f>
        <v/>
      </c>
      <c r="Y43" s="44" t="inlineStr">
        <is>
          <t>قابل ویرایش</t>
        </is>
      </c>
    </row>
    <row r="44">
      <c r="A44" s="44" t="inlineStr">
        <is>
          <t>FR-CHF</t>
        </is>
      </c>
      <c r="B44" s="44" t="inlineStr">
        <is>
          <t>چیز فرایز</t>
        </is>
      </c>
      <c r="C44" s="44" t="inlineStr">
        <is>
          <t>غذا</t>
        </is>
      </c>
      <c r="D44" s="68" t="n">
        <v>348</v>
      </c>
      <c r="E44" s="34">
        <f>IF(tblMenu[[#This Row],[کد محصول]]="","",SUMIFS(tblRecipe[هزینه خط],tblRecipe[کد محصول],tblMenu[[#This Row],[کد محصول]]))</f>
        <v/>
      </c>
      <c r="F44" s="34">
        <f>IF(tblMenu[[#This Row],[کد محصول]]="","",tblMenu[[#This Row],[قیمت فروش]]-tblMenu[[#This Row],[هزینه استاندارد]])</f>
        <v/>
      </c>
      <c r="G44" s="35">
        <f>IFERROR(tblMenu[[#This Row],[هزینه استاندارد]]/tblMenu[[#This Row],[قیمت فروش]],0)</f>
        <v/>
      </c>
      <c r="H44" s="44" t="inlineStr">
        <is>
          <t>بله</t>
        </is>
      </c>
      <c r="I44" s="44" t="inlineStr">
        <is>
          <t>آپشن درج‌شده زیر فرنچ فرایز</t>
        </is>
      </c>
      <c r="J44" s="33">
        <f>IF(tblMenu[[#This Row],[کد محصول]]="","",IF(COUNTIF(tblRecipe[کد محصول],tblMenu[[#This Row],[کد محصول]])=0,"بدون رسپی","کامل"))</f>
        <v/>
      </c>
      <c r="K44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4" s="44" t="inlineStr">
        <is>
          <t>HOT-CHO</t>
        </is>
      </c>
      <c r="N44" s="33">
        <f>IF(tblRecipe[[#This Row],[کد محصول]]="","",IFERROR(INDEX(tblMenu[نام محصول],MATCH(tblRecipe[[#This Row],[کد محصول]],tblMenu[کد محصول],0)),"کد نامعتبر"))</f>
        <v/>
      </c>
      <c r="O44" s="44" t="inlineStr">
        <is>
          <t>ING-002</t>
        </is>
      </c>
      <c r="P44" s="33">
        <f>IF(tblRecipe[[#This Row],[کد ماده]]="","",IFERROR(INDEX(tblIngredients[نام ماده],MATCH(tblRecipe[[#This Row],[کد ماده]],tblIngredients[کد ماده],0)),"کد نامعتبر"))</f>
        <v/>
      </c>
      <c r="Q44" s="33">
        <f>IF(tblRecipe[[#This Row],[کد ماده]]="","",IFERROR(INDEX(tblIngredients[واحد],MATCH(tblRecipe[[#This Row],[کد ماده]],tblIngredients[کد ماده],0)),""))</f>
        <v/>
      </c>
      <c r="R44" s="45" t="n">
        <v>180</v>
      </c>
      <c r="S44" s="74">
        <f>IF(tblRecipe[[#This Row],[کد ماده]]="","",IFERROR(INDEX(tblIngredients[بهای میانگین],MATCH(tblRecipe[[#This Row],[کد ماده]],tblIngredients[کد ماده],0)),0))</f>
        <v/>
      </c>
      <c r="T44" s="34">
        <f>IF(tblRecipe[[#This Row],[کد ماده]]="","",tblRecipe[[#This Row],[مقدار استاندارد]]*tblRecipe[[#This Row],[بهای واحد ماده]])</f>
        <v/>
      </c>
      <c r="U4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4" s="69">
        <f>IF(tblRecipe[[#This Row],[کد ماده]]="","",tblRecipe[[#This Row],[مقدار استاندارد]]*tblRecipe[[#This Row],[فروش کل]])</f>
        <v/>
      </c>
      <c r="W4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4" s="69">
        <f>IF(tblRecipe[[#This Row],[کد ماده]]="","",tblRecipe[[#This Row],[مقدار استاندارد]]*tblRecipe[[#This Row],[فروش بازه]])</f>
        <v/>
      </c>
      <c r="Y44" s="44" t="inlineStr">
        <is>
          <t>قابل ویرایش</t>
        </is>
      </c>
    </row>
    <row r="45">
      <c r="A45" s="44" t="inlineStr">
        <is>
          <t>SAL-CAE</t>
        </is>
      </c>
      <c r="B45" s="44" t="inlineStr">
        <is>
          <t>سالاد سزار</t>
        </is>
      </c>
      <c r="C45" s="44" t="inlineStr">
        <is>
          <t>غذا</t>
        </is>
      </c>
      <c r="D45" s="68" t="n">
        <v>518</v>
      </c>
      <c r="E45" s="34">
        <f>IF(tblMenu[[#This Row],[کد محصول]]="","",SUMIFS(tblRecipe[هزینه خط],tblRecipe[کد محصول],tblMenu[[#This Row],[کد محصول]]))</f>
        <v/>
      </c>
      <c r="F45" s="34">
        <f>IF(tblMenu[[#This Row],[کد محصول]]="","",tblMenu[[#This Row],[قیمت فروش]]-tblMenu[[#This Row],[هزینه استاندارد]])</f>
        <v/>
      </c>
      <c r="G45" s="35">
        <f>IFERROR(tblMenu[[#This Row],[هزینه استاندارد]]/tblMenu[[#This Row],[قیمت فروش]],0)</f>
        <v/>
      </c>
      <c r="H45" s="44" t="inlineStr">
        <is>
          <t>بله</t>
        </is>
      </c>
      <c r="I45" s="44" t="inlineStr">
        <is>
          <t>با سس دست‌ساز</t>
        </is>
      </c>
      <c r="J45" s="33">
        <f>IF(tblMenu[[#This Row],[کد محصول]]="","",IF(COUNTIF(tblRecipe[کد محصول],tblMenu[[#This Row],[کد محصول]])=0,"بدون رسپی","کامل"))</f>
        <v/>
      </c>
      <c r="K45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5" s="44" t="inlineStr">
        <is>
          <t>HOT-CHO</t>
        </is>
      </c>
      <c r="N45" s="33">
        <f>IF(tblRecipe[[#This Row],[کد محصول]]="","",IFERROR(INDEX(tblMenu[نام محصول],MATCH(tblRecipe[[#This Row],[کد محصول]],tblMenu[کد محصول],0)),"کد نامعتبر"))</f>
        <v/>
      </c>
      <c r="O45" s="44" t="inlineStr">
        <is>
          <t>ING-029</t>
        </is>
      </c>
      <c r="P45" s="33">
        <f>IF(tblRecipe[[#This Row],[کد ماده]]="","",IFERROR(INDEX(tblIngredients[نام ماده],MATCH(tblRecipe[[#This Row],[کد ماده]],tblIngredients[کد ماده],0)),"کد نامعتبر"))</f>
        <v/>
      </c>
      <c r="Q45" s="33">
        <f>IF(tblRecipe[[#This Row],[کد ماده]]="","",IFERROR(INDEX(tblIngredients[واحد],MATCH(tblRecipe[[#This Row],[کد ماده]],tblIngredients[کد ماده],0)),""))</f>
        <v/>
      </c>
      <c r="R45" s="45" t="n">
        <v>1</v>
      </c>
      <c r="S45" s="74">
        <f>IF(tblRecipe[[#This Row],[کد ماده]]="","",IFERROR(INDEX(tblIngredients[بهای میانگین],MATCH(tblRecipe[[#This Row],[کد ماده]],tblIngredients[کد ماده],0)),0))</f>
        <v/>
      </c>
      <c r="T45" s="34">
        <f>IF(tblRecipe[[#This Row],[کد ماده]]="","",tblRecipe[[#This Row],[مقدار استاندارد]]*tblRecipe[[#This Row],[بهای واحد ماده]])</f>
        <v/>
      </c>
      <c r="U4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5" s="69">
        <f>IF(tblRecipe[[#This Row],[کد ماده]]="","",tblRecipe[[#This Row],[مقدار استاندارد]]*tblRecipe[[#This Row],[فروش کل]])</f>
        <v/>
      </c>
      <c r="W4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5" s="69">
        <f>IF(tblRecipe[[#This Row],[کد ماده]]="","",tblRecipe[[#This Row],[مقدار استاندارد]]*tblRecipe[[#This Row],[فروش بازه]])</f>
        <v/>
      </c>
      <c r="Y45" s="44" t="inlineStr">
        <is>
          <t>قابل ویرایش</t>
        </is>
      </c>
    </row>
    <row r="46">
      <c r="A46" s="44" t="inlineStr">
        <is>
          <t>PAS-DLR</t>
        </is>
      </c>
      <c r="B46" s="44" t="inlineStr">
        <is>
          <t>پاستا دلر</t>
        </is>
      </c>
      <c r="C46" s="44" t="inlineStr">
        <is>
          <t>غذا</t>
        </is>
      </c>
      <c r="D46" s="68" t="n">
        <v>558</v>
      </c>
      <c r="E46" s="34">
        <f>IF(tblMenu[[#This Row],[کد محصول]]="","",SUMIFS(tblRecipe[هزینه خط],tblRecipe[کد محصول],tblMenu[[#This Row],[کد محصول]]))</f>
        <v/>
      </c>
      <c r="F46" s="34">
        <f>IF(tblMenu[[#This Row],[کد محصول]]="","",tblMenu[[#This Row],[قیمت فروش]]-tblMenu[[#This Row],[هزینه استاندارد]])</f>
        <v/>
      </c>
      <c r="G46" s="35">
        <f>IFERROR(tblMenu[[#This Row],[هزینه استاندارد]]/tblMenu[[#This Row],[قیمت فروش]],0)</f>
        <v/>
      </c>
      <c r="H46" s="44" t="inlineStr">
        <is>
          <t>بله</t>
        </is>
      </c>
      <c r="I46" s="44" t="inlineStr">
        <is>
          <t>سبز دلربا؛ عطر تازگی؛ پستو و مرغ</t>
        </is>
      </c>
      <c r="J46" s="33">
        <f>IF(tblMenu[[#This Row],[کد محصول]]="","",IF(COUNTIF(tblRecipe[کد محصول],tblMenu[[#This Row],[کد محصول]])=0,"بدون رسپی","کامل"))</f>
        <v/>
      </c>
      <c r="K46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6" s="44" t="inlineStr">
        <is>
          <t>HOT-WCH</t>
        </is>
      </c>
      <c r="N46" s="33">
        <f>IF(tblRecipe[[#This Row],[کد محصول]]="","",IFERROR(INDEX(tblMenu[نام محصول],MATCH(tblRecipe[[#This Row],[کد محصول]],tblMenu[کد محصول],0)),"کد نامعتبر"))</f>
        <v/>
      </c>
      <c r="O46" s="44" t="inlineStr">
        <is>
          <t>ING-012</t>
        </is>
      </c>
      <c r="P46" s="33">
        <f>IF(tblRecipe[[#This Row],[کد ماده]]="","",IFERROR(INDEX(tblIngredients[نام ماده],MATCH(tblRecipe[[#This Row],[کد ماده]],tblIngredients[کد ماده],0)),"کد نامعتبر"))</f>
        <v/>
      </c>
      <c r="Q46" s="33">
        <f>IF(tblRecipe[[#This Row],[کد ماده]]="","",IFERROR(INDEX(tblIngredients[واحد],MATCH(tblRecipe[[#This Row],[کد ماده]],tblIngredients[کد ماده],0)),""))</f>
        <v/>
      </c>
      <c r="R46" s="45" t="n">
        <v>35</v>
      </c>
      <c r="S46" s="74">
        <f>IF(tblRecipe[[#This Row],[کد ماده]]="","",IFERROR(INDEX(tblIngredients[بهای میانگین],MATCH(tblRecipe[[#This Row],[کد ماده]],tblIngredients[کد ماده],0)),0))</f>
        <v/>
      </c>
      <c r="T46" s="34">
        <f>IF(tblRecipe[[#This Row],[کد ماده]]="","",tblRecipe[[#This Row],[مقدار استاندارد]]*tblRecipe[[#This Row],[بهای واحد ماده]])</f>
        <v/>
      </c>
      <c r="U4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6" s="69">
        <f>IF(tblRecipe[[#This Row],[کد ماده]]="","",tblRecipe[[#This Row],[مقدار استاندارد]]*tblRecipe[[#This Row],[فروش کل]])</f>
        <v/>
      </c>
      <c r="W4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6" s="69">
        <f>IF(tblRecipe[[#This Row],[کد ماده]]="","",tblRecipe[[#This Row],[مقدار استاندارد]]*tblRecipe[[#This Row],[فروش بازه]])</f>
        <v/>
      </c>
      <c r="Y46" s="44" t="inlineStr">
        <is>
          <t>قابل ویرایش</t>
        </is>
      </c>
    </row>
    <row r="47">
      <c r="A47" s="44" t="inlineStr">
        <is>
          <t>PAS-RIH</t>
        </is>
      </c>
      <c r="B47" s="44" t="inlineStr">
        <is>
          <t>پاستا ریحا</t>
        </is>
      </c>
      <c r="C47" s="44" t="inlineStr">
        <is>
          <t>غذا</t>
        </is>
      </c>
      <c r="D47" s="68" t="n">
        <v>748</v>
      </c>
      <c r="E47" s="34">
        <f>IF(tblMenu[[#This Row],[کد محصول]]="","",SUMIFS(tblRecipe[هزینه خط],tblRecipe[کد محصول],tblMenu[[#This Row],[کد محصول]]))</f>
        <v/>
      </c>
      <c r="F47" s="34">
        <f>IF(tblMenu[[#This Row],[کد محصول]]="","",tblMenu[[#This Row],[قیمت فروش]]-tblMenu[[#This Row],[هزینه استاندارد]])</f>
        <v/>
      </c>
      <c r="G47" s="35">
        <f>IFERROR(tblMenu[[#This Row],[هزینه استاندارد]]/tblMenu[[#This Row],[قیمت فروش]],0)</f>
        <v/>
      </c>
      <c r="H47" s="44" t="inlineStr">
        <is>
          <t>بله</t>
        </is>
      </c>
      <c r="I47" s="44" t="inlineStr">
        <is>
          <t>میکس آلفردو و پستو با مرغ</t>
        </is>
      </c>
      <c r="J47" s="33">
        <f>IF(tblMenu[[#This Row],[کد محصول]]="","",IF(COUNTIF(tblRecipe[کد محصول],tblMenu[[#This Row],[کد محصول]])=0,"بدون رسپی","کامل"))</f>
        <v/>
      </c>
      <c r="K47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7" s="44" t="inlineStr">
        <is>
          <t>HOT-WCH</t>
        </is>
      </c>
      <c r="N47" s="33">
        <f>IF(tblRecipe[[#This Row],[کد محصول]]="","",IFERROR(INDEX(tblMenu[نام محصول],MATCH(tblRecipe[[#This Row],[کد محصول]],tblMenu[کد محصول],0)),"کد نامعتبر"))</f>
        <v/>
      </c>
      <c r="O47" s="44" t="inlineStr">
        <is>
          <t>ING-002</t>
        </is>
      </c>
      <c r="P47" s="33">
        <f>IF(tblRecipe[[#This Row],[کد ماده]]="","",IFERROR(INDEX(tblIngredients[نام ماده],MATCH(tblRecipe[[#This Row],[کد ماده]],tblIngredients[کد ماده],0)),"کد نامعتبر"))</f>
        <v/>
      </c>
      <c r="Q47" s="33">
        <f>IF(tblRecipe[[#This Row],[کد ماده]]="","",IFERROR(INDEX(tblIngredients[واحد],MATCH(tblRecipe[[#This Row],[کد ماده]],tblIngredients[کد ماده],0)),""))</f>
        <v/>
      </c>
      <c r="R47" s="45" t="n">
        <v>150</v>
      </c>
      <c r="S47" s="74">
        <f>IF(tblRecipe[[#This Row],[کد ماده]]="","",IFERROR(INDEX(tblIngredients[بهای میانگین],MATCH(tblRecipe[[#This Row],[کد ماده]],tblIngredients[کد ماده],0)),0))</f>
        <v/>
      </c>
      <c r="T47" s="34">
        <f>IF(tblRecipe[[#This Row],[کد ماده]]="","",tblRecipe[[#This Row],[مقدار استاندارد]]*tblRecipe[[#This Row],[بهای واحد ماده]])</f>
        <v/>
      </c>
      <c r="U4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7" s="69">
        <f>IF(tblRecipe[[#This Row],[کد ماده]]="","",tblRecipe[[#This Row],[مقدار استاندارد]]*tblRecipe[[#This Row],[فروش کل]])</f>
        <v/>
      </c>
      <c r="W4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7" s="69">
        <f>IF(tblRecipe[[#This Row],[کد ماده]]="","",tblRecipe[[#This Row],[مقدار استاندارد]]*tblRecipe[[#This Row],[فروش بازه]])</f>
        <v/>
      </c>
      <c r="Y47" s="44" t="inlineStr">
        <is>
          <t>قابل ویرایش</t>
        </is>
      </c>
    </row>
    <row r="48">
      <c r="A48" s="44" t="inlineStr">
        <is>
          <t>PAS-HEM</t>
        </is>
      </c>
      <c r="B48" s="44" t="inlineStr">
        <is>
          <t>پاستا همون همیشگی</t>
        </is>
      </c>
      <c r="C48" s="44" t="inlineStr">
        <is>
          <t>غذا</t>
        </is>
      </c>
      <c r="D48" s="68" t="n">
        <v>678</v>
      </c>
      <c r="E48" s="34">
        <f>IF(tblMenu[[#This Row],[کد محصول]]="","",SUMIFS(tblRecipe[هزینه خط],tblRecipe[کد محصول],tblMenu[[#This Row],[کد محصول]]))</f>
        <v/>
      </c>
      <c r="F48" s="34">
        <f>IF(tblMenu[[#This Row],[کد محصول]]="","",tblMenu[[#This Row],[قیمت فروش]]-tblMenu[[#This Row],[هزینه استاندارد]])</f>
        <v/>
      </c>
      <c r="G48" s="35">
        <f>IFERROR(tblMenu[[#This Row],[هزینه استاندارد]]/tblMenu[[#This Row],[قیمت فروش]],0)</f>
        <v/>
      </c>
      <c r="H48" s="44" t="inlineStr">
        <is>
          <t>بله</t>
        </is>
      </c>
      <c r="I48" s="44" t="inlineStr">
        <is>
          <t>مرغ، قارچ، خامه</t>
        </is>
      </c>
      <c r="J48" s="33">
        <f>IF(tblMenu[[#This Row],[کد محصول]]="","",IF(COUNTIF(tblRecipe[کد محصول],tblMenu[[#This Row],[کد محصول]])=0,"بدون رسپی","کامل"))</f>
        <v/>
      </c>
      <c r="K48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8" s="44" t="inlineStr">
        <is>
          <t>HOT-WCH</t>
        </is>
      </c>
      <c r="N48" s="33">
        <f>IF(tblRecipe[[#This Row],[کد محصول]]="","",IFERROR(INDEX(tblMenu[نام محصول],MATCH(tblRecipe[[#This Row],[کد محصول]],tblMenu[کد محصول],0)),"کد نامعتبر"))</f>
        <v/>
      </c>
      <c r="O48" s="44" t="inlineStr">
        <is>
          <t>ING-029</t>
        </is>
      </c>
      <c r="P48" s="33">
        <f>IF(tblRecipe[[#This Row],[کد ماده]]="","",IFERROR(INDEX(tblIngredients[نام ماده],MATCH(tblRecipe[[#This Row],[کد ماده]],tblIngredients[کد ماده],0)),"کد نامعتبر"))</f>
        <v/>
      </c>
      <c r="Q48" s="33">
        <f>IF(tblRecipe[[#This Row],[کد ماده]]="","",IFERROR(INDEX(tblIngredients[واحد],MATCH(tblRecipe[[#This Row],[کد ماده]],tblIngredients[کد ماده],0)),""))</f>
        <v/>
      </c>
      <c r="R48" s="45" t="n">
        <v>1</v>
      </c>
      <c r="S48" s="74">
        <f>IF(tblRecipe[[#This Row],[کد ماده]]="","",IFERROR(INDEX(tblIngredients[بهای میانگین],MATCH(tblRecipe[[#This Row],[کد ماده]],tblIngredients[کد ماده],0)),0))</f>
        <v/>
      </c>
      <c r="T48" s="34">
        <f>IF(tblRecipe[[#This Row],[کد ماده]]="","",tblRecipe[[#This Row],[مقدار استاندارد]]*tblRecipe[[#This Row],[بهای واحد ماده]])</f>
        <v/>
      </c>
      <c r="U4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8" s="69">
        <f>IF(tblRecipe[[#This Row],[کد ماده]]="","",tblRecipe[[#This Row],[مقدار استاندارد]]*tblRecipe[[#This Row],[فروش کل]])</f>
        <v/>
      </c>
      <c r="W4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8" s="69">
        <f>IF(tblRecipe[[#This Row],[کد ماده]]="","",tblRecipe[[#This Row],[مقدار استاندارد]]*tblRecipe[[#This Row],[فروش بازه]])</f>
        <v/>
      </c>
      <c r="Y48" s="44" t="inlineStr">
        <is>
          <t>قابل ویرایش</t>
        </is>
      </c>
    </row>
    <row r="49">
      <c r="M49" s="44" t="inlineStr">
        <is>
          <t>HOT-MAT</t>
        </is>
      </c>
      <c r="N49" s="33">
        <f>IF(tblRecipe[[#This Row],[کد محصول]]="","",IFERROR(INDEX(tblMenu[نام محصول],MATCH(tblRecipe[[#This Row],[کد محصول]],tblMenu[کد محصول],0)),"کد نامعتبر"))</f>
        <v/>
      </c>
      <c r="O49" s="44" t="inlineStr">
        <is>
          <t>ING-011</t>
        </is>
      </c>
      <c r="P49" s="33">
        <f>IF(tblRecipe[[#This Row],[کد ماده]]="","",IFERROR(INDEX(tblIngredients[نام ماده],MATCH(tblRecipe[[#This Row],[کد ماده]],tblIngredients[کد ماده],0)),"کد نامعتبر"))</f>
        <v/>
      </c>
      <c r="Q49" s="33">
        <f>IF(tblRecipe[[#This Row],[کد ماده]]="","",IFERROR(INDEX(tblIngredients[واحد],MATCH(tblRecipe[[#This Row],[کد ماده]],tblIngredients[کد ماده],0)),""))</f>
        <v/>
      </c>
      <c r="R49" s="45" t="n">
        <v>8</v>
      </c>
      <c r="S49" s="74">
        <f>IF(tblRecipe[[#This Row],[کد ماده]]="","",IFERROR(INDEX(tblIngredients[بهای میانگین],MATCH(tblRecipe[[#This Row],[کد ماده]],tblIngredients[کد ماده],0)),0))</f>
        <v/>
      </c>
      <c r="T49" s="34">
        <f>IF(tblRecipe[[#This Row],[کد ماده]]="","",tblRecipe[[#This Row],[مقدار استاندارد]]*tblRecipe[[#This Row],[بهای واحد ماده]])</f>
        <v/>
      </c>
      <c r="U4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9" s="69">
        <f>IF(tblRecipe[[#This Row],[کد ماده]]="","",tblRecipe[[#This Row],[مقدار استاندارد]]*tblRecipe[[#This Row],[فروش کل]])</f>
        <v/>
      </c>
      <c r="W4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9" s="69">
        <f>IF(tblRecipe[[#This Row],[کد ماده]]="","",tblRecipe[[#This Row],[مقدار استاندارد]]*tblRecipe[[#This Row],[فروش بازه]])</f>
        <v/>
      </c>
      <c r="Y49" s="44" t="inlineStr">
        <is>
          <t>قابل ویرایش</t>
        </is>
      </c>
    </row>
    <row r="50">
      <c r="M50" s="44" t="inlineStr">
        <is>
          <t>HOT-MAT</t>
        </is>
      </c>
      <c r="N50" s="33">
        <f>IF(tblRecipe[[#This Row],[کد محصول]]="","",IFERROR(INDEX(tblMenu[نام محصول],MATCH(tblRecipe[[#This Row],[کد محصول]],tblMenu[کد محصول],0)),"کد نامعتبر"))</f>
        <v/>
      </c>
      <c r="O50" s="44" t="inlineStr">
        <is>
          <t>ING-002</t>
        </is>
      </c>
      <c r="P50" s="33">
        <f>IF(tblRecipe[[#This Row],[کد ماده]]="","",IFERROR(INDEX(tblIngredients[نام ماده],MATCH(tblRecipe[[#This Row],[کد ماده]],tblIngredients[کد ماده],0)),"کد نامعتبر"))</f>
        <v/>
      </c>
      <c r="Q50" s="33">
        <f>IF(tblRecipe[[#This Row],[کد ماده]]="","",IFERROR(INDEX(tblIngredients[واحد],MATCH(tblRecipe[[#This Row],[کد ماده]],tblIngredients[کد ماده],0)),""))</f>
        <v/>
      </c>
      <c r="R50" s="45" t="n">
        <v>180</v>
      </c>
      <c r="S50" s="74">
        <f>IF(tblRecipe[[#This Row],[کد ماده]]="","",IFERROR(INDEX(tblIngredients[بهای میانگین],MATCH(tblRecipe[[#This Row],[کد ماده]],tblIngredients[کد ماده],0)),0))</f>
        <v/>
      </c>
      <c r="T50" s="34">
        <f>IF(tblRecipe[[#This Row],[کد ماده]]="","",tblRecipe[[#This Row],[مقدار استاندارد]]*tblRecipe[[#This Row],[بهای واحد ماده]])</f>
        <v/>
      </c>
      <c r="U5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0" s="69">
        <f>IF(tblRecipe[[#This Row],[کد ماده]]="","",tblRecipe[[#This Row],[مقدار استاندارد]]*tblRecipe[[#This Row],[فروش کل]])</f>
        <v/>
      </c>
      <c r="W5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0" s="69">
        <f>IF(tblRecipe[[#This Row],[کد ماده]]="","",tblRecipe[[#This Row],[مقدار استاندارد]]*tblRecipe[[#This Row],[فروش بازه]])</f>
        <v/>
      </c>
      <c r="Y50" s="44" t="inlineStr">
        <is>
          <t>قابل ویرایش</t>
        </is>
      </c>
    </row>
    <row r="51">
      <c r="M51" s="44" t="inlineStr">
        <is>
          <t>HOT-MAT</t>
        </is>
      </c>
      <c r="N51" s="33">
        <f>IF(tblRecipe[[#This Row],[کد محصول]]="","",IFERROR(INDEX(tblMenu[نام محصول],MATCH(tblRecipe[[#This Row],[کد محصول]],tblMenu[کد محصول],0)),"کد نامعتبر"))</f>
        <v/>
      </c>
      <c r="O51" s="44" t="inlineStr">
        <is>
          <t>ING-029</t>
        </is>
      </c>
      <c r="P51" s="33">
        <f>IF(tblRecipe[[#This Row],[کد ماده]]="","",IFERROR(INDEX(tblIngredients[نام ماده],MATCH(tblRecipe[[#This Row],[کد ماده]],tblIngredients[کد ماده],0)),"کد نامعتبر"))</f>
        <v/>
      </c>
      <c r="Q51" s="33">
        <f>IF(tblRecipe[[#This Row],[کد ماده]]="","",IFERROR(INDEX(tblIngredients[واحد],MATCH(tblRecipe[[#This Row],[کد ماده]],tblIngredients[کد ماده],0)),""))</f>
        <v/>
      </c>
      <c r="R51" s="45" t="n">
        <v>1</v>
      </c>
      <c r="S51" s="74">
        <f>IF(tblRecipe[[#This Row],[کد ماده]]="","",IFERROR(INDEX(tblIngredients[بهای میانگین],MATCH(tblRecipe[[#This Row],[کد ماده]],tblIngredients[کد ماده],0)),0))</f>
        <v/>
      </c>
      <c r="T51" s="34">
        <f>IF(tblRecipe[[#This Row],[کد ماده]]="","",tblRecipe[[#This Row],[مقدار استاندارد]]*tblRecipe[[#This Row],[بهای واحد ماده]])</f>
        <v/>
      </c>
      <c r="U5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1" s="69">
        <f>IF(tblRecipe[[#This Row],[کد ماده]]="","",tblRecipe[[#This Row],[مقدار استاندارد]]*tblRecipe[[#This Row],[فروش کل]])</f>
        <v/>
      </c>
      <c r="W5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1" s="69">
        <f>IF(tblRecipe[[#This Row],[کد ماده]]="","",tblRecipe[[#This Row],[مقدار استاندارد]]*tblRecipe[[#This Row],[فروش بازه]])</f>
        <v/>
      </c>
      <c r="Y51" s="44" t="inlineStr">
        <is>
          <t>قابل ویرایش</t>
        </is>
      </c>
    </row>
    <row r="52">
      <c r="M52" s="44" t="inlineStr">
        <is>
          <t>HOT-MLK</t>
        </is>
      </c>
      <c r="N52" s="33">
        <f>IF(tblRecipe[[#This Row],[کد محصول]]="","",IFERROR(INDEX(tblMenu[نام محصول],MATCH(tblRecipe[[#This Row],[کد محصول]],tblMenu[کد محصول],0)),"کد نامعتبر"))</f>
        <v/>
      </c>
      <c r="O52" s="44" t="inlineStr">
        <is>
          <t>ING-002</t>
        </is>
      </c>
      <c r="P52" s="33">
        <f>IF(tblRecipe[[#This Row],[کد ماده]]="","",IFERROR(INDEX(tblIngredients[نام ماده],MATCH(tblRecipe[[#This Row],[کد ماده]],tblIngredients[کد ماده],0)),"کد نامعتبر"))</f>
        <v/>
      </c>
      <c r="Q52" s="33">
        <f>IF(tblRecipe[[#This Row],[کد ماده]]="","",IFERROR(INDEX(tblIngredients[واحد],MATCH(tblRecipe[[#This Row],[کد ماده]],tblIngredients[کد ماده],0)),""))</f>
        <v/>
      </c>
      <c r="R52" s="45" t="n">
        <v>250</v>
      </c>
      <c r="S52" s="74">
        <f>IF(tblRecipe[[#This Row],[کد ماده]]="","",IFERROR(INDEX(tblIngredients[بهای میانگین],MATCH(tblRecipe[[#This Row],[کد ماده]],tblIngredients[کد ماده],0)),0))</f>
        <v/>
      </c>
      <c r="T52" s="34">
        <f>IF(tblRecipe[[#This Row],[کد ماده]]="","",tblRecipe[[#This Row],[مقدار استاندارد]]*tblRecipe[[#This Row],[بهای واحد ماده]])</f>
        <v/>
      </c>
      <c r="U5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2" s="69">
        <f>IF(tblRecipe[[#This Row],[کد ماده]]="","",tblRecipe[[#This Row],[مقدار استاندارد]]*tblRecipe[[#This Row],[فروش کل]])</f>
        <v/>
      </c>
      <c r="W5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2" s="69">
        <f>IF(tblRecipe[[#This Row],[کد ماده]]="","",tblRecipe[[#This Row],[مقدار استاندارد]]*tblRecipe[[#This Row],[فروش بازه]])</f>
        <v/>
      </c>
      <c r="Y52" s="44" t="inlineStr">
        <is>
          <t>قابل ویرایش</t>
        </is>
      </c>
    </row>
    <row r="53">
      <c r="M53" s="44" t="inlineStr">
        <is>
          <t>HOT-MLK</t>
        </is>
      </c>
      <c r="N53" s="33">
        <f>IF(tblRecipe[[#This Row],[کد محصول]]="","",IFERROR(INDEX(tblMenu[نام محصول],MATCH(tblRecipe[[#This Row],[کد محصول]],tblMenu[کد محصول],0)),"کد نامعتبر"))</f>
        <v/>
      </c>
      <c r="O53" s="44" t="inlineStr">
        <is>
          <t>ING-005</t>
        </is>
      </c>
      <c r="P53" s="33">
        <f>IF(tblRecipe[[#This Row],[کد ماده]]="","",IFERROR(INDEX(tblIngredients[نام ماده],MATCH(tblRecipe[[#This Row],[کد ماده]],tblIngredients[کد ماده],0)),"کد نامعتبر"))</f>
        <v/>
      </c>
      <c r="Q53" s="33">
        <f>IF(tblRecipe[[#This Row],[کد ماده]]="","",IFERROR(INDEX(tblIngredients[واحد],MATCH(tblRecipe[[#This Row],[کد ماده]],tblIngredients[کد ماده],0)),""))</f>
        <v/>
      </c>
      <c r="R53" s="45" t="n">
        <v>20</v>
      </c>
      <c r="S53" s="74">
        <f>IF(tblRecipe[[#This Row],[کد ماده]]="","",IFERROR(INDEX(tblIngredients[بهای میانگین],MATCH(tblRecipe[[#This Row],[کد ماده]],tblIngredients[کد ماده],0)),0))</f>
        <v/>
      </c>
      <c r="T53" s="34">
        <f>IF(tblRecipe[[#This Row],[کد ماده]]="","",tblRecipe[[#This Row],[مقدار استاندارد]]*tblRecipe[[#This Row],[بهای واحد ماده]])</f>
        <v/>
      </c>
      <c r="U5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3" s="69">
        <f>IF(tblRecipe[[#This Row],[کد ماده]]="","",tblRecipe[[#This Row],[مقدار استاندارد]]*tblRecipe[[#This Row],[فروش کل]])</f>
        <v/>
      </c>
      <c r="W5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3" s="69">
        <f>IF(tblRecipe[[#This Row],[کد ماده]]="","",tblRecipe[[#This Row],[مقدار استاندارد]]*tblRecipe[[#This Row],[فروش بازه]])</f>
        <v/>
      </c>
      <c r="Y53" s="44" t="inlineStr">
        <is>
          <t>قابل ویرایش</t>
        </is>
      </c>
    </row>
    <row r="54">
      <c r="M54" s="44" t="inlineStr">
        <is>
          <t>HOT-MLK</t>
        </is>
      </c>
      <c r="N54" s="33">
        <f>IF(tblRecipe[[#This Row],[کد محصول]]="","",IFERROR(INDEX(tblMenu[نام محصول],MATCH(tblRecipe[[#This Row],[کد محصول]],tblMenu[کد محصول],0)),"کد نامعتبر"))</f>
        <v/>
      </c>
      <c r="O54" s="44" t="inlineStr">
        <is>
          <t>ING-029</t>
        </is>
      </c>
      <c r="P54" s="33">
        <f>IF(tblRecipe[[#This Row],[کد ماده]]="","",IFERROR(INDEX(tblIngredients[نام ماده],MATCH(tblRecipe[[#This Row],[کد ماده]],tblIngredients[کد ماده],0)),"کد نامعتبر"))</f>
        <v/>
      </c>
      <c r="Q54" s="33">
        <f>IF(tblRecipe[[#This Row],[کد ماده]]="","",IFERROR(INDEX(tblIngredients[واحد],MATCH(tblRecipe[[#This Row],[کد ماده]],tblIngredients[کد ماده],0)),""))</f>
        <v/>
      </c>
      <c r="R54" s="45" t="n">
        <v>1</v>
      </c>
      <c r="S54" s="74">
        <f>IF(tblRecipe[[#This Row],[کد ماده]]="","",IFERROR(INDEX(tblIngredients[بهای میانگین],MATCH(tblRecipe[[#This Row],[کد ماده]],tblIngredients[کد ماده],0)),0))</f>
        <v/>
      </c>
      <c r="T54" s="34">
        <f>IF(tblRecipe[[#This Row],[کد ماده]]="","",tblRecipe[[#This Row],[مقدار استاندارد]]*tblRecipe[[#This Row],[بهای واحد ماده]])</f>
        <v/>
      </c>
      <c r="U5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4" s="69">
        <f>IF(tblRecipe[[#This Row],[کد ماده]]="","",tblRecipe[[#This Row],[مقدار استاندارد]]*tblRecipe[[#This Row],[فروش کل]])</f>
        <v/>
      </c>
      <c r="W5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4" s="69">
        <f>IF(tblRecipe[[#This Row],[کد ماده]]="","",tblRecipe[[#This Row],[مقدار استاندارد]]*tblRecipe[[#This Row],[فروش بازه]])</f>
        <v/>
      </c>
      <c r="Y54" s="44" t="inlineStr">
        <is>
          <t>قابل ویرایش</t>
        </is>
      </c>
    </row>
    <row r="55">
      <c r="M55" s="44" t="inlineStr">
        <is>
          <t>MS-VAN</t>
        </is>
      </c>
      <c r="N55" s="33">
        <f>IF(tblRecipe[[#This Row],[کد محصول]]="","",IFERROR(INDEX(tblMenu[نام محصول],MATCH(tblRecipe[[#This Row],[کد محصول]],tblMenu[کد محصول],0)),"کد نامعتبر"))</f>
        <v/>
      </c>
      <c r="O55" s="44" t="inlineStr">
        <is>
          <t>ING-012</t>
        </is>
      </c>
      <c r="P55" s="33">
        <f>IF(tblRecipe[[#This Row],[کد ماده]]="","",IFERROR(INDEX(tblIngredients[نام ماده],MATCH(tblRecipe[[#This Row],[کد ماده]],tblIngredients[کد ماده],0)),"کد نامعتبر"))</f>
        <v/>
      </c>
      <c r="Q55" s="33">
        <f>IF(tblRecipe[[#This Row],[کد ماده]]="","",IFERROR(INDEX(tblIngredients[واحد],MATCH(tblRecipe[[#This Row],[کد ماده]],tblIngredients[کد ماده],0)),""))</f>
        <v/>
      </c>
      <c r="R55" s="45" t="n">
        <v>180</v>
      </c>
      <c r="S55" s="74">
        <f>IF(tblRecipe[[#This Row],[کد ماده]]="","",IFERROR(INDEX(tblIngredients[بهای میانگین],MATCH(tblRecipe[[#This Row],[کد ماده]],tblIngredients[کد ماده],0)),0))</f>
        <v/>
      </c>
      <c r="T55" s="34">
        <f>IF(tblRecipe[[#This Row],[کد ماده]]="","",tblRecipe[[#This Row],[مقدار استاندارد]]*tblRecipe[[#This Row],[بهای واحد ماده]])</f>
        <v/>
      </c>
      <c r="U5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5" s="69">
        <f>IF(tblRecipe[[#This Row],[کد ماده]]="","",tblRecipe[[#This Row],[مقدار استاندارد]]*tblRecipe[[#This Row],[فروش کل]])</f>
        <v/>
      </c>
      <c r="W5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5" s="69">
        <f>IF(tblRecipe[[#This Row],[کد ماده]]="","",tblRecipe[[#This Row],[مقدار استاندارد]]*tblRecipe[[#This Row],[فروش بازه]])</f>
        <v/>
      </c>
      <c r="Y55" s="44" t="inlineStr">
        <is>
          <t>قابل ویرایش</t>
        </is>
      </c>
    </row>
    <row r="56">
      <c r="M56" s="44" t="inlineStr">
        <is>
          <t>MS-VAN</t>
        </is>
      </c>
      <c r="N56" s="33">
        <f>IF(tblRecipe[[#This Row],[کد محصول]]="","",IFERROR(INDEX(tblMenu[نام محصول],MATCH(tblRecipe[[#This Row],[کد محصول]],tblMenu[کد محصول],0)),"کد نامعتبر"))</f>
        <v/>
      </c>
      <c r="O56" s="44" t="inlineStr">
        <is>
          <t>ING-002</t>
        </is>
      </c>
      <c r="P56" s="33">
        <f>IF(tblRecipe[[#This Row],[کد ماده]]="","",IFERROR(INDEX(tblIngredients[نام ماده],MATCH(tblRecipe[[#This Row],[کد ماده]],tblIngredients[کد ماده],0)),"کد نامعتبر"))</f>
        <v/>
      </c>
      <c r="Q56" s="33">
        <f>IF(tblRecipe[[#This Row],[کد ماده]]="","",IFERROR(INDEX(tblIngredients[واحد],MATCH(tblRecipe[[#This Row],[کد ماده]],tblIngredients[کد ماده],0)),""))</f>
        <v/>
      </c>
      <c r="R56" s="45" t="n">
        <v>120</v>
      </c>
      <c r="S56" s="74">
        <f>IF(tblRecipe[[#This Row],[کد ماده]]="","",IFERROR(INDEX(tblIngredients[بهای میانگین],MATCH(tblRecipe[[#This Row],[کد ماده]],tblIngredients[کد ماده],0)),0))</f>
        <v/>
      </c>
      <c r="T56" s="34">
        <f>IF(tblRecipe[[#This Row],[کد ماده]]="","",tblRecipe[[#This Row],[مقدار استاندارد]]*tblRecipe[[#This Row],[بهای واحد ماده]])</f>
        <v/>
      </c>
      <c r="U5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6" s="69">
        <f>IF(tblRecipe[[#This Row],[کد ماده]]="","",tblRecipe[[#This Row],[مقدار استاندارد]]*tblRecipe[[#This Row],[فروش کل]])</f>
        <v/>
      </c>
      <c r="W5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6" s="69">
        <f>IF(tblRecipe[[#This Row],[کد ماده]]="","",tblRecipe[[#This Row],[مقدار استاندارد]]*tblRecipe[[#This Row],[فروش بازه]])</f>
        <v/>
      </c>
      <c r="Y56" s="44" t="inlineStr">
        <is>
          <t>قابل ویرایش</t>
        </is>
      </c>
    </row>
    <row r="57">
      <c r="M57" s="44" t="inlineStr">
        <is>
          <t>MS-VAN</t>
        </is>
      </c>
      <c r="N57" s="33">
        <f>IF(tblRecipe[[#This Row],[کد محصول]]="","",IFERROR(INDEX(tblMenu[نام محصول],MATCH(tblRecipe[[#This Row],[کد محصول]],tblMenu[کد محصول],0)),"کد نامعتبر"))</f>
        <v/>
      </c>
      <c r="O57" s="44" t="inlineStr">
        <is>
          <t>ING-029</t>
        </is>
      </c>
      <c r="P57" s="33">
        <f>IF(tblRecipe[[#This Row],[کد ماده]]="","",IFERROR(INDEX(tblIngredients[نام ماده],MATCH(tblRecipe[[#This Row],[کد ماده]],tblIngredients[کد ماده],0)),"کد نامعتبر"))</f>
        <v/>
      </c>
      <c r="Q57" s="33">
        <f>IF(tblRecipe[[#This Row],[کد ماده]]="","",IFERROR(INDEX(tblIngredients[واحد],MATCH(tblRecipe[[#This Row],[کد ماده]],tblIngredients[کد ماده],0)),""))</f>
        <v/>
      </c>
      <c r="R57" s="45" t="n">
        <v>1</v>
      </c>
      <c r="S57" s="74">
        <f>IF(tblRecipe[[#This Row],[کد ماده]]="","",IFERROR(INDEX(tblIngredients[بهای میانگین],MATCH(tblRecipe[[#This Row],[کد ماده]],tblIngredients[کد ماده],0)),0))</f>
        <v/>
      </c>
      <c r="T57" s="34">
        <f>IF(tblRecipe[[#This Row],[کد ماده]]="","",tblRecipe[[#This Row],[مقدار استاندارد]]*tblRecipe[[#This Row],[بهای واحد ماده]])</f>
        <v/>
      </c>
      <c r="U5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7" s="69">
        <f>IF(tblRecipe[[#This Row],[کد ماده]]="","",tblRecipe[[#This Row],[مقدار استاندارد]]*tblRecipe[[#This Row],[فروش کل]])</f>
        <v/>
      </c>
      <c r="W5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7" s="69">
        <f>IF(tblRecipe[[#This Row],[کد ماده]]="","",tblRecipe[[#This Row],[مقدار استاندارد]]*tblRecipe[[#This Row],[فروش بازه]])</f>
        <v/>
      </c>
      <c r="Y57" s="44" t="inlineStr">
        <is>
          <t>قابل ویرایش</t>
        </is>
      </c>
    </row>
    <row r="58">
      <c r="M58" s="44" t="inlineStr">
        <is>
          <t>MS-CHO</t>
        </is>
      </c>
      <c r="N58" s="33">
        <f>IF(tblRecipe[[#This Row],[کد محصول]]="","",IFERROR(INDEX(tblMenu[نام محصول],MATCH(tblRecipe[[#This Row],[کد محصول]],tblMenu[کد محصول],0)),"کد نامعتبر"))</f>
        <v/>
      </c>
      <c r="O58" s="44" t="inlineStr">
        <is>
          <t>ING-012</t>
        </is>
      </c>
      <c r="P58" s="33">
        <f>IF(tblRecipe[[#This Row],[کد ماده]]="","",IFERROR(INDEX(tblIngredients[نام ماده],MATCH(tblRecipe[[#This Row],[کد ماده]],tblIngredients[کد ماده],0)),"کد نامعتبر"))</f>
        <v/>
      </c>
      <c r="Q58" s="33">
        <f>IF(tblRecipe[[#This Row],[کد ماده]]="","",IFERROR(INDEX(tblIngredients[واحد],MATCH(tblRecipe[[#This Row],[کد ماده]],tblIngredients[کد ماده],0)),""))</f>
        <v/>
      </c>
      <c r="R58" s="45" t="n">
        <v>160</v>
      </c>
      <c r="S58" s="74">
        <f>IF(tblRecipe[[#This Row],[کد ماده]]="","",IFERROR(INDEX(tblIngredients[بهای میانگین],MATCH(tblRecipe[[#This Row],[کد ماده]],tblIngredients[کد ماده],0)),0))</f>
        <v/>
      </c>
      <c r="T58" s="34">
        <f>IF(tblRecipe[[#This Row],[کد ماده]]="","",tblRecipe[[#This Row],[مقدار استاندارد]]*tblRecipe[[#This Row],[بهای واحد ماده]])</f>
        <v/>
      </c>
      <c r="U5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8" s="69">
        <f>IF(tblRecipe[[#This Row],[کد ماده]]="","",tblRecipe[[#This Row],[مقدار استاندارد]]*tblRecipe[[#This Row],[فروش کل]])</f>
        <v/>
      </c>
      <c r="W5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8" s="69">
        <f>IF(tblRecipe[[#This Row],[کد ماده]]="","",tblRecipe[[#This Row],[مقدار استاندارد]]*tblRecipe[[#This Row],[فروش بازه]])</f>
        <v/>
      </c>
      <c r="Y58" s="44" t="inlineStr">
        <is>
          <t>قابل ویرایش</t>
        </is>
      </c>
    </row>
    <row r="59">
      <c r="M59" s="44" t="inlineStr">
        <is>
          <t>MS-CHO</t>
        </is>
      </c>
      <c r="N59" s="33">
        <f>IF(tblRecipe[[#This Row],[کد محصول]]="","",IFERROR(INDEX(tblMenu[نام محصول],MATCH(tblRecipe[[#This Row],[کد محصول]],tblMenu[کد محصول],0)),"کد نامعتبر"))</f>
        <v/>
      </c>
      <c r="O59" s="44" t="inlineStr">
        <is>
          <t>ING-002</t>
        </is>
      </c>
      <c r="P59" s="33">
        <f>IF(tblRecipe[[#This Row],[کد ماده]]="","",IFERROR(INDEX(tblIngredients[نام ماده],MATCH(tblRecipe[[#This Row],[کد ماده]],tblIngredients[کد ماده],0)),"کد نامعتبر"))</f>
        <v/>
      </c>
      <c r="Q59" s="33">
        <f>IF(tblRecipe[[#This Row],[کد ماده]]="","",IFERROR(INDEX(tblIngredients[واحد],MATCH(tblRecipe[[#This Row],[کد ماده]],tblIngredients[کد ماده],0)),""))</f>
        <v/>
      </c>
      <c r="R59" s="45" t="n">
        <v>120</v>
      </c>
      <c r="S59" s="74">
        <f>IF(tblRecipe[[#This Row],[کد ماده]]="","",IFERROR(INDEX(tblIngredients[بهای میانگین],MATCH(tblRecipe[[#This Row],[کد ماده]],tblIngredients[کد ماده],0)),0))</f>
        <v/>
      </c>
      <c r="T59" s="34">
        <f>IF(tblRecipe[[#This Row],[کد ماده]]="","",tblRecipe[[#This Row],[مقدار استاندارد]]*tblRecipe[[#This Row],[بهای واحد ماده]])</f>
        <v/>
      </c>
      <c r="U5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9" s="69">
        <f>IF(tblRecipe[[#This Row],[کد ماده]]="","",tblRecipe[[#This Row],[مقدار استاندارد]]*tblRecipe[[#This Row],[فروش کل]])</f>
        <v/>
      </c>
      <c r="W5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9" s="69">
        <f>IF(tblRecipe[[#This Row],[کد ماده]]="","",tblRecipe[[#This Row],[مقدار استاندارد]]*tblRecipe[[#This Row],[فروش بازه]])</f>
        <v/>
      </c>
      <c r="Y59" s="44" t="inlineStr">
        <is>
          <t>قابل ویرایش</t>
        </is>
      </c>
    </row>
    <row r="60">
      <c r="M60" s="44" t="inlineStr">
        <is>
          <t>MS-CHO</t>
        </is>
      </c>
      <c r="N60" s="33">
        <f>IF(tblRecipe[[#This Row],[کد محصول]]="","",IFERROR(INDEX(tblMenu[نام محصول],MATCH(tblRecipe[[#This Row],[کد محصول]],tblMenu[کد محصول],0)),"کد نامعتبر"))</f>
        <v/>
      </c>
      <c r="O60" s="44" t="inlineStr">
        <is>
          <t>ING-005</t>
        </is>
      </c>
      <c r="P60" s="33">
        <f>IF(tblRecipe[[#This Row],[کد ماده]]="","",IFERROR(INDEX(tblIngredients[نام ماده],MATCH(tblRecipe[[#This Row],[کد ماده]],tblIngredients[کد ماده],0)),"کد نامعتبر"))</f>
        <v/>
      </c>
      <c r="Q60" s="33">
        <f>IF(tblRecipe[[#This Row],[کد ماده]]="","",IFERROR(INDEX(tblIngredients[واحد],MATCH(tblRecipe[[#This Row],[کد ماده]],tblIngredients[کد ماده],0)),""))</f>
        <v/>
      </c>
      <c r="R60" s="45" t="n">
        <v>20</v>
      </c>
      <c r="S60" s="74">
        <f>IF(tblRecipe[[#This Row],[کد ماده]]="","",IFERROR(INDEX(tblIngredients[بهای میانگین],MATCH(tblRecipe[[#This Row],[کد ماده]],tblIngredients[کد ماده],0)),0))</f>
        <v/>
      </c>
      <c r="T60" s="34">
        <f>IF(tblRecipe[[#This Row],[کد ماده]]="","",tblRecipe[[#This Row],[مقدار استاندارد]]*tblRecipe[[#This Row],[بهای واحد ماده]])</f>
        <v/>
      </c>
      <c r="U6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0" s="69">
        <f>IF(tblRecipe[[#This Row],[کد ماده]]="","",tblRecipe[[#This Row],[مقدار استاندارد]]*tblRecipe[[#This Row],[فروش کل]])</f>
        <v/>
      </c>
      <c r="W6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0" s="69">
        <f>IF(tblRecipe[[#This Row],[کد ماده]]="","",tblRecipe[[#This Row],[مقدار استاندارد]]*tblRecipe[[#This Row],[فروش بازه]])</f>
        <v/>
      </c>
      <c r="Y60" s="44" t="inlineStr">
        <is>
          <t>قابل ویرایش</t>
        </is>
      </c>
    </row>
    <row r="61">
      <c r="M61" s="44" t="inlineStr">
        <is>
          <t>MS-CHO</t>
        </is>
      </c>
      <c r="N61" s="33">
        <f>IF(tblRecipe[[#This Row],[کد محصول]]="","",IFERROR(INDEX(tblMenu[نام محصول],MATCH(tblRecipe[[#This Row],[کد محصول]],tblMenu[کد محصول],0)),"کد نامعتبر"))</f>
        <v/>
      </c>
      <c r="O61" s="44" t="inlineStr">
        <is>
          <t>ING-029</t>
        </is>
      </c>
      <c r="P61" s="33">
        <f>IF(tblRecipe[[#This Row],[کد ماده]]="","",IFERROR(INDEX(tblIngredients[نام ماده],MATCH(tblRecipe[[#This Row],[کد ماده]],tblIngredients[کد ماده],0)),"کد نامعتبر"))</f>
        <v/>
      </c>
      <c r="Q61" s="33">
        <f>IF(tblRecipe[[#This Row],[کد ماده]]="","",IFERROR(INDEX(tblIngredients[واحد],MATCH(tblRecipe[[#This Row],[کد ماده]],tblIngredients[کد ماده],0)),""))</f>
        <v/>
      </c>
      <c r="R61" s="45" t="n">
        <v>1</v>
      </c>
      <c r="S61" s="74">
        <f>IF(tblRecipe[[#This Row],[کد ماده]]="","",IFERROR(INDEX(tblIngredients[بهای میانگین],MATCH(tblRecipe[[#This Row],[کد ماده]],tblIngredients[کد ماده],0)),0))</f>
        <v/>
      </c>
      <c r="T61" s="34">
        <f>IF(tblRecipe[[#This Row],[کد ماده]]="","",tblRecipe[[#This Row],[مقدار استاندارد]]*tblRecipe[[#This Row],[بهای واحد ماده]])</f>
        <v/>
      </c>
      <c r="U6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1" s="69">
        <f>IF(tblRecipe[[#This Row],[کد ماده]]="","",tblRecipe[[#This Row],[مقدار استاندارد]]*tblRecipe[[#This Row],[فروش کل]])</f>
        <v/>
      </c>
      <c r="W6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1" s="69">
        <f>IF(tblRecipe[[#This Row],[کد ماده]]="","",tblRecipe[[#This Row],[مقدار استاندارد]]*tblRecipe[[#This Row],[فروش بازه]])</f>
        <v/>
      </c>
      <c r="Y61" s="44" t="inlineStr">
        <is>
          <t>قابل ویرایش</t>
        </is>
      </c>
    </row>
    <row r="62">
      <c r="M62" s="44" t="inlineStr">
        <is>
          <t>MS-NUT</t>
        </is>
      </c>
      <c r="N62" s="33">
        <f>IF(tblRecipe[[#This Row],[کد محصول]]="","",IFERROR(INDEX(tblMenu[نام محصول],MATCH(tblRecipe[[#This Row],[کد محصول]],tblMenu[کد محصول],0)),"کد نامعتبر"))</f>
        <v/>
      </c>
      <c r="O62" s="44" t="inlineStr">
        <is>
          <t>ING-012</t>
        </is>
      </c>
      <c r="P62" s="33">
        <f>IF(tblRecipe[[#This Row],[کد ماده]]="","",IFERROR(INDEX(tblIngredients[نام ماده],MATCH(tblRecipe[[#This Row],[کد ماده]],tblIngredients[کد ماده],0)),"کد نامعتبر"))</f>
        <v/>
      </c>
      <c r="Q62" s="33">
        <f>IF(tblRecipe[[#This Row],[کد ماده]]="","",IFERROR(INDEX(tblIngredients[واحد],MATCH(tblRecipe[[#This Row],[کد ماده]],tblIngredients[کد ماده],0)),""))</f>
        <v/>
      </c>
      <c r="R62" s="45" t="n">
        <v>160</v>
      </c>
      <c r="S62" s="74">
        <f>IF(tblRecipe[[#This Row],[کد ماده]]="","",IFERROR(INDEX(tblIngredients[بهای میانگین],MATCH(tblRecipe[[#This Row],[کد ماده]],tblIngredients[کد ماده],0)),0))</f>
        <v/>
      </c>
      <c r="T62" s="34">
        <f>IF(tblRecipe[[#This Row],[کد ماده]]="","",tblRecipe[[#This Row],[مقدار استاندارد]]*tblRecipe[[#This Row],[بهای واحد ماده]])</f>
        <v/>
      </c>
      <c r="U6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2" s="69">
        <f>IF(tblRecipe[[#This Row],[کد ماده]]="","",tblRecipe[[#This Row],[مقدار استاندارد]]*tblRecipe[[#This Row],[فروش کل]])</f>
        <v/>
      </c>
      <c r="W6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2" s="69">
        <f>IF(tblRecipe[[#This Row],[کد ماده]]="","",tblRecipe[[#This Row],[مقدار استاندارد]]*tblRecipe[[#This Row],[فروش بازه]])</f>
        <v/>
      </c>
      <c r="Y62" s="44" t="inlineStr">
        <is>
          <t>قابل ویرایش</t>
        </is>
      </c>
    </row>
    <row r="63">
      <c r="M63" s="44" t="inlineStr">
        <is>
          <t>MS-NUT</t>
        </is>
      </c>
      <c r="N63" s="33">
        <f>IF(tblRecipe[[#This Row],[کد محصول]]="","",IFERROR(INDEX(tblMenu[نام محصول],MATCH(tblRecipe[[#This Row],[کد محصول]],tblMenu[کد محصول],0)),"کد نامعتبر"))</f>
        <v/>
      </c>
      <c r="O63" s="44" t="inlineStr">
        <is>
          <t>ING-002</t>
        </is>
      </c>
      <c r="P63" s="33">
        <f>IF(tblRecipe[[#This Row],[کد ماده]]="","",IFERROR(INDEX(tblIngredients[نام ماده],MATCH(tblRecipe[[#This Row],[کد ماده]],tblIngredients[کد ماده],0)),"کد نامعتبر"))</f>
        <v/>
      </c>
      <c r="Q63" s="33">
        <f>IF(tblRecipe[[#This Row],[کد ماده]]="","",IFERROR(INDEX(tblIngredients[واحد],MATCH(tblRecipe[[#This Row],[کد ماده]],tblIngredients[کد ماده],0)),""))</f>
        <v/>
      </c>
      <c r="R63" s="45" t="n">
        <v>120</v>
      </c>
      <c r="S63" s="74">
        <f>IF(tblRecipe[[#This Row],[کد ماده]]="","",IFERROR(INDEX(tblIngredients[بهای میانگین],MATCH(tblRecipe[[#This Row],[کد ماده]],tblIngredients[کد ماده],0)),0))</f>
        <v/>
      </c>
      <c r="T63" s="34">
        <f>IF(tblRecipe[[#This Row],[کد ماده]]="","",tblRecipe[[#This Row],[مقدار استاندارد]]*tblRecipe[[#This Row],[بهای واحد ماده]])</f>
        <v/>
      </c>
      <c r="U6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3" s="69">
        <f>IF(tblRecipe[[#This Row],[کد ماده]]="","",tblRecipe[[#This Row],[مقدار استاندارد]]*tblRecipe[[#This Row],[فروش کل]])</f>
        <v/>
      </c>
      <c r="W6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3" s="69">
        <f>IF(tblRecipe[[#This Row],[کد ماده]]="","",tblRecipe[[#This Row],[مقدار استاندارد]]*tblRecipe[[#This Row],[فروش بازه]])</f>
        <v/>
      </c>
      <c r="Y63" s="44" t="inlineStr">
        <is>
          <t>قابل ویرایش</t>
        </is>
      </c>
    </row>
    <row r="64">
      <c r="M64" s="44" t="inlineStr">
        <is>
          <t>MS-NUT</t>
        </is>
      </c>
      <c r="N64" s="33">
        <f>IF(tblRecipe[[#This Row],[کد محصول]]="","",IFERROR(INDEX(tblMenu[نام محصول],MATCH(tblRecipe[[#This Row],[کد محصول]],tblMenu[کد محصول],0)),"کد نامعتبر"))</f>
        <v/>
      </c>
      <c r="O64" s="44" t="inlineStr">
        <is>
          <t>ING-013</t>
        </is>
      </c>
      <c r="P64" s="33">
        <f>IF(tblRecipe[[#This Row],[کد ماده]]="","",IFERROR(INDEX(tblIngredients[نام ماده],MATCH(tblRecipe[[#This Row],[کد ماده]],tblIngredients[کد ماده],0)),"کد نامعتبر"))</f>
        <v/>
      </c>
      <c r="Q64" s="33">
        <f>IF(tblRecipe[[#This Row],[کد ماده]]="","",IFERROR(INDEX(tblIngredients[واحد],MATCH(tblRecipe[[#This Row],[کد ماده]],tblIngredients[کد ماده],0)),""))</f>
        <v/>
      </c>
      <c r="R64" s="45" t="n">
        <v>35</v>
      </c>
      <c r="S64" s="74">
        <f>IF(tblRecipe[[#This Row],[کد ماده]]="","",IFERROR(INDEX(tblIngredients[بهای میانگین],MATCH(tblRecipe[[#This Row],[کد ماده]],tblIngredients[کد ماده],0)),0))</f>
        <v/>
      </c>
      <c r="T64" s="34">
        <f>IF(tblRecipe[[#This Row],[کد ماده]]="","",tblRecipe[[#This Row],[مقدار استاندارد]]*tblRecipe[[#This Row],[بهای واحد ماده]])</f>
        <v/>
      </c>
      <c r="U6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4" s="69">
        <f>IF(tblRecipe[[#This Row],[کد ماده]]="","",tblRecipe[[#This Row],[مقدار استاندارد]]*tblRecipe[[#This Row],[فروش کل]])</f>
        <v/>
      </c>
      <c r="W6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4" s="69">
        <f>IF(tblRecipe[[#This Row],[کد ماده]]="","",tblRecipe[[#This Row],[مقدار استاندارد]]*tblRecipe[[#This Row],[فروش بازه]])</f>
        <v/>
      </c>
      <c r="Y64" s="44" t="inlineStr">
        <is>
          <t>قابل ویرایش</t>
        </is>
      </c>
    </row>
    <row r="65">
      <c r="M65" s="44" t="inlineStr">
        <is>
          <t>MS-NUT</t>
        </is>
      </c>
      <c r="N65" s="33">
        <f>IF(tblRecipe[[#This Row],[کد محصول]]="","",IFERROR(INDEX(tblMenu[نام محصول],MATCH(tblRecipe[[#This Row],[کد محصول]],tblMenu[کد محصول],0)),"کد نامعتبر"))</f>
        <v/>
      </c>
      <c r="O65" s="44" t="inlineStr">
        <is>
          <t>ING-029</t>
        </is>
      </c>
      <c r="P65" s="33">
        <f>IF(tblRecipe[[#This Row],[کد ماده]]="","",IFERROR(INDEX(tblIngredients[نام ماده],MATCH(tblRecipe[[#This Row],[کد ماده]],tblIngredients[کد ماده],0)),"کد نامعتبر"))</f>
        <v/>
      </c>
      <c r="Q65" s="33">
        <f>IF(tblRecipe[[#This Row],[کد ماده]]="","",IFERROR(INDEX(tblIngredients[واحد],MATCH(tblRecipe[[#This Row],[کد ماده]],tblIngredients[کد ماده],0)),""))</f>
        <v/>
      </c>
      <c r="R65" s="45" t="n">
        <v>1</v>
      </c>
      <c r="S65" s="74">
        <f>IF(tblRecipe[[#This Row],[کد ماده]]="","",IFERROR(INDEX(tblIngredients[بهای میانگین],MATCH(tblRecipe[[#This Row],[کد ماده]],tblIngredients[کد ماده],0)),0))</f>
        <v/>
      </c>
      <c r="T65" s="34">
        <f>IF(tblRecipe[[#This Row],[کد ماده]]="","",tblRecipe[[#This Row],[مقدار استاندارد]]*tblRecipe[[#This Row],[بهای واحد ماده]])</f>
        <v/>
      </c>
      <c r="U6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5" s="69">
        <f>IF(tblRecipe[[#This Row],[کد ماده]]="","",tblRecipe[[#This Row],[مقدار استاندارد]]*tblRecipe[[#This Row],[فروش کل]])</f>
        <v/>
      </c>
      <c r="W6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5" s="69">
        <f>IF(tblRecipe[[#This Row],[کد ماده]]="","",tblRecipe[[#This Row],[مقدار استاندارد]]*tblRecipe[[#This Row],[فروش بازه]])</f>
        <v/>
      </c>
      <c r="Y65" s="44" t="inlineStr">
        <is>
          <t>قابل ویرایش</t>
        </is>
      </c>
    </row>
    <row r="66">
      <c r="M66" s="44" t="inlineStr">
        <is>
          <t>MS-STR</t>
        </is>
      </c>
      <c r="N66" s="33">
        <f>IF(tblRecipe[[#This Row],[کد محصول]]="","",IFERROR(INDEX(tblMenu[نام محصول],MATCH(tblRecipe[[#This Row],[کد محصول]],tblMenu[کد محصول],0)),"کد نامعتبر"))</f>
        <v/>
      </c>
      <c r="O66" s="44" t="inlineStr">
        <is>
          <t>ING-012</t>
        </is>
      </c>
      <c r="P66" s="33">
        <f>IF(tblRecipe[[#This Row],[کد ماده]]="","",IFERROR(INDEX(tblIngredients[نام ماده],MATCH(tblRecipe[[#This Row],[کد ماده]],tblIngredients[کد ماده],0)),"کد نامعتبر"))</f>
        <v/>
      </c>
      <c r="Q66" s="33">
        <f>IF(tblRecipe[[#This Row],[کد ماده]]="","",IFERROR(INDEX(tblIngredients[واحد],MATCH(tblRecipe[[#This Row],[کد ماده]],tblIngredients[کد ماده],0)),""))</f>
        <v/>
      </c>
      <c r="R66" s="45" t="n">
        <v>160</v>
      </c>
      <c r="S66" s="74">
        <f>IF(tblRecipe[[#This Row],[کد ماده]]="","",IFERROR(INDEX(tblIngredients[بهای میانگین],MATCH(tblRecipe[[#This Row],[کد ماده]],tblIngredients[کد ماده],0)),0))</f>
        <v/>
      </c>
      <c r="T66" s="34">
        <f>IF(tblRecipe[[#This Row],[کد ماده]]="","",tblRecipe[[#This Row],[مقدار استاندارد]]*tblRecipe[[#This Row],[بهای واحد ماده]])</f>
        <v/>
      </c>
      <c r="U6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6" s="69">
        <f>IF(tblRecipe[[#This Row],[کد ماده]]="","",tblRecipe[[#This Row],[مقدار استاندارد]]*tblRecipe[[#This Row],[فروش کل]])</f>
        <v/>
      </c>
      <c r="W6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6" s="69">
        <f>IF(tblRecipe[[#This Row],[کد ماده]]="","",tblRecipe[[#This Row],[مقدار استاندارد]]*tblRecipe[[#This Row],[فروش بازه]])</f>
        <v/>
      </c>
      <c r="Y66" s="44" t="inlineStr">
        <is>
          <t>قابل ویرایش</t>
        </is>
      </c>
    </row>
    <row r="67">
      <c r="M67" s="44" t="inlineStr">
        <is>
          <t>MS-STR</t>
        </is>
      </c>
      <c r="N67" s="33">
        <f>IF(tblRecipe[[#This Row],[کد محصول]]="","",IFERROR(INDEX(tblMenu[نام محصول],MATCH(tblRecipe[[#This Row],[کد محصول]],tblMenu[کد محصول],0)),"کد نامعتبر"))</f>
        <v/>
      </c>
      <c r="O67" s="44" t="inlineStr">
        <is>
          <t>ING-002</t>
        </is>
      </c>
      <c r="P67" s="33">
        <f>IF(tblRecipe[[#This Row],[کد ماده]]="","",IFERROR(INDEX(tblIngredients[نام ماده],MATCH(tblRecipe[[#This Row],[کد ماده]],tblIngredients[کد ماده],0)),"کد نامعتبر"))</f>
        <v/>
      </c>
      <c r="Q67" s="33">
        <f>IF(tblRecipe[[#This Row],[کد ماده]]="","",IFERROR(INDEX(tblIngredients[واحد],MATCH(tblRecipe[[#This Row],[کد ماده]],tblIngredients[کد ماده],0)),""))</f>
        <v/>
      </c>
      <c r="R67" s="45" t="n">
        <v>120</v>
      </c>
      <c r="S67" s="74">
        <f>IF(tblRecipe[[#This Row],[کد ماده]]="","",IFERROR(INDEX(tblIngredients[بهای میانگین],MATCH(tblRecipe[[#This Row],[کد ماده]],tblIngredients[کد ماده],0)),0))</f>
        <v/>
      </c>
      <c r="T67" s="34">
        <f>IF(tblRecipe[[#This Row],[کد ماده]]="","",tblRecipe[[#This Row],[مقدار استاندارد]]*tblRecipe[[#This Row],[بهای واحد ماده]])</f>
        <v/>
      </c>
      <c r="U6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7" s="69">
        <f>IF(tblRecipe[[#This Row],[کد ماده]]="","",tblRecipe[[#This Row],[مقدار استاندارد]]*tblRecipe[[#This Row],[فروش کل]])</f>
        <v/>
      </c>
      <c r="W6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7" s="69">
        <f>IF(tblRecipe[[#This Row],[کد ماده]]="","",tblRecipe[[#This Row],[مقدار استاندارد]]*tblRecipe[[#This Row],[فروش بازه]])</f>
        <v/>
      </c>
      <c r="Y67" s="44" t="inlineStr">
        <is>
          <t>قابل ویرایش</t>
        </is>
      </c>
    </row>
    <row r="68">
      <c r="M68" s="44" t="inlineStr">
        <is>
          <t>MS-STR</t>
        </is>
      </c>
      <c r="N68" s="33">
        <f>IF(tblRecipe[[#This Row],[کد محصول]]="","",IFERROR(INDEX(tblMenu[نام محصول],MATCH(tblRecipe[[#This Row],[کد محصول]],tblMenu[کد محصول],0)),"کد نامعتبر"))</f>
        <v/>
      </c>
      <c r="O68" s="44" t="inlineStr">
        <is>
          <t>ING-014</t>
        </is>
      </c>
      <c r="P68" s="33">
        <f>IF(tblRecipe[[#This Row],[کد ماده]]="","",IFERROR(INDEX(tblIngredients[نام ماده],MATCH(tblRecipe[[#This Row],[کد ماده]],tblIngredients[کد ماده],0)),"کد نامعتبر"))</f>
        <v/>
      </c>
      <c r="Q68" s="33">
        <f>IF(tblRecipe[[#This Row],[کد ماده]]="","",IFERROR(INDEX(tblIngredients[واحد],MATCH(tblRecipe[[#This Row],[کد ماده]],tblIngredients[کد ماده],0)),""))</f>
        <v/>
      </c>
      <c r="R68" s="45" t="n">
        <v>50</v>
      </c>
      <c r="S68" s="74">
        <f>IF(tblRecipe[[#This Row],[کد ماده]]="","",IFERROR(INDEX(tblIngredients[بهای میانگین],MATCH(tblRecipe[[#This Row],[کد ماده]],tblIngredients[کد ماده],0)),0))</f>
        <v/>
      </c>
      <c r="T68" s="34">
        <f>IF(tblRecipe[[#This Row],[کد ماده]]="","",tblRecipe[[#This Row],[مقدار استاندارد]]*tblRecipe[[#This Row],[بهای واحد ماده]])</f>
        <v/>
      </c>
      <c r="U6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8" s="69">
        <f>IF(tblRecipe[[#This Row],[کد ماده]]="","",tblRecipe[[#This Row],[مقدار استاندارد]]*tblRecipe[[#This Row],[فروش کل]])</f>
        <v/>
      </c>
      <c r="W6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8" s="69">
        <f>IF(tblRecipe[[#This Row],[کد ماده]]="","",tblRecipe[[#This Row],[مقدار استاندارد]]*tblRecipe[[#This Row],[فروش بازه]])</f>
        <v/>
      </c>
      <c r="Y68" s="44" t="inlineStr">
        <is>
          <t>قابل ویرایش</t>
        </is>
      </c>
    </row>
    <row r="69">
      <c r="M69" s="44" t="inlineStr">
        <is>
          <t>MS-STR</t>
        </is>
      </c>
      <c r="N69" s="33">
        <f>IF(tblRecipe[[#This Row],[کد محصول]]="","",IFERROR(INDEX(tblMenu[نام محصول],MATCH(tblRecipe[[#This Row],[کد محصول]],tblMenu[کد محصول],0)),"کد نامعتبر"))</f>
        <v/>
      </c>
      <c r="O69" s="44" t="inlineStr">
        <is>
          <t>ING-029</t>
        </is>
      </c>
      <c r="P69" s="33">
        <f>IF(tblRecipe[[#This Row],[کد ماده]]="","",IFERROR(INDEX(tblIngredients[نام ماده],MATCH(tblRecipe[[#This Row],[کد ماده]],tblIngredients[کد ماده],0)),"کد نامعتبر"))</f>
        <v/>
      </c>
      <c r="Q69" s="33">
        <f>IF(tblRecipe[[#This Row],[کد ماده]]="","",IFERROR(INDEX(tblIngredients[واحد],MATCH(tblRecipe[[#This Row],[کد ماده]],tblIngredients[کد ماده],0)),""))</f>
        <v/>
      </c>
      <c r="R69" s="45" t="n">
        <v>1</v>
      </c>
      <c r="S69" s="74">
        <f>IF(tblRecipe[[#This Row],[کد ماده]]="","",IFERROR(INDEX(tblIngredients[بهای میانگین],MATCH(tblRecipe[[#This Row],[کد ماده]],tblIngredients[کد ماده],0)),0))</f>
        <v/>
      </c>
      <c r="T69" s="34">
        <f>IF(tblRecipe[[#This Row],[کد ماده]]="","",tblRecipe[[#This Row],[مقدار استاندارد]]*tblRecipe[[#This Row],[بهای واحد ماده]])</f>
        <v/>
      </c>
      <c r="U6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9" s="69">
        <f>IF(tblRecipe[[#This Row],[کد ماده]]="","",tblRecipe[[#This Row],[مقدار استاندارد]]*tblRecipe[[#This Row],[فروش کل]])</f>
        <v/>
      </c>
      <c r="W6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9" s="69">
        <f>IF(tblRecipe[[#This Row],[کد ماده]]="","",tblRecipe[[#This Row],[مقدار استاندارد]]*tblRecipe[[#This Row],[فروش بازه]])</f>
        <v/>
      </c>
      <c r="Y69" s="44" t="inlineStr">
        <is>
          <t>قابل ویرایش</t>
        </is>
      </c>
    </row>
    <row r="70">
      <c r="M70" s="44" t="inlineStr">
        <is>
          <t>MS-COF</t>
        </is>
      </c>
      <c r="N70" s="33">
        <f>IF(tblRecipe[[#This Row],[کد محصول]]="","",IFERROR(INDEX(tblMenu[نام محصول],MATCH(tblRecipe[[#This Row],[کد محصول]],tblMenu[کد محصول],0)),"کد نامعتبر"))</f>
        <v/>
      </c>
      <c r="O70" s="44" t="inlineStr">
        <is>
          <t>ING-012</t>
        </is>
      </c>
      <c r="P70" s="33">
        <f>IF(tblRecipe[[#This Row],[کد ماده]]="","",IFERROR(INDEX(tblIngredients[نام ماده],MATCH(tblRecipe[[#This Row],[کد ماده]],tblIngredients[کد ماده],0)),"کد نامعتبر"))</f>
        <v/>
      </c>
      <c r="Q70" s="33">
        <f>IF(tblRecipe[[#This Row],[کد ماده]]="","",IFERROR(INDEX(tblIngredients[واحد],MATCH(tblRecipe[[#This Row],[کد ماده]],tblIngredients[کد ماده],0)),""))</f>
        <v/>
      </c>
      <c r="R70" s="45" t="n">
        <v>160</v>
      </c>
      <c r="S70" s="74">
        <f>IF(tblRecipe[[#This Row],[کد ماده]]="","",IFERROR(INDEX(tblIngredients[بهای میانگین],MATCH(tblRecipe[[#This Row],[کد ماده]],tblIngredients[کد ماده],0)),0))</f>
        <v/>
      </c>
      <c r="T70" s="34">
        <f>IF(tblRecipe[[#This Row],[کد ماده]]="","",tblRecipe[[#This Row],[مقدار استاندارد]]*tblRecipe[[#This Row],[بهای واحد ماده]])</f>
        <v/>
      </c>
      <c r="U7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0" s="69">
        <f>IF(tblRecipe[[#This Row],[کد ماده]]="","",tblRecipe[[#This Row],[مقدار استاندارد]]*tblRecipe[[#This Row],[فروش کل]])</f>
        <v/>
      </c>
      <c r="W7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0" s="69">
        <f>IF(tblRecipe[[#This Row],[کد ماده]]="","",tblRecipe[[#This Row],[مقدار استاندارد]]*tblRecipe[[#This Row],[فروش بازه]])</f>
        <v/>
      </c>
      <c r="Y70" s="44" t="inlineStr">
        <is>
          <t>قابل ویرایش</t>
        </is>
      </c>
    </row>
    <row r="71">
      <c r="M71" s="44" t="inlineStr">
        <is>
          <t>MS-COF</t>
        </is>
      </c>
      <c r="N71" s="33">
        <f>IF(tblRecipe[[#This Row],[کد محصول]]="","",IFERROR(INDEX(tblMenu[نام محصول],MATCH(tblRecipe[[#This Row],[کد محصول]],tblMenu[کد محصول],0)),"کد نامعتبر"))</f>
        <v/>
      </c>
      <c r="O71" s="44" t="inlineStr">
        <is>
          <t>ING-001</t>
        </is>
      </c>
      <c r="P71" s="33">
        <f>IF(tblRecipe[[#This Row],[کد ماده]]="","",IFERROR(INDEX(tblIngredients[نام ماده],MATCH(tblRecipe[[#This Row],[کد ماده]],tblIngredients[کد ماده],0)),"کد نامعتبر"))</f>
        <v/>
      </c>
      <c r="Q71" s="33">
        <f>IF(tblRecipe[[#This Row],[کد ماده]]="","",IFERROR(INDEX(tblIngredients[واحد],MATCH(tblRecipe[[#This Row],[کد ماده]],tblIngredients[کد ماده],0)),""))</f>
        <v/>
      </c>
      <c r="R71" s="45" t="n">
        <v>12</v>
      </c>
      <c r="S71" s="74">
        <f>IF(tblRecipe[[#This Row],[کد ماده]]="","",IFERROR(INDEX(tblIngredients[بهای میانگین],MATCH(tblRecipe[[#This Row],[کد ماده]],tblIngredients[کد ماده],0)),0))</f>
        <v/>
      </c>
      <c r="T71" s="34">
        <f>IF(tblRecipe[[#This Row],[کد ماده]]="","",tblRecipe[[#This Row],[مقدار استاندارد]]*tblRecipe[[#This Row],[بهای واحد ماده]])</f>
        <v/>
      </c>
      <c r="U7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1" s="69">
        <f>IF(tblRecipe[[#This Row],[کد ماده]]="","",tblRecipe[[#This Row],[مقدار استاندارد]]*tblRecipe[[#This Row],[فروش کل]])</f>
        <v/>
      </c>
      <c r="W7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1" s="69">
        <f>IF(tblRecipe[[#This Row],[کد ماده]]="","",tblRecipe[[#This Row],[مقدار استاندارد]]*tblRecipe[[#This Row],[فروش بازه]])</f>
        <v/>
      </c>
      <c r="Y71" s="44" t="inlineStr">
        <is>
          <t>قابل ویرایش</t>
        </is>
      </c>
    </row>
    <row r="72">
      <c r="M72" s="44" t="inlineStr">
        <is>
          <t>MS-COF</t>
        </is>
      </c>
      <c r="N72" s="33">
        <f>IF(tblRecipe[[#This Row],[کد محصول]]="","",IFERROR(INDEX(tblMenu[نام محصول],MATCH(tblRecipe[[#This Row],[کد محصول]],tblMenu[کد محصول],0)),"کد نامعتبر"))</f>
        <v/>
      </c>
      <c r="O72" s="44" t="inlineStr">
        <is>
          <t>ING-029</t>
        </is>
      </c>
      <c r="P72" s="33">
        <f>IF(tblRecipe[[#This Row],[کد ماده]]="","",IFERROR(INDEX(tblIngredients[نام ماده],MATCH(tblRecipe[[#This Row],[کد ماده]],tblIngredients[کد ماده],0)),"کد نامعتبر"))</f>
        <v/>
      </c>
      <c r="Q72" s="33">
        <f>IF(tblRecipe[[#This Row],[کد ماده]]="","",IFERROR(INDEX(tblIngredients[واحد],MATCH(tblRecipe[[#This Row],[کد ماده]],tblIngredients[کد ماده],0)),""))</f>
        <v/>
      </c>
      <c r="R72" s="45" t="n">
        <v>1</v>
      </c>
      <c r="S72" s="74">
        <f>IF(tblRecipe[[#This Row],[کد ماده]]="","",IFERROR(INDEX(tblIngredients[بهای میانگین],MATCH(tblRecipe[[#This Row],[کد ماده]],tblIngredients[کد ماده],0)),0))</f>
        <v/>
      </c>
      <c r="T72" s="34">
        <f>IF(tblRecipe[[#This Row],[کد ماده]]="","",tblRecipe[[#This Row],[مقدار استاندارد]]*tblRecipe[[#This Row],[بهای واحد ماده]])</f>
        <v/>
      </c>
      <c r="U7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2" s="69">
        <f>IF(tblRecipe[[#This Row],[کد ماده]]="","",tblRecipe[[#This Row],[مقدار استاندارد]]*tblRecipe[[#This Row],[فروش کل]])</f>
        <v/>
      </c>
      <c r="W7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2" s="69">
        <f>IF(tblRecipe[[#This Row],[کد ماده]]="","",tblRecipe[[#This Row],[مقدار استاندارد]]*tblRecipe[[#This Row],[فروش بازه]])</f>
        <v/>
      </c>
      <c r="Y72" s="44" t="inlineStr">
        <is>
          <t>قابل ویرایش</t>
        </is>
      </c>
    </row>
    <row r="73">
      <c r="M73" s="44" t="inlineStr">
        <is>
          <t>MS-PNT</t>
        </is>
      </c>
      <c r="N73" s="33">
        <f>IF(tblRecipe[[#This Row],[کد محصول]]="","",IFERROR(INDEX(tblMenu[نام محصول],MATCH(tblRecipe[[#This Row],[کد محصول]],tblMenu[کد محصول],0)),"کد نامعتبر"))</f>
        <v/>
      </c>
      <c r="O73" s="44" t="inlineStr">
        <is>
          <t>ING-012</t>
        </is>
      </c>
      <c r="P73" s="33">
        <f>IF(tblRecipe[[#This Row],[کد ماده]]="","",IFERROR(INDEX(tblIngredients[نام ماده],MATCH(tblRecipe[[#This Row],[کد ماده]],tblIngredients[کد ماده],0)),"کد نامعتبر"))</f>
        <v/>
      </c>
      <c r="Q73" s="33">
        <f>IF(tblRecipe[[#This Row],[کد ماده]]="","",IFERROR(INDEX(tblIngredients[واحد],MATCH(tblRecipe[[#This Row],[کد ماده]],tblIngredients[کد ماده],0)),""))</f>
        <v/>
      </c>
      <c r="R73" s="45" t="n">
        <v>160</v>
      </c>
      <c r="S73" s="74">
        <f>IF(tblRecipe[[#This Row],[کد ماده]]="","",IFERROR(INDEX(tblIngredients[بهای میانگین],MATCH(tblRecipe[[#This Row],[کد ماده]],tblIngredients[کد ماده],0)),0))</f>
        <v/>
      </c>
      <c r="T73" s="34">
        <f>IF(tblRecipe[[#This Row],[کد ماده]]="","",tblRecipe[[#This Row],[مقدار استاندارد]]*tblRecipe[[#This Row],[بهای واحد ماده]])</f>
        <v/>
      </c>
      <c r="U7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3" s="69">
        <f>IF(tblRecipe[[#This Row],[کد ماده]]="","",tblRecipe[[#This Row],[مقدار استاندارد]]*tblRecipe[[#This Row],[فروش کل]])</f>
        <v/>
      </c>
      <c r="W7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3" s="69">
        <f>IF(tblRecipe[[#This Row],[کد ماده]]="","",tblRecipe[[#This Row],[مقدار استاندارد]]*tblRecipe[[#This Row],[فروش بازه]])</f>
        <v/>
      </c>
      <c r="Y73" s="44" t="inlineStr">
        <is>
          <t>قابل ویرایش</t>
        </is>
      </c>
    </row>
    <row r="74">
      <c r="M74" s="44" t="inlineStr">
        <is>
          <t>MS-PNT</t>
        </is>
      </c>
      <c r="N74" s="33">
        <f>IF(tblRecipe[[#This Row],[کد محصول]]="","",IFERROR(INDEX(tblMenu[نام محصول],MATCH(tblRecipe[[#This Row],[کد محصول]],tblMenu[کد محصول],0)),"کد نامعتبر"))</f>
        <v/>
      </c>
      <c r="O74" s="44" t="inlineStr">
        <is>
          <t>ING-015</t>
        </is>
      </c>
      <c r="P74" s="33">
        <f>IF(tblRecipe[[#This Row],[کد ماده]]="","",IFERROR(INDEX(tblIngredients[نام ماده],MATCH(tblRecipe[[#This Row],[کد ماده]],tblIngredients[کد ماده],0)),"کد نامعتبر"))</f>
        <v/>
      </c>
      <c r="Q74" s="33">
        <f>IF(tblRecipe[[#This Row],[کد ماده]]="","",IFERROR(INDEX(tblIngredients[واحد],MATCH(tblRecipe[[#This Row],[کد ماده]],tblIngredients[کد ماده],0)),""))</f>
        <v/>
      </c>
      <c r="R74" s="45" t="n">
        <v>90</v>
      </c>
      <c r="S74" s="74">
        <f>IF(tblRecipe[[#This Row],[کد ماده]]="","",IFERROR(INDEX(tblIngredients[بهای میانگین],MATCH(tblRecipe[[#This Row],[کد ماده]],tblIngredients[کد ماده],0)),0))</f>
        <v/>
      </c>
      <c r="T74" s="34">
        <f>IF(tblRecipe[[#This Row],[کد ماده]]="","",tblRecipe[[#This Row],[مقدار استاندارد]]*tblRecipe[[#This Row],[بهای واحد ماده]])</f>
        <v/>
      </c>
      <c r="U7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4" s="69">
        <f>IF(tblRecipe[[#This Row],[کد ماده]]="","",tblRecipe[[#This Row],[مقدار استاندارد]]*tblRecipe[[#This Row],[فروش کل]])</f>
        <v/>
      </c>
      <c r="W7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4" s="69">
        <f>IF(tblRecipe[[#This Row],[کد ماده]]="","",tblRecipe[[#This Row],[مقدار استاندارد]]*tblRecipe[[#This Row],[فروش بازه]])</f>
        <v/>
      </c>
      <c r="Y74" s="44" t="inlineStr">
        <is>
          <t>قابل ویرایش</t>
        </is>
      </c>
    </row>
    <row r="75">
      <c r="M75" s="44" t="inlineStr">
        <is>
          <t>MS-PNT</t>
        </is>
      </c>
      <c r="N75" s="33">
        <f>IF(tblRecipe[[#This Row],[کد محصول]]="","",IFERROR(INDEX(tblMenu[نام محصول],MATCH(tblRecipe[[#This Row],[کد محصول]],tblMenu[کد محصول],0)),"کد نامعتبر"))</f>
        <v/>
      </c>
      <c r="O75" s="44" t="inlineStr">
        <is>
          <t>ING-016</t>
        </is>
      </c>
      <c r="P75" s="33">
        <f>IF(tblRecipe[[#This Row],[کد ماده]]="","",IFERROR(INDEX(tblIngredients[نام ماده],MATCH(tblRecipe[[#This Row],[کد ماده]],tblIngredients[کد ماده],0)),"کد نامعتبر"))</f>
        <v/>
      </c>
      <c r="Q75" s="33">
        <f>IF(tblRecipe[[#This Row],[کد ماده]]="","",IFERROR(INDEX(tblIngredients[واحد],MATCH(tblRecipe[[#This Row],[کد ماده]],tblIngredients[کد ماده],0)),""))</f>
        <v/>
      </c>
      <c r="R75" s="45" t="n">
        <v>25</v>
      </c>
      <c r="S75" s="74">
        <f>IF(tblRecipe[[#This Row],[کد ماده]]="","",IFERROR(INDEX(tblIngredients[بهای میانگین],MATCH(tblRecipe[[#This Row],[کد ماده]],tblIngredients[کد ماده],0)),0))</f>
        <v/>
      </c>
      <c r="T75" s="34">
        <f>IF(tblRecipe[[#This Row],[کد ماده]]="","",tblRecipe[[#This Row],[مقدار استاندارد]]*tblRecipe[[#This Row],[بهای واحد ماده]])</f>
        <v/>
      </c>
      <c r="U7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5" s="69">
        <f>IF(tblRecipe[[#This Row],[کد ماده]]="","",tblRecipe[[#This Row],[مقدار استاندارد]]*tblRecipe[[#This Row],[فروش کل]])</f>
        <v/>
      </c>
      <c r="W7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5" s="69">
        <f>IF(tblRecipe[[#This Row],[کد ماده]]="","",tblRecipe[[#This Row],[مقدار استاندارد]]*tblRecipe[[#This Row],[فروش بازه]])</f>
        <v/>
      </c>
      <c r="Y75" s="44" t="inlineStr">
        <is>
          <t>قابل ویرایش</t>
        </is>
      </c>
    </row>
    <row r="76">
      <c r="M76" s="44" t="inlineStr">
        <is>
          <t>MS-PNT</t>
        </is>
      </c>
      <c r="N76" s="33">
        <f>IF(tblRecipe[[#This Row],[کد محصول]]="","",IFERROR(INDEX(tblMenu[نام محصول],MATCH(tblRecipe[[#This Row],[کد محصول]],tblMenu[کد محصول],0)),"کد نامعتبر"))</f>
        <v/>
      </c>
      <c r="O76" s="44" t="inlineStr">
        <is>
          <t>ING-029</t>
        </is>
      </c>
      <c r="P76" s="33">
        <f>IF(tblRecipe[[#This Row],[کد ماده]]="","",IFERROR(INDEX(tblIngredients[نام ماده],MATCH(tblRecipe[[#This Row],[کد ماده]],tblIngredients[کد ماده],0)),"کد نامعتبر"))</f>
        <v/>
      </c>
      <c r="Q76" s="33">
        <f>IF(tblRecipe[[#This Row],[کد ماده]]="","",IFERROR(INDEX(tblIngredients[واحد],MATCH(tblRecipe[[#This Row],[کد ماده]],tblIngredients[کد ماده],0)),""))</f>
        <v/>
      </c>
      <c r="R76" s="45" t="n">
        <v>1</v>
      </c>
      <c r="S76" s="74">
        <f>IF(tblRecipe[[#This Row],[کد ماده]]="","",IFERROR(INDEX(tblIngredients[بهای میانگین],MATCH(tblRecipe[[#This Row],[کد ماده]],tblIngredients[کد ماده],0)),0))</f>
        <v/>
      </c>
      <c r="T76" s="34">
        <f>IF(tblRecipe[[#This Row],[کد ماده]]="","",tblRecipe[[#This Row],[مقدار استاندارد]]*tblRecipe[[#This Row],[بهای واحد ماده]])</f>
        <v/>
      </c>
      <c r="U7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6" s="69">
        <f>IF(tblRecipe[[#This Row],[کد ماده]]="","",tblRecipe[[#This Row],[مقدار استاندارد]]*tblRecipe[[#This Row],[فروش کل]])</f>
        <v/>
      </c>
      <c r="W7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6" s="69">
        <f>IF(tblRecipe[[#This Row],[کد ماده]]="","",tblRecipe[[#This Row],[مقدار استاندارد]]*tblRecipe[[#This Row],[فروش بازه]])</f>
        <v/>
      </c>
      <c r="Y76" s="44" t="inlineStr">
        <is>
          <t>قابل ویرایش</t>
        </is>
      </c>
    </row>
    <row r="77">
      <c r="M77" s="44" t="inlineStr">
        <is>
          <t>MOC-RIH</t>
        </is>
      </c>
      <c r="N77" s="33">
        <f>IF(tblRecipe[[#This Row],[کد محصول]]="","",IFERROR(INDEX(tblMenu[نام محصول],MATCH(tblRecipe[[#This Row],[کد محصول]],tblMenu[کد محصول],0)),"کد نامعتبر"))</f>
        <v/>
      </c>
      <c r="O77" s="44" t="inlineStr">
        <is>
          <t>ING-014</t>
        </is>
      </c>
      <c r="P77" s="33">
        <f>IF(tblRecipe[[#This Row],[کد ماده]]="","",IFERROR(INDEX(tblIngredients[نام ماده],MATCH(tblRecipe[[#This Row],[کد ماده]],tblIngredients[کد ماده],0)),"کد نامعتبر"))</f>
        <v/>
      </c>
      <c r="Q77" s="33">
        <f>IF(tblRecipe[[#This Row],[کد ماده]]="","",IFERROR(INDEX(tblIngredients[واحد],MATCH(tblRecipe[[#This Row],[کد ماده]],tblIngredients[کد ماده],0)),""))</f>
        <v/>
      </c>
      <c r="R77" s="45" t="n">
        <v>45</v>
      </c>
      <c r="S77" s="74">
        <f>IF(tblRecipe[[#This Row],[کد ماده]]="","",IFERROR(INDEX(tblIngredients[بهای میانگین],MATCH(tblRecipe[[#This Row],[کد ماده]],tblIngredients[کد ماده],0)),0))</f>
        <v/>
      </c>
      <c r="T77" s="34">
        <f>IF(tblRecipe[[#This Row],[کد ماده]]="","",tblRecipe[[#This Row],[مقدار استاندارد]]*tblRecipe[[#This Row],[بهای واحد ماده]])</f>
        <v/>
      </c>
      <c r="U7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7" s="69">
        <f>IF(tblRecipe[[#This Row],[کد ماده]]="","",tblRecipe[[#This Row],[مقدار استاندارد]]*tblRecipe[[#This Row],[فروش کل]])</f>
        <v/>
      </c>
      <c r="W7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7" s="69">
        <f>IF(tblRecipe[[#This Row],[کد ماده]]="","",tblRecipe[[#This Row],[مقدار استاندارد]]*tblRecipe[[#This Row],[فروش بازه]])</f>
        <v/>
      </c>
      <c r="Y77" s="44" t="inlineStr">
        <is>
          <t>قابل ویرایش</t>
        </is>
      </c>
    </row>
    <row r="78">
      <c r="M78" s="44" t="inlineStr">
        <is>
          <t>MOC-RIH</t>
        </is>
      </c>
      <c r="N78" s="33">
        <f>IF(tblRecipe[[#This Row],[کد محصول]]="","",IFERROR(INDEX(tblMenu[نام محصول],MATCH(tblRecipe[[#This Row],[کد محصول]],tblMenu[کد محصول],0)),"کد نامعتبر"))</f>
        <v/>
      </c>
      <c r="O78" s="44" t="inlineStr">
        <is>
          <t>ING-017</t>
        </is>
      </c>
      <c r="P78" s="33">
        <f>IF(tblRecipe[[#This Row],[کد ماده]]="","",IFERROR(INDEX(tblIngredients[نام ماده],MATCH(tblRecipe[[#This Row],[کد ماده]],tblIngredients[کد ماده],0)),"کد نامعتبر"))</f>
        <v/>
      </c>
      <c r="Q78" s="33">
        <f>IF(tblRecipe[[#This Row],[کد ماده]]="","",IFERROR(INDEX(tblIngredients[واحد],MATCH(tblRecipe[[#This Row],[کد ماده]],tblIngredients[کد ماده],0)),""))</f>
        <v/>
      </c>
      <c r="R78" s="45" t="n">
        <v>25</v>
      </c>
      <c r="S78" s="74">
        <f>IF(tblRecipe[[#This Row],[کد ماده]]="","",IFERROR(INDEX(tblIngredients[بهای میانگین],MATCH(tblRecipe[[#This Row],[کد ماده]],tblIngredients[کد ماده],0)),0))</f>
        <v/>
      </c>
      <c r="T78" s="34">
        <f>IF(tblRecipe[[#This Row],[کد ماده]]="","",tblRecipe[[#This Row],[مقدار استاندارد]]*tblRecipe[[#This Row],[بهای واحد ماده]])</f>
        <v/>
      </c>
      <c r="U7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8" s="69">
        <f>IF(tblRecipe[[#This Row],[کد ماده]]="","",tblRecipe[[#This Row],[مقدار استاندارد]]*tblRecipe[[#This Row],[فروش کل]])</f>
        <v/>
      </c>
      <c r="W7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8" s="69">
        <f>IF(tblRecipe[[#This Row],[کد ماده]]="","",tblRecipe[[#This Row],[مقدار استاندارد]]*tblRecipe[[#This Row],[فروش بازه]])</f>
        <v/>
      </c>
      <c r="Y78" s="44" t="inlineStr">
        <is>
          <t>قابل ویرایش</t>
        </is>
      </c>
    </row>
    <row r="79">
      <c r="M79" s="44" t="inlineStr">
        <is>
          <t>MOC-RIH</t>
        </is>
      </c>
      <c r="N79" s="33">
        <f>IF(tblRecipe[[#This Row],[کد محصول]]="","",IFERROR(INDEX(tblMenu[نام محصول],MATCH(tblRecipe[[#This Row],[کد محصول]],tblMenu[کد محصول],0)),"کد نامعتبر"))</f>
        <v/>
      </c>
      <c r="O79" s="44" t="inlineStr">
        <is>
          <t>ING-006</t>
        </is>
      </c>
      <c r="P79" s="33">
        <f>IF(tblRecipe[[#This Row],[کد ماده]]="","",IFERROR(INDEX(tblIngredients[نام ماده],MATCH(tblRecipe[[#This Row],[کد ماده]],tblIngredients[کد ماده],0)),"کد نامعتبر"))</f>
        <v/>
      </c>
      <c r="Q79" s="33">
        <f>IF(tblRecipe[[#This Row],[کد ماده]]="","",IFERROR(INDEX(tblIngredients[واحد],MATCH(tblRecipe[[#This Row],[کد ماده]],tblIngredients[کد ماده],0)),""))</f>
        <v/>
      </c>
      <c r="R79" s="45" t="n">
        <v>180</v>
      </c>
      <c r="S79" s="74">
        <f>IF(tblRecipe[[#This Row],[کد ماده]]="","",IFERROR(INDEX(tblIngredients[بهای میانگین],MATCH(tblRecipe[[#This Row],[کد ماده]],tblIngredients[کد ماده],0)),0))</f>
        <v/>
      </c>
      <c r="T79" s="34">
        <f>IF(tblRecipe[[#This Row],[کد ماده]]="","",tblRecipe[[#This Row],[مقدار استاندارد]]*tblRecipe[[#This Row],[بهای واحد ماده]])</f>
        <v/>
      </c>
      <c r="U7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9" s="69">
        <f>IF(tblRecipe[[#This Row],[کد ماده]]="","",tblRecipe[[#This Row],[مقدار استاندارد]]*tblRecipe[[#This Row],[فروش کل]])</f>
        <v/>
      </c>
      <c r="W7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9" s="69">
        <f>IF(tblRecipe[[#This Row],[کد ماده]]="","",tblRecipe[[#This Row],[مقدار استاندارد]]*tblRecipe[[#This Row],[فروش بازه]])</f>
        <v/>
      </c>
      <c r="Y79" s="44" t="inlineStr">
        <is>
          <t>قابل ویرایش</t>
        </is>
      </c>
    </row>
    <row r="80">
      <c r="M80" s="44" t="inlineStr">
        <is>
          <t>MOC-RIH</t>
        </is>
      </c>
      <c r="N80" s="33">
        <f>IF(tblRecipe[[#This Row],[کد محصول]]="","",IFERROR(INDEX(tblMenu[نام محصول],MATCH(tblRecipe[[#This Row],[کد محصول]],tblMenu[کد محصول],0)),"کد نامعتبر"))</f>
        <v/>
      </c>
      <c r="O80" s="44" t="inlineStr">
        <is>
          <t>ING-029</t>
        </is>
      </c>
      <c r="P80" s="33">
        <f>IF(tblRecipe[[#This Row],[کد ماده]]="","",IFERROR(INDEX(tblIngredients[نام ماده],MATCH(tblRecipe[[#This Row],[کد ماده]],tblIngredients[کد ماده],0)),"کد نامعتبر"))</f>
        <v/>
      </c>
      <c r="Q80" s="33">
        <f>IF(tblRecipe[[#This Row],[کد ماده]]="","",IFERROR(INDEX(tblIngredients[واحد],MATCH(tblRecipe[[#This Row],[کد ماده]],tblIngredients[کد ماده],0)),""))</f>
        <v/>
      </c>
      <c r="R80" s="45" t="n">
        <v>1</v>
      </c>
      <c r="S80" s="74">
        <f>IF(tblRecipe[[#This Row],[کد ماده]]="","",IFERROR(INDEX(tblIngredients[بهای میانگین],MATCH(tblRecipe[[#This Row],[کد ماده]],tblIngredients[کد ماده],0)),0))</f>
        <v/>
      </c>
      <c r="T80" s="34">
        <f>IF(tblRecipe[[#This Row],[کد ماده]]="","",tblRecipe[[#This Row],[مقدار استاندارد]]*tblRecipe[[#This Row],[بهای واحد ماده]])</f>
        <v/>
      </c>
      <c r="U8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0" s="69">
        <f>IF(tblRecipe[[#This Row],[کد ماده]]="","",tblRecipe[[#This Row],[مقدار استاندارد]]*tblRecipe[[#This Row],[فروش کل]])</f>
        <v/>
      </c>
      <c r="W8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0" s="69">
        <f>IF(tblRecipe[[#This Row],[کد ماده]]="","",tblRecipe[[#This Row],[مقدار استاندارد]]*tblRecipe[[#This Row],[فروش بازه]])</f>
        <v/>
      </c>
      <c r="Y80" s="44" t="inlineStr">
        <is>
          <t>قابل ویرایش</t>
        </is>
      </c>
    </row>
    <row r="81">
      <c r="M81" s="44" t="inlineStr">
        <is>
          <t>MOC-BLU</t>
        </is>
      </c>
      <c r="N81" s="33">
        <f>IF(tblRecipe[[#This Row],[کد محصول]]="","",IFERROR(INDEX(tblMenu[نام محصول],MATCH(tblRecipe[[#This Row],[کد محصول]],tblMenu[کد محصول],0)),"کد نامعتبر"))</f>
        <v/>
      </c>
      <c r="O81" s="44" t="inlineStr">
        <is>
          <t>ING-018</t>
        </is>
      </c>
      <c r="P81" s="33">
        <f>IF(tblRecipe[[#This Row],[کد ماده]]="","",IFERROR(INDEX(tblIngredients[نام ماده],MATCH(tblRecipe[[#This Row],[کد ماده]],tblIngredients[کد ماده],0)),"کد نامعتبر"))</f>
        <v/>
      </c>
      <c r="Q81" s="33">
        <f>IF(tblRecipe[[#This Row],[کد ماده]]="","",IFERROR(INDEX(tblIngredients[واحد],MATCH(tblRecipe[[#This Row],[کد ماده]],tblIngredients[کد ماده],0)),""))</f>
        <v/>
      </c>
      <c r="R81" s="45" t="n">
        <v>45</v>
      </c>
      <c r="S81" s="74">
        <f>IF(tblRecipe[[#This Row],[کد ماده]]="","",IFERROR(INDEX(tblIngredients[بهای میانگین],MATCH(tblRecipe[[#This Row],[کد ماده]],tblIngredients[کد ماده],0)),0))</f>
        <v/>
      </c>
      <c r="T81" s="34">
        <f>IF(tblRecipe[[#This Row],[کد ماده]]="","",tblRecipe[[#This Row],[مقدار استاندارد]]*tblRecipe[[#This Row],[بهای واحد ماده]])</f>
        <v/>
      </c>
      <c r="U8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1" s="69">
        <f>IF(tblRecipe[[#This Row],[کد ماده]]="","",tblRecipe[[#This Row],[مقدار استاندارد]]*tblRecipe[[#This Row],[فروش کل]])</f>
        <v/>
      </c>
      <c r="W8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1" s="69">
        <f>IF(tblRecipe[[#This Row],[کد ماده]]="","",tblRecipe[[#This Row],[مقدار استاندارد]]*tblRecipe[[#This Row],[فروش بازه]])</f>
        <v/>
      </c>
      <c r="Y81" s="44" t="inlineStr">
        <is>
          <t>قابل ویرایش</t>
        </is>
      </c>
    </row>
    <row r="82">
      <c r="M82" s="44" t="inlineStr">
        <is>
          <t>MOC-BLU</t>
        </is>
      </c>
      <c r="N82" s="33">
        <f>IF(tblRecipe[[#This Row],[کد محصول]]="","",IFERROR(INDEX(tblMenu[نام محصول],MATCH(tblRecipe[[#This Row],[کد محصول]],tblMenu[کد محصول],0)),"کد نامعتبر"))</f>
        <v/>
      </c>
      <c r="O82" s="44" t="inlineStr">
        <is>
          <t>ING-006</t>
        </is>
      </c>
      <c r="P82" s="33">
        <f>IF(tblRecipe[[#This Row],[کد ماده]]="","",IFERROR(INDEX(tblIngredients[نام ماده],MATCH(tblRecipe[[#This Row],[کد ماده]],tblIngredients[کد ماده],0)),"کد نامعتبر"))</f>
        <v/>
      </c>
      <c r="Q82" s="33">
        <f>IF(tblRecipe[[#This Row],[کد ماده]]="","",IFERROR(INDEX(tblIngredients[واحد],MATCH(tblRecipe[[#This Row],[کد ماده]],tblIngredients[کد ماده],0)),""))</f>
        <v/>
      </c>
      <c r="R82" s="45" t="n">
        <v>180</v>
      </c>
      <c r="S82" s="74">
        <f>IF(tblRecipe[[#This Row],[کد ماده]]="","",IFERROR(INDEX(tblIngredients[بهای میانگین],MATCH(tblRecipe[[#This Row],[کد ماده]],tblIngredients[کد ماده],0)),0))</f>
        <v/>
      </c>
      <c r="T82" s="34">
        <f>IF(tblRecipe[[#This Row],[کد ماده]]="","",tblRecipe[[#This Row],[مقدار استاندارد]]*tblRecipe[[#This Row],[بهای واحد ماده]])</f>
        <v/>
      </c>
      <c r="U8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2" s="69">
        <f>IF(tblRecipe[[#This Row],[کد ماده]]="","",tblRecipe[[#This Row],[مقدار استاندارد]]*tblRecipe[[#This Row],[فروش کل]])</f>
        <v/>
      </c>
      <c r="W8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2" s="69">
        <f>IF(tblRecipe[[#This Row],[کد ماده]]="","",tblRecipe[[#This Row],[مقدار استاندارد]]*tblRecipe[[#This Row],[فروش بازه]])</f>
        <v/>
      </c>
      <c r="Y82" s="44" t="inlineStr">
        <is>
          <t>قابل ویرایش</t>
        </is>
      </c>
    </row>
    <row r="83">
      <c r="M83" s="44" t="inlineStr">
        <is>
          <t>MOC-BLU</t>
        </is>
      </c>
      <c r="N83" s="33">
        <f>IF(tblRecipe[[#This Row],[کد محصول]]="","",IFERROR(INDEX(tblMenu[نام محصول],MATCH(tblRecipe[[#This Row],[کد محصول]],tblMenu[کد محصول],0)),"کد نامعتبر"))</f>
        <v/>
      </c>
      <c r="O83" s="44" t="inlineStr">
        <is>
          <t>ING-029</t>
        </is>
      </c>
      <c r="P83" s="33">
        <f>IF(tblRecipe[[#This Row],[کد ماده]]="","",IFERROR(INDEX(tblIngredients[نام ماده],MATCH(tblRecipe[[#This Row],[کد ماده]],tblIngredients[کد ماده],0)),"کد نامعتبر"))</f>
        <v/>
      </c>
      <c r="Q83" s="33">
        <f>IF(tblRecipe[[#This Row],[کد ماده]]="","",IFERROR(INDEX(tblIngredients[واحد],MATCH(tblRecipe[[#This Row],[کد ماده]],tblIngredients[کد ماده],0)),""))</f>
        <v/>
      </c>
      <c r="R83" s="45" t="n">
        <v>1</v>
      </c>
      <c r="S83" s="74">
        <f>IF(tblRecipe[[#This Row],[کد ماده]]="","",IFERROR(INDEX(tblIngredients[بهای میانگین],MATCH(tblRecipe[[#This Row],[کد ماده]],tblIngredients[کد ماده],0)),0))</f>
        <v/>
      </c>
      <c r="T83" s="34">
        <f>IF(tblRecipe[[#This Row],[کد ماده]]="","",tblRecipe[[#This Row],[مقدار استاندارد]]*tblRecipe[[#This Row],[بهای واحد ماده]])</f>
        <v/>
      </c>
      <c r="U8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3" s="69">
        <f>IF(tblRecipe[[#This Row],[کد ماده]]="","",tblRecipe[[#This Row],[مقدار استاندارد]]*tblRecipe[[#This Row],[فروش کل]])</f>
        <v/>
      </c>
      <c r="W8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3" s="69">
        <f>IF(tblRecipe[[#This Row],[کد ماده]]="","",tblRecipe[[#This Row],[مقدار استاندارد]]*tblRecipe[[#This Row],[فروش بازه]])</f>
        <v/>
      </c>
      <c r="Y83" s="44" t="inlineStr">
        <is>
          <t>قابل ویرایش</t>
        </is>
      </c>
    </row>
    <row r="84">
      <c r="M84" s="44" t="inlineStr">
        <is>
          <t>MOC-SRI</t>
        </is>
      </c>
      <c r="N84" s="33">
        <f>IF(tblRecipe[[#This Row],[کد محصول]]="","",IFERROR(INDEX(tblMenu[نام محصول],MATCH(tblRecipe[[#This Row],[کد محصول]],tblMenu[کد محصول],0)),"کد نامعتبر"))</f>
        <v/>
      </c>
      <c r="O84" s="44" t="inlineStr">
        <is>
          <t>ING-014</t>
        </is>
      </c>
      <c r="P84" s="33">
        <f>IF(tblRecipe[[#This Row],[کد ماده]]="","",IFERROR(INDEX(tblIngredients[نام ماده],MATCH(tblRecipe[[#This Row],[کد ماده]],tblIngredients[کد ماده],0)),"کد نامعتبر"))</f>
        <v/>
      </c>
      <c r="Q84" s="33">
        <f>IF(tblRecipe[[#This Row],[کد ماده]]="","",IFERROR(INDEX(tblIngredients[واحد],MATCH(tblRecipe[[#This Row],[کد ماده]],tblIngredients[کد ماده],0)),""))</f>
        <v/>
      </c>
      <c r="R84" s="45" t="n">
        <v>55</v>
      </c>
      <c r="S84" s="74">
        <f>IF(tblRecipe[[#This Row],[کد ماده]]="","",IFERROR(INDEX(tblIngredients[بهای میانگین],MATCH(tblRecipe[[#This Row],[کد ماده]],tblIngredients[کد ماده],0)),0))</f>
        <v/>
      </c>
      <c r="T84" s="34">
        <f>IF(tblRecipe[[#This Row],[کد ماده]]="","",tblRecipe[[#This Row],[مقدار استاندارد]]*tblRecipe[[#This Row],[بهای واحد ماده]])</f>
        <v/>
      </c>
      <c r="U8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4" s="69">
        <f>IF(tblRecipe[[#This Row],[کد ماده]]="","",tblRecipe[[#This Row],[مقدار استاندارد]]*tblRecipe[[#This Row],[فروش کل]])</f>
        <v/>
      </c>
      <c r="W8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4" s="69">
        <f>IF(tblRecipe[[#This Row],[کد ماده]]="","",tblRecipe[[#This Row],[مقدار استاندارد]]*tblRecipe[[#This Row],[فروش بازه]])</f>
        <v/>
      </c>
      <c r="Y84" s="44" t="inlineStr">
        <is>
          <t>قابل ویرایش</t>
        </is>
      </c>
    </row>
    <row r="85">
      <c r="M85" s="44" t="inlineStr">
        <is>
          <t>MOC-SRI</t>
        </is>
      </c>
      <c r="N85" s="33">
        <f>IF(tblRecipe[[#This Row],[کد محصول]]="","",IFERROR(INDEX(tblMenu[نام محصول],MATCH(tblRecipe[[#This Row],[کد محصول]],tblMenu[کد محصول],0)),"کد نامعتبر"))</f>
        <v/>
      </c>
      <c r="O85" s="44" t="inlineStr">
        <is>
          <t>ING-006</t>
        </is>
      </c>
      <c r="P85" s="33">
        <f>IF(tblRecipe[[#This Row],[کد ماده]]="","",IFERROR(INDEX(tblIngredients[نام ماده],MATCH(tblRecipe[[#This Row],[کد ماده]],tblIngredients[کد ماده],0)),"کد نامعتبر"))</f>
        <v/>
      </c>
      <c r="Q85" s="33">
        <f>IF(tblRecipe[[#This Row],[کد ماده]]="","",IFERROR(INDEX(tblIngredients[واحد],MATCH(tblRecipe[[#This Row],[کد ماده]],tblIngredients[کد ماده],0)),""))</f>
        <v/>
      </c>
      <c r="R85" s="45" t="n">
        <v>180</v>
      </c>
      <c r="S85" s="74">
        <f>IF(tblRecipe[[#This Row],[کد ماده]]="","",IFERROR(INDEX(tblIngredients[بهای میانگین],MATCH(tblRecipe[[#This Row],[کد ماده]],tblIngredients[کد ماده],0)),0))</f>
        <v/>
      </c>
      <c r="T85" s="34">
        <f>IF(tblRecipe[[#This Row],[کد ماده]]="","",tblRecipe[[#This Row],[مقدار استاندارد]]*tblRecipe[[#This Row],[بهای واحد ماده]])</f>
        <v/>
      </c>
      <c r="U8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5" s="69">
        <f>IF(tblRecipe[[#This Row],[کد ماده]]="","",tblRecipe[[#This Row],[مقدار استاندارد]]*tblRecipe[[#This Row],[فروش کل]])</f>
        <v/>
      </c>
      <c r="W8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5" s="69">
        <f>IF(tblRecipe[[#This Row],[کد ماده]]="","",tblRecipe[[#This Row],[مقدار استاندارد]]*tblRecipe[[#This Row],[فروش بازه]])</f>
        <v/>
      </c>
      <c r="Y85" s="44" t="inlineStr">
        <is>
          <t>قابل ویرایش</t>
        </is>
      </c>
    </row>
    <row r="86">
      <c r="M86" s="44" t="inlineStr">
        <is>
          <t>MOC-SRI</t>
        </is>
      </c>
      <c r="N86" s="33">
        <f>IF(tblRecipe[[#This Row],[کد محصول]]="","",IFERROR(INDEX(tblMenu[نام محصول],MATCH(tblRecipe[[#This Row],[کد محصول]],tblMenu[کد محصول],0)),"کد نامعتبر"))</f>
        <v/>
      </c>
      <c r="O86" s="44" t="inlineStr">
        <is>
          <t>ING-029</t>
        </is>
      </c>
      <c r="P86" s="33">
        <f>IF(tblRecipe[[#This Row],[کد ماده]]="","",IFERROR(INDEX(tblIngredients[نام ماده],MATCH(tblRecipe[[#This Row],[کد ماده]],tblIngredients[کد ماده],0)),"کد نامعتبر"))</f>
        <v/>
      </c>
      <c r="Q86" s="33">
        <f>IF(tblRecipe[[#This Row],[کد ماده]]="","",IFERROR(INDEX(tblIngredients[واحد],MATCH(tblRecipe[[#This Row],[کد ماده]],tblIngredients[کد ماده],0)),""))</f>
        <v/>
      </c>
      <c r="R86" s="45" t="n">
        <v>1</v>
      </c>
      <c r="S86" s="74">
        <f>IF(tblRecipe[[#This Row],[کد ماده]]="","",IFERROR(INDEX(tblIngredients[بهای میانگین],MATCH(tblRecipe[[#This Row],[کد ماده]],tblIngredients[کد ماده],0)),0))</f>
        <v/>
      </c>
      <c r="T86" s="34">
        <f>IF(tblRecipe[[#This Row],[کد ماده]]="","",tblRecipe[[#This Row],[مقدار استاندارد]]*tblRecipe[[#This Row],[بهای واحد ماده]])</f>
        <v/>
      </c>
      <c r="U8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6" s="69">
        <f>IF(tblRecipe[[#This Row],[کد ماده]]="","",tblRecipe[[#This Row],[مقدار استاندارد]]*tblRecipe[[#This Row],[فروش کل]])</f>
        <v/>
      </c>
      <c r="W8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6" s="69">
        <f>IF(tblRecipe[[#This Row],[کد ماده]]="","",tblRecipe[[#This Row],[مقدار استاندارد]]*tblRecipe[[#This Row],[فروش بازه]])</f>
        <v/>
      </c>
      <c r="Y86" s="44" t="inlineStr">
        <is>
          <t>قابل ویرایش</t>
        </is>
      </c>
    </row>
    <row r="87">
      <c r="M87" s="44" t="inlineStr">
        <is>
          <t>MOC-SST</t>
        </is>
      </c>
      <c r="N87" s="33">
        <f>IF(tblRecipe[[#This Row],[کد محصول]]="","",IFERROR(INDEX(tblMenu[نام محصول],MATCH(tblRecipe[[#This Row],[کد محصول]],tblMenu[کد محصول],0)),"کد نامعتبر"))</f>
        <v/>
      </c>
      <c r="O87" s="44" t="inlineStr">
        <is>
          <t>ING-014</t>
        </is>
      </c>
      <c r="P87" s="33">
        <f>IF(tblRecipe[[#This Row],[کد ماده]]="","",IFERROR(INDEX(tblIngredients[نام ماده],MATCH(tblRecipe[[#This Row],[کد ماده]],tblIngredients[کد ماده],0)),"کد نامعتبر"))</f>
        <v/>
      </c>
      <c r="Q87" s="33">
        <f>IF(tblRecipe[[#This Row],[کد ماده]]="","",IFERROR(INDEX(tblIngredients[واحد],MATCH(tblRecipe[[#This Row],[کد ماده]],tblIngredients[کد ماده],0)),""))</f>
        <v/>
      </c>
      <c r="R87" s="45" t="n">
        <v>45</v>
      </c>
      <c r="S87" s="74">
        <f>IF(tblRecipe[[#This Row],[کد ماده]]="","",IFERROR(INDEX(tblIngredients[بهای میانگین],MATCH(tblRecipe[[#This Row],[کد ماده]],tblIngredients[کد ماده],0)),0))</f>
        <v/>
      </c>
      <c r="T87" s="34">
        <f>IF(tblRecipe[[#This Row],[کد ماده]]="","",tblRecipe[[#This Row],[مقدار استاندارد]]*tblRecipe[[#This Row],[بهای واحد ماده]])</f>
        <v/>
      </c>
      <c r="U8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7" s="69">
        <f>IF(tblRecipe[[#This Row],[کد ماده]]="","",tblRecipe[[#This Row],[مقدار استاندارد]]*tblRecipe[[#This Row],[فروش کل]])</f>
        <v/>
      </c>
      <c r="W8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7" s="69">
        <f>IF(tblRecipe[[#This Row],[کد ماده]]="","",tblRecipe[[#This Row],[مقدار استاندارد]]*tblRecipe[[#This Row],[فروش بازه]])</f>
        <v/>
      </c>
      <c r="Y87" s="44" t="inlineStr">
        <is>
          <t>قابل ویرایش</t>
        </is>
      </c>
    </row>
    <row r="88">
      <c r="M88" s="44" t="inlineStr">
        <is>
          <t>MOC-SST</t>
        </is>
      </c>
      <c r="N88" s="33">
        <f>IF(tblRecipe[[#This Row],[کد محصول]]="","",IFERROR(INDEX(tblMenu[نام محصول],MATCH(tblRecipe[[#This Row],[کد محصول]],tblMenu[کد محصول],0)),"کد نامعتبر"))</f>
        <v/>
      </c>
      <c r="O88" s="44" t="inlineStr">
        <is>
          <t>ING-017</t>
        </is>
      </c>
      <c r="P88" s="33">
        <f>IF(tblRecipe[[#This Row],[کد ماده]]="","",IFERROR(INDEX(tblIngredients[نام ماده],MATCH(tblRecipe[[#This Row],[کد ماده]],tblIngredients[کد ماده],0)),"کد نامعتبر"))</f>
        <v/>
      </c>
      <c r="Q88" s="33">
        <f>IF(tblRecipe[[#This Row],[کد ماده]]="","",IFERROR(INDEX(tblIngredients[واحد],MATCH(tblRecipe[[#This Row],[کد ماده]],tblIngredients[کد ماده],0)),""))</f>
        <v/>
      </c>
      <c r="R88" s="45" t="n">
        <v>25</v>
      </c>
      <c r="S88" s="74">
        <f>IF(tblRecipe[[#This Row],[کد ماده]]="","",IFERROR(INDEX(tblIngredients[بهای میانگین],MATCH(tblRecipe[[#This Row],[کد ماده]],tblIngredients[کد ماده],0)),0))</f>
        <v/>
      </c>
      <c r="T88" s="34">
        <f>IF(tblRecipe[[#This Row],[کد ماده]]="","",tblRecipe[[#This Row],[مقدار استاندارد]]*tblRecipe[[#This Row],[بهای واحد ماده]])</f>
        <v/>
      </c>
      <c r="U8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8" s="69">
        <f>IF(tblRecipe[[#This Row],[کد ماده]]="","",tblRecipe[[#This Row],[مقدار استاندارد]]*tblRecipe[[#This Row],[فروش کل]])</f>
        <v/>
      </c>
      <c r="W8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8" s="69">
        <f>IF(tblRecipe[[#This Row],[کد ماده]]="","",tblRecipe[[#This Row],[مقدار استاندارد]]*tblRecipe[[#This Row],[فروش بازه]])</f>
        <v/>
      </c>
      <c r="Y88" s="44" t="inlineStr">
        <is>
          <t>قابل ویرایش</t>
        </is>
      </c>
    </row>
    <row r="89">
      <c r="M89" s="44" t="inlineStr">
        <is>
          <t>MOC-SST</t>
        </is>
      </c>
      <c r="N89" s="33">
        <f>IF(tblRecipe[[#This Row],[کد محصول]]="","",IFERROR(INDEX(tblMenu[نام محصول],MATCH(tblRecipe[[#This Row],[کد محصول]],tblMenu[کد محصول],0)),"کد نامعتبر"))</f>
        <v/>
      </c>
      <c r="O89" s="44" t="inlineStr">
        <is>
          <t>ING-006</t>
        </is>
      </c>
      <c r="P89" s="33">
        <f>IF(tblRecipe[[#This Row],[کد ماده]]="","",IFERROR(INDEX(tblIngredients[نام ماده],MATCH(tblRecipe[[#This Row],[کد ماده]],tblIngredients[کد ماده],0)),"کد نامعتبر"))</f>
        <v/>
      </c>
      <c r="Q89" s="33">
        <f>IF(tblRecipe[[#This Row],[کد ماده]]="","",IFERROR(INDEX(tblIngredients[واحد],MATCH(tblRecipe[[#This Row],[کد ماده]],tblIngredients[کد ماده],0)),""))</f>
        <v/>
      </c>
      <c r="R89" s="45" t="n">
        <v>180</v>
      </c>
      <c r="S89" s="74">
        <f>IF(tblRecipe[[#This Row],[کد ماده]]="","",IFERROR(INDEX(tblIngredients[بهای میانگین],MATCH(tblRecipe[[#This Row],[کد ماده]],tblIngredients[کد ماده],0)),0))</f>
        <v/>
      </c>
      <c r="T89" s="34">
        <f>IF(tblRecipe[[#This Row],[کد ماده]]="","",tblRecipe[[#This Row],[مقدار استاندارد]]*tblRecipe[[#This Row],[بهای واحد ماده]])</f>
        <v/>
      </c>
      <c r="U8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9" s="69">
        <f>IF(tblRecipe[[#This Row],[کد ماده]]="","",tblRecipe[[#This Row],[مقدار استاندارد]]*tblRecipe[[#This Row],[فروش کل]])</f>
        <v/>
      </c>
      <c r="W8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9" s="69">
        <f>IF(tblRecipe[[#This Row],[کد ماده]]="","",tblRecipe[[#This Row],[مقدار استاندارد]]*tblRecipe[[#This Row],[فروش بازه]])</f>
        <v/>
      </c>
      <c r="Y89" s="44" t="inlineStr">
        <is>
          <t>قابل ویرایش</t>
        </is>
      </c>
    </row>
    <row r="90">
      <c r="M90" s="44" t="inlineStr">
        <is>
          <t>MOC-SST</t>
        </is>
      </c>
      <c r="N90" s="33">
        <f>IF(tblRecipe[[#This Row],[کد محصول]]="","",IFERROR(INDEX(tblMenu[نام محصول],MATCH(tblRecipe[[#This Row],[کد محصول]],tblMenu[کد محصول],0)),"کد نامعتبر"))</f>
        <v/>
      </c>
      <c r="O90" s="44" t="inlineStr">
        <is>
          <t>ING-029</t>
        </is>
      </c>
      <c r="P90" s="33">
        <f>IF(tblRecipe[[#This Row],[کد ماده]]="","",IFERROR(INDEX(tblIngredients[نام ماده],MATCH(tblRecipe[[#This Row],[کد ماده]],tblIngredients[کد ماده],0)),"کد نامعتبر"))</f>
        <v/>
      </c>
      <c r="Q90" s="33">
        <f>IF(tblRecipe[[#This Row],[کد ماده]]="","",IFERROR(INDEX(tblIngredients[واحد],MATCH(tblRecipe[[#This Row],[کد ماده]],tblIngredients[کد ماده],0)),""))</f>
        <v/>
      </c>
      <c r="R90" s="45" t="n">
        <v>1</v>
      </c>
      <c r="S90" s="74">
        <f>IF(tblRecipe[[#This Row],[کد ماده]]="","",IFERROR(INDEX(tblIngredients[بهای میانگین],MATCH(tblRecipe[[#This Row],[کد ماده]],tblIngredients[کد ماده],0)),0))</f>
        <v/>
      </c>
      <c r="T90" s="34">
        <f>IF(tblRecipe[[#This Row],[کد ماده]]="","",tblRecipe[[#This Row],[مقدار استاندارد]]*tblRecipe[[#This Row],[بهای واحد ماده]])</f>
        <v/>
      </c>
      <c r="U9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0" s="69">
        <f>IF(tblRecipe[[#This Row],[کد ماده]]="","",tblRecipe[[#This Row],[مقدار استاندارد]]*tblRecipe[[#This Row],[فروش کل]])</f>
        <v/>
      </c>
      <c r="W9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0" s="69">
        <f>IF(tblRecipe[[#This Row],[کد ماده]]="","",tblRecipe[[#This Row],[مقدار استاندارد]]*tblRecipe[[#This Row],[فروش بازه]])</f>
        <v/>
      </c>
      <c r="Y90" s="44" t="inlineStr">
        <is>
          <t>قابل ویرایش</t>
        </is>
      </c>
    </row>
    <row r="91">
      <c r="M91" s="44" t="inlineStr">
        <is>
          <t>MOC-RML</t>
        </is>
      </c>
      <c r="N91" s="33">
        <f>IF(tblRecipe[[#This Row],[کد محصول]]="","",IFERROR(INDEX(tblMenu[نام محصول],MATCH(tblRecipe[[#This Row],[کد محصول]],tblMenu[کد محصول],0)),"کد نامعتبر"))</f>
        <v/>
      </c>
      <c r="O91" s="44" t="inlineStr">
        <is>
          <t>ING-019</t>
        </is>
      </c>
      <c r="P91" s="33">
        <f>IF(tblRecipe[[#This Row],[کد ماده]]="","",IFERROR(INDEX(tblIngredients[نام ماده],MATCH(tblRecipe[[#This Row],[کد ماده]],tblIngredients[کد ماده],0)),"کد نامعتبر"))</f>
        <v/>
      </c>
      <c r="Q91" s="33">
        <f>IF(tblRecipe[[#This Row],[کد ماده]]="","",IFERROR(INDEX(tblIngredients[واحد],MATCH(tblRecipe[[#This Row],[کد ماده]],tblIngredients[کد ماده],0)),""))</f>
        <v/>
      </c>
      <c r="R91" s="45" t="n">
        <v>180</v>
      </c>
      <c r="S91" s="74">
        <f>IF(tblRecipe[[#This Row],[کد ماده]]="","",IFERROR(INDEX(tblIngredients[بهای میانگین],MATCH(tblRecipe[[#This Row],[کد ماده]],tblIngredients[کد ماده],0)),0))</f>
        <v/>
      </c>
      <c r="T91" s="34">
        <f>IF(tblRecipe[[#This Row],[کد ماده]]="","",tblRecipe[[#This Row],[مقدار استاندارد]]*tblRecipe[[#This Row],[بهای واحد ماده]])</f>
        <v/>
      </c>
      <c r="U9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1" s="69">
        <f>IF(tblRecipe[[#This Row],[کد ماده]]="","",tblRecipe[[#This Row],[مقدار استاندارد]]*tblRecipe[[#This Row],[فروش کل]])</f>
        <v/>
      </c>
      <c r="W9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1" s="69">
        <f>IF(tblRecipe[[#This Row],[کد ماده]]="","",tblRecipe[[#This Row],[مقدار استاندارد]]*tblRecipe[[#This Row],[فروش بازه]])</f>
        <v/>
      </c>
      <c r="Y91" s="44" t="inlineStr">
        <is>
          <t>قابل ویرایش</t>
        </is>
      </c>
    </row>
    <row r="92">
      <c r="M92" s="44" t="inlineStr">
        <is>
          <t>MOC-RML</t>
        </is>
      </c>
      <c r="N92" s="33">
        <f>IF(tblRecipe[[#This Row],[کد محصول]]="","",IFERROR(INDEX(tblMenu[نام محصول],MATCH(tblRecipe[[#This Row],[کد محصول]],tblMenu[کد محصول],0)),"کد نامعتبر"))</f>
        <v/>
      </c>
      <c r="O92" s="44" t="inlineStr">
        <is>
          <t>ING-010</t>
        </is>
      </c>
      <c r="P92" s="33">
        <f>IF(tblRecipe[[#This Row],[کد ماده]]="","",IFERROR(INDEX(tblIngredients[نام ماده],MATCH(tblRecipe[[#This Row],[کد ماده]],tblIngredients[کد ماده],0)),"کد نامعتبر"))</f>
        <v/>
      </c>
      <c r="Q92" s="33">
        <f>IF(tblRecipe[[#This Row],[کد ماده]]="","",IFERROR(INDEX(tblIngredients[واحد],MATCH(tblRecipe[[#This Row],[کد ماده]],tblIngredients[کد ماده],0)),""))</f>
        <v/>
      </c>
      <c r="R92" s="45" t="n">
        <v>3</v>
      </c>
      <c r="S92" s="74">
        <f>IF(tblRecipe[[#This Row],[کد ماده]]="","",IFERROR(INDEX(tblIngredients[بهای میانگین],MATCH(tblRecipe[[#This Row],[کد ماده]],tblIngredients[کد ماده],0)),0))</f>
        <v/>
      </c>
      <c r="T92" s="34">
        <f>IF(tblRecipe[[#This Row],[کد ماده]]="","",tblRecipe[[#This Row],[مقدار استاندارد]]*tblRecipe[[#This Row],[بهای واحد ماده]])</f>
        <v/>
      </c>
      <c r="U9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2" s="69">
        <f>IF(tblRecipe[[#This Row],[کد ماده]]="","",tblRecipe[[#This Row],[مقدار استاندارد]]*tblRecipe[[#This Row],[فروش کل]])</f>
        <v/>
      </c>
      <c r="W9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2" s="69">
        <f>IF(tblRecipe[[#This Row],[کد ماده]]="","",tblRecipe[[#This Row],[مقدار استاندارد]]*tblRecipe[[#This Row],[فروش بازه]])</f>
        <v/>
      </c>
      <c r="Y92" s="44" t="inlineStr">
        <is>
          <t>قابل ویرایش</t>
        </is>
      </c>
    </row>
    <row r="93">
      <c r="M93" s="44" t="inlineStr">
        <is>
          <t>MOC-RML</t>
        </is>
      </c>
      <c r="N93" s="33">
        <f>IF(tblRecipe[[#This Row],[کد محصول]]="","",IFERROR(INDEX(tblMenu[نام محصول],MATCH(tblRecipe[[#This Row],[کد محصول]],tblMenu[کد محصول],0)),"کد نامعتبر"))</f>
        <v/>
      </c>
      <c r="O93" s="44" t="inlineStr">
        <is>
          <t>ING-006</t>
        </is>
      </c>
      <c r="P93" s="33">
        <f>IF(tblRecipe[[#This Row],[کد ماده]]="","",IFERROR(INDEX(tblIngredients[نام ماده],MATCH(tblRecipe[[#This Row],[کد ماده]],tblIngredients[کد ماده],0)),"کد نامعتبر"))</f>
        <v/>
      </c>
      <c r="Q93" s="33">
        <f>IF(tblRecipe[[#This Row],[کد ماده]]="","",IFERROR(INDEX(tblIngredients[واحد],MATCH(tblRecipe[[#This Row],[کد ماده]],tblIngredients[کد ماده],0)),""))</f>
        <v/>
      </c>
      <c r="R93" s="45" t="n">
        <v>100</v>
      </c>
      <c r="S93" s="74">
        <f>IF(tblRecipe[[#This Row],[کد ماده]]="","",IFERROR(INDEX(tblIngredients[بهای میانگین],MATCH(tblRecipe[[#This Row],[کد ماده]],tblIngredients[کد ماده],0)),0))</f>
        <v/>
      </c>
      <c r="T93" s="34">
        <f>IF(tblRecipe[[#This Row],[کد ماده]]="","",tblRecipe[[#This Row],[مقدار استاندارد]]*tblRecipe[[#This Row],[بهای واحد ماده]])</f>
        <v/>
      </c>
      <c r="U9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3" s="69">
        <f>IF(tblRecipe[[#This Row],[کد ماده]]="","",tblRecipe[[#This Row],[مقدار استاندارد]]*tblRecipe[[#This Row],[فروش کل]])</f>
        <v/>
      </c>
      <c r="W9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3" s="69">
        <f>IF(tblRecipe[[#This Row],[کد ماده]]="","",tblRecipe[[#This Row],[مقدار استاندارد]]*tblRecipe[[#This Row],[فروش بازه]])</f>
        <v/>
      </c>
      <c r="Y93" s="44" t="inlineStr">
        <is>
          <t>قابل ویرایش</t>
        </is>
      </c>
    </row>
    <row r="94">
      <c r="M94" s="44" t="inlineStr">
        <is>
          <t>MOC-RML</t>
        </is>
      </c>
      <c r="N94" s="33">
        <f>IF(tblRecipe[[#This Row],[کد محصول]]="","",IFERROR(INDEX(tblMenu[نام محصول],MATCH(tblRecipe[[#This Row],[کد محصول]],tblMenu[کد محصول],0)),"کد نامعتبر"))</f>
        <v/>
      </c>
      <c r="O94" s="44" t="inlineStr">
        <is>
          <t>ING-029</t>
        </is>
      </c>
      <c r="P94" s="33">
        <f>IF(tblRecipe[[#This Row],[کد ماده]]="","",IFERROR(INDEX(tblIngredients[نام ماده],MATCH(tblRecipe[[#This Row],[کد ماده]],tblIngredients[کد ماده],0)),"کد نامعتبر"))</f>
        <v/>
      </c>
      <c r="Q94" s="33">
        <f>IF(tblRecipe[[#This Row],[کد ماده]]="","",IFERROR(INDEX(tblIngredients[واحد],MATCH(tblRecipe[[#This Row],[کد ماده]],tblIngredients[کد ماده],0)),""))</f>
        <v/>
      </c>
      <c r="R94" s="45" t="n">
        <v>1</v>
      </c>
      <c r="S94" s="74">
        <f>IF(tblRecipe[[#This Row],[کد ماده]]="","",IFERROR(INDEX(tblIngredients[بهای میانگین],MATCH(tblRecipe[[#This Row],[کد ماده]],tblIngredients[کد ماده],0)),0))</f>
        <v/>
      </c>
      <c r="T94" s="34">
        <f>IF(tblRecipe[[#This Row],[کد ماده]]="","",tblRecipe[[#This Row],[مقدار استاندارد]]*tblRecipe[[#This Row],[بهای واحد ماده]])</f>
        <v/>
      </c>
      <c r="U9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4" s="69">
        <f>IF(tblRecipe[[#This Row],[کد ماده]]="","",tblRecipe[[#This Row],[مقدار استاندارد]]*tblRecipe[[#This Row],[فروش کل]])</f>
        <v/>
      </c>
      <c r="W9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4" s="69">
        <f>IF(tblRecipe[[#This Row],[کد ماده]]="","",tblRecipe[[#This Row],[مقدار استاندارد]]*tblRecipe[[#This Row],[فروش بازه]])</f>
        <v/>
      </c>
      <c r="Y94" s="44" t="inlineStr">
        <is>
          <t>قابل ویرایش</t>
        </is>
      </c>
    </row>
    <row r="95">
      <c r="M95" s="44" t="inlineStr">
        <is>
          <t>MOC-MOJ</t>
        </is>
      </c>
      <c r="N95" s="33">
        <f>IF(tblRecipe[[#This Row],[کد محصول]]="","",IFERROR(INDEX(tblMenu[نام محصول],MATCH(tblRecipe[[#This Row],[کد محصول]],tblMenu[کد محصول],0)),"کد نامعتبر"))</f>
        <v/>
      </c>
      <c r="O95" s="44" t="inlineStr">
        <is>
          <t>ING-017</t>
        </is>
      </c>
      <c r="P95" s="33">
        <f>IF(tblRecipe[[#This Row],[کد ماده]]="","",IFERROR(INDEX(tblIngredients[نام ماده],MATCH(tblRecipe[[#This Row],[کد ماده]],tblIngredients[کد ماده],0)),"کد نامعتبر"))</f>
        <v/>
      </c>
      <c r="Q95" s="33">
        <f>IF(tblRecipe[[#This Row],[کد ماده]]="","",IFERROR(INDEX(tblIngredients[واحد],MATCH(tblRecipe[[#This Row],[کد ماده]],tblIngredients[کد ماده],0)),""))</f>
        <v/>
      </c>
      <c r="R95" s="45" t="n">
        <v>55</v>
      </c>
      <c r="S95" s="74">
        <f>IF(tblRecipe[[#This Row],[کد ماده]]="","",IFERROR(INDEX(tblIngredients[بهای میانگین],MATCH(tblRecipe[[#This Row],[کد ماده]],tblIngredients[کد ماده],0)),0))</f>
        <v/>
      </c>
      <c r="T95" s="34">
        <f>IF(tblRecipe[[#This Row],[کد ماده]]="","",tblRecipe[[#This Row],[مقدار استاندارد]]*tblRecipe[[#This Row],[بهای واحد ماده]])</f>
        <v/>
      </c>
      <c r="U9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5" s="69">
        <f>IF(tblRecipe[[#This Row],[کد ماده]]="","",tblRecipe[[#This Row],[مقدار استاندارد]]*tblRecipe[[#This Row],[فروش کل]])</f>
        <v/>
      </c>
      <c r="W9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5" s="69">
        <f>IF(tblRecipe[[#This Row],[کد ماده]]="","",tblRecipe[[#This Row],[مقدار استاندارد]]*tblRecipe[[#This Row],[فروش بازه]])</f>
        <v/>
      </c>
      <c r="Y95" s="44" t="inlineStr">
        <is>
          <t>قابل ویرایش</t>
        </is>
      </c>
    </row>
    <row r="96">
      <c r="M96" s="44" t="inlineStr">
        <is>
          <t>MOC-MOJ</t>
        </is>
      </c>
      <c r="N96" s="33">
        <f>IF(tblRecipe[[#This Row],[کد محصول]]="","",IFERROR(INDEX(tblMenu[نام محصول],MATCH(tblRecipe[[#This Row],[کد محصول]],tblMenu[کد محصول],0)),"کد نامعتبر"))</f>
        <v/>
      </c>
      <c r="O96" s="44" t="inlineStr">
        <is>
          <t>ING-006</t>
        </is>
      </c>
      <c r="P96" s="33">
        <f>IF(tblRecipe[[#This Row],[کد ماده]]="","",IFERROR(INDEX(tblIngredients[نام ماده],MATCH(tblRecipe[[#This Row],[کد ماده]],tblIngredients[کد ماده],0)),"کد نامعتبر"))</f>
        <v/>
      </c>
      <c r="Q96" s="33">
        <f>IF(tblRecipe[[#This Row],[کد ماده]]="","",IFERROR(INDEX(tblIngredients[واحد],MATCH(tblRecipe[[#This Row],[کد ماده]],tblIngredients[کد ماده],0)),""))</f>
        <v/>
      </c>
      <c r="R96" s="45" t="n">
        <v>180</v>
      </c>
      <c r="S96" s="74">
        <f>IF(tblRecipe[[#This Row],[کد ماده]]="","",IFERROR(INDEX(tblIngredients[بهای میانگین],MATCH(tblRecipe[[#This Row],[کد ماده]],tblIngredients[کد ماده],0)),0))</f>
        <v/>
      </c>
      <c r="T96" s="34">
        <f>IF(tblRecipe[[#This Row],[کد ماده]]="","",tblRecipe[[#This Row],[مقدار استاندارد]]*tblRecipe[[#This Row],[بهای واحد ماده]])</f>
        <v/>
      </c>
      <c r="U9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6" s="69">
        <f>IF(tblRecipe[[#This Row],[کد ماده]]="","",tblRecipe[[#This Row],[مقدار استاندارد]]*tblRecipe[[#This Row],[فروش کل]])</f>
        <v/>
      </c>
      <c r="W9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6" s="69">
        <f>IF(tblRecipe[[#This Row],[کد ماده]]="","",tblRecipe[[#This Row],[مقدار استاندارد]]*tblRecipe[[#This Row],[فروش بازه]])</f>
        <v/>
      </c>
      <c r="Y96" s="44" t="inlineStr">
        <is>
          <t>قابل ویرایش</t>
        </is>
      </c>
    </row>
    <row r="97">
      <c r="M97" s="44" t="inlineStr">
        <is>
          <t>MOC-MOJ</t>
        </is>
      </c>
      <c r="N97" s="33">
        <f>IF(tblRecipe[[#This Row],[کد محصول]]="","",IFERROR(INDEX(tblMenu[نام محصول],MATCH(tblRecipe[[#This Row],[کد محصول]],tblMenu[کد محصول],0)),"کد نامعتبر"))</f>
        <v/>
      </c>
      <c r="O97" s="44" t="inlineStr">
        <is>
          <t>ING-029</t>
        </is>
      </c>
      <c r="P97" s="33">
        <f>IF(tblRecipe[[#This Row],[کد ماده]]="","",IFERROR(INDEX(tblIngredients[نام ماده],MATCH(tblRecipe[[#This Row],[کد ماده]],tblIngredients[کد ماده],0)),"کد نامعتبر"))</f>
        <v/>
      </c>
      <c r="Q97" s="33">
        <f>IF(tblRecipe[[#This Row],[کد ماده]]="","",IFERROR(INDEX(tblIngredients[واحد],MATCH(tblRecipe[[#This Row],[کد ماده]],tblIngredients[کد ماده],0)),""))</f>
        <v/>
      </c>
      <c r="R97" s="45" t="n">
        <v>1</v>
      </c>
      <c r="S97" s="74">
        <f>IF(tblRecipe[[#This Row],[کد ماده]]="","",IFERROR(INDEX(tblIngredients[بهای میانگین],MATCH(tblRecipe[[#This Row],[کد ماده]],tblIngredients[کد ماده],0)),0))</f>
        <v/>
      </c>
      <c r="T97" s="34">
        <f>IF(tblRecipe[[#This Row],[کد ماده]]="","",tblRecipe[[#This Row],[مقدار استاندارد]]*tblRecipe[[#This Row],[بهای واحد ماده]])</f>
        <v/>
      </c>
      <c r="U9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7" s="69">
        <f>IF(tblRecipe[[#This Row],[کد ماده]]="","",tblRecipe[[#This Row],[مقدار استاندارد]]*tblRecipe[[#This Row],[فروش کل]])</f>
        <v/>
      </c>
      <c r="W9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7" s="69">
        <f>IF(tblRecipe[[#This Row],[کد ماده]]="","",tblRecipe[[#This Row],[مقدار استاندارد]]*tblRecipe[[#This Row],[فروش بازه]])</f>
        <v/>
      </c>
      <c r="Y97" s="44" t="inlineStr">
        <is>
          <t>قابل ویرایش</t>
        </is>
      </c>
    </row>
    <row r="98">
      <c r="M98" s="44" t="inlineStr">
        <is>
          <t>MOC-RMO</t>
        </is>
      </c>
      <c r="N98" s="33">
        <f>IF(tblRecipe[[#This Row],[کد محصول]]="","",IFERROR(INDEX(tblMenu[نام محصول],MATCH(tblRecipe[[#This Row],[کد محصول]],tblMenu[کد محصول],0)),"کد نامعتبر"))</f>
        <v/>
      </c>
      <c r="O98" s="44" t="inlineStr">
        <is>
          <t>ING-014</t>
        </is>
      </c>
      <c r="P98" s="33">
        <f>IF(tblRecipe[[#This Row],[کد ماده]]="","",IFERROR(INDEX(tblIngredients[نام ماده],MATCH(tblRecipe[[#This Row],[کد ماده]],tblIngredients[کد ماده],0)),"کد نامعتبر"))</f>
        <v/>
      </c>
      <c r="Q98" s="33">
        <f>IF(tblRecipe[[#This Row],[کد ماده]]="","",IFERROR(INDEX(tblIngredients[واحد],MATCH(tblRecipe[[#This Row],[کد ماده]],tblIngredients[کد ماده],0)),""))</f>
        <v/>
      </c>
      <c r="R98" s="45" t="n">
        <v>45</v>
      </c>
      <c r="S98" s="74">
        <f>IF(tblRecipe[[#This Row],[کد ماده]]="","",IFERROR(INDEX(tblIngredients[بهای میانگین],MATCH(tblRecipe[[#This Row],[کد ماده]],tblIngredients[کد ماده],0)),0))</f>
        <v/>
      </c>
      <c r="T98" s="34">
        <f>IF(tblRecipe[[#This Row],[کد ماده]]="","",tblRecipe[[#This Row],[مقدار استاندارد]]*tblRecipe[[#This Row],[بهای واحد ماده]])</f>
        <v/>
      </c>
      <c r="U9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8" s="69">
        <f>IF(tblRecipe[[#This Row],[کد ماده]]="","",tblRecipe[[#This Row],[مقدار استاندارد]]*tblRecipe[[#This Row],[فروش کل]])</f>
        <v/>
      </c>
      <c r="W9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8" s="69">
        <f>IF(tblRecipe[[#This Row],[کد ماده]]="","",tblRecipe[[#This Row],[مقدار استاندارد]]*tblRecipe[[#This Row],[فروش بازه]])</f>
        <v/>
      </c>
      <c r="Y98" s="44" t="inlineStr">
        <is>
          <t>قابل ویرایش</t>
        </is>
      </c>
    </row>
    <row r="99">
      <c r="M99" s="44" t="inlineStr">
        <is>
          <t>MOC-RMO</t>
        </is>
      </c>
      <c r="N99" s="33">
        <f>IF(tblRecipe[[#This Row],[کد محصول]]="","",IFERROR(INDEX(tblMenu[نام محصول],MATCH(tblRecipe[[#This Row],[کد محصول]],tblMenu[کد محصول],0)),"کد نامعتبر"))</f>
        <v/>
      </c>
      <c r="O99" s="44" t="inlineStr">
        <is>
          <t>ING-017</t>
        </is>
      </c>
      <c r="P99" s="33">
        <f>IF(tblRecipe[[#This Row],[کد ماده]]="","",IFERROR(INDEX(tblIngredients[نام ماده],MATCH(tblRecipe[[#This Row],[کد ماده]],tblIngredients[کد ماده],0)),"کد نامعتبر"))</f>
        <v/>
      </c>
      <c r="Q99" s="33">
        <f>IF(tblRecipe[[#This Row],[کد ماده]]="","",IFERROR(INDEX(tblIngredients[واحد],MATCH(tblRecipe[[#This Row],[کد ماده]],tblIngredients[کد ماده],0)),""))</f>
        <v/>
      </c>
      <c r="R99" s="45" t="n">
        <v>45</v>
      </c>
      <c r="S99" s="74">
        <f>IF(tblRecipe[[#This Row],[کد ماده]]="","",IFERROR(INDEX(tblIngredients[بهای میانگین],MATCH(tblRecipe[[#This Row],[کد ماده]],tblIngredients[کد ماده],0)),0))</f>
        <v/>
      </c>
      <c r="T99" s="34">
        <f>IF(tblRecipe[[#This Row],[کد ماده]]="","",tblRecipe[[#This Row],[مقدار استاندارد]]*tblRecipe[[#This Row],[بهای واحد ماده]])</f>
        <v/>
      </c>
      <c r="U9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9" s="69">
        <f>IF(tblRecipe[[#This Row],[کد ماده]]="","",tblRecipe[[#This Row],[مقدار استاندارد]]*tblRecipe[[#This Row],[فروش کل]])</f>
        <v/>
      </c>
      <c r="W9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9" s="69">
        <f>IF(tblRecipe[[#This Row],[کد ماده]]="","",tblRecipe[[#This Row],[مقدار استاندارد]]*tblRecipe[[#This Row],[فروش بازه]])</f>
        <v/>
      </c>
      <c r="Y99" s="44" t="inlineStr">
        <is>
          <t>قابل ویرایش</t>
        </is>
      </c>
    </row>
    <row r="100">
      <c r="M100" s="44" t="inlineStr">
        <is>
          <t>MOC-RMO</t>
        </is>
      </c>
      <c r="N100" s="33">
        <f>IF(tblRecipe[[#This Row],[کد محصول]]="","",IFERROR(INDEX(tblMenu[نام محصول],MATCH(tblRecipe[[#This Row],[کد محصول]],tblMenu[کد محصول],0)),"کد نامعتبر"))</f>
        <v/>
      </c>
      <c r="O100" s="44" t="inlineStr">
        <is>
          <t>ING-006</t>
        </is>
      </c>
      <c r="P100" s="33">
        <f>IF(tblRecipe[[#This Row],[کد ماده]]="","",IFERROR(INDEX(tblIngredients[نام ماده],MATCH(tblRecipe[[#This Row],[کد ماده]],tblIngredients[کد ماده],0)),"کد نامعتبر"))</f>
        <v/>
      </c>
      <c r="Q100" s="33">
        <f>IF(tblRecipe[[#This Row],[کد ماده]]="","",IFERROR(INDEX(tblIngredients[واحد],MATCH(tblRecipe[[#This Row],[کد ماده]],tblIngredients[کد ماده],0)),""))</f>
        <v/>
      </c>
      <c r="R100" s="45" t="n">
        <v>180</v>
      </c>
      <c r="S100" s="74">
        <f>IF(tblRecipe[[#This Row],[کد ماده]]="","",IFERROR(INDEX(tblIngredients[بهای میانگین],MATCH(tblRecipe[[#This Row],[کد ماده]],tblIngredients[کد ماده],0)),0))</f>
        <v/>
      </c>
      <c r="T100" s="34">
        <f>IF(tblRecipe[[#This Row],[کد ماده]]="","",tblRecipe[[#This Row],[مقدار استاندارد]]*tblRecipe[[#This Row],[بهای واحد ماده]])</f>
        <v/>
      </c>
      <c r="U10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0" s="69">
        <f>IF(tblRecipe[[#This Row],[کد ماده]]="","",tblRecipe[[#This Row],[مقدار استاندارد]]*tblRecipe[[#This Row],[فروش کل]])</f>
        <v/>
      </c>
      <c r="W10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0" s="69">
        <f>IF(tblRecipe[[#This Row],[کد ماده]]="","",tblRecipe[[#This Row],[مقدار استاندارد]]*tblRecipe[[#This Row],[فروش بازه]])</f>
        <v/>
      </c>
      <c r="Y100" s="44" t="inlineStr">
        <is>
          <t>قابل ویرایش</t>
        </is>
      </c>
    </row>
    <row r="101">
      <c r="M101" s="44" t="inlineStr">
        <is>
          <t>MOC-RMO</t>
        </is>
      </c>
      <c r="N101" s="33">
        <f>IF(tblRecipe[[#This Row],[کد محصول]]="","",IFERROR(INDEX(tblMenu[نام محصول],MATCH(tblRecipe[[#This Row],[کد محصول]],tblMenu[کد محصول],0)),"کد نامعتبر"))</f>
        <v/>
      </c>
      <c r="O101" s="44" t="inlineStr">
        <is>
          <t>ING-029</t>
        </is>
      </c>
      <c r="P101" s="33">
        <f>IF(tblRecipe[[#This Row],[کد ماده]]="","",IFERROR(INDEX(tblIngredients[نام ماده],MATCH(tblRecipe[[#This Row],[کد ماده]],tblIngredients[کد ماده],0)),"کد نامعتبر"))</f>
        <v/>
      </c>
      <c r="Q101" s="33">
        <f>IF(tblRecipe[[#This Row],[کد ماده]]="","",IFERROR(INDEX(tblIngredients[واحد],MATCH(tblRecipe[[#This Row],[کد ماده]],tblIngredients[کد ماده],0)),""))</f>
        <v/>
      </c>
      <c r="R101" s="45" t="n">
        <v>1</v>
      </c>
      <c r="S101" s="74">
        <f>IF(tblRecipe[[#This Row],[کد ماده]]="","",IFERROR(INDEX(tblIngredients[بهای میانگین],MATCH(tblRecipe[[#This Row],[کد ماده]],tblIngredients[کد ماده],0)),0))</f>
        <v/>
      </c>
      <c r="T101" s="34">
        <f>IF(tblRecipe[[#This Row],[کد ماده]]="","",tblRecipe[[#This Row],[مقدار استاندارد]]*tblRecipe[[#This Row],[بهای واحد ماده]])</f>
        <v/>
      </c>
      <c r="U10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1" s="69">
        <f>IF(tblRecipe[[#This Row],[کد ماده]]="","",tblRecipe[[#This Row],[مقدار استاندارد]]*tblRecipe[[#This Row],[فروش کل]])</f>
        <v/>
      </c>
      <c r="W10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1" s="69">
        <f>IF(tblRecipe[[#This Row],[کد ماده]]="","",tblRecipe[[#This Row],[مقدار استاندارد]]*tblRecipe[[#This Row],[فروش بازه]])</f>
        <v/>
      </c>
      <c r="Y101" s="44" t="inlineStr">
        <is>
          <t>قابل ویرایش</t>
        </is>
      </c>
    </row>
    <row r="102">
      <c r="M102" s="44" t="inlineStr">
        <is>
          <t>MOC-LEM</t>
        </is>
      </c>
      <c r="N102" s="33">
        <f>IF(tblRecipe[[#This Row],[کد محصول]]="","",IFERROR(INDEX(tblMenu[نام محصول],MATCH(tblRecipe[[#This Row],[کد محصول]],tblMenu[کد محصول],0)),"کد نامعتبر"))</f>
        <v/>
      </c>
      <c r="O102" s="44" t="inlineStr">
        <is>
          <t>ING-017</t>
        </is>
      </c>
      <c r="P102" s="33">
        <f>IF(tblRecipe[[#This Row],[کد ماده]]="","",IFERROR(INDEX(tblIngredients[نام ماده],MATCH(tblRecipe[[#This Row],[کد ماده]],tblIngredients[کد ماده],0)),"کد نامعتبر"))</f>
        <v/>
      </c>
      <c r="Q102" s="33">
        <f>IF(tblRecipe[[#This Row],[کد ماده]]="","",IFERROR(INDEX(tblIngredients[واحد],MATCH(tblRecipe[[#This Row],[کد ماده]],tblIngredients[کد ماده],0)),""))</f>
        <v/>
      </c>
      <c r="R102" s="45" t="n">
        <v>60</v>
      </c>
      <c r="S102" s="74">
        <f>IF(tblRecipe[[#This Row],[کد ماده]]="","",IFERROR(INDEX(tblIngredients[بهای میانگین],MATCH(tblRecipe[[#This Row],[کد ماده]],tblIngredients[کد ماده],0)),0))</f>
        <v/>
      </c>
      <c r="T102" s="34">
        <f>IF(tblRecipe[[#This Row],[کد ماده]]="","",tblRecipe[[#This Row],[مقدار استاندارد]]*tblRecipe[[#This Row],[بهای واحد ماده]])</f>
        <v/>
      </c>
      <c r="U10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2" s="69">
        <f>IF(tblRecipe[[#This Row],[کد ماده]]="","",tblRecipe[[#This Row],[مقدار استاندارد]]*tblRecipe[[#This Row],[فروش کل]])</f>
        <v/>
      </c>
      <c r="W10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2" s="69">
        <f>IF(tblRecipe[[#This Row],[کد ماده]]="","",tblRecipe[[#This Row],[مقدار استاندارد]]*tblRecipe[[#This Row],[فروش بازه]])</f>
        <v/>
      </c>
      <c r="Y102" s="44" t="inlineStr">
        <is>
          <t>قابل ویرایش</t>
        </is>
      </c>
    </row>
    <row r="103">
      <c r="M103" s="44" t="inlineStr">
        <is>
          <t>MOC-LEM</t>
        </is>
      </c>
      <c r="N103" s="33">
        <f>IF(tblRecipe[[#This Row],[کد محصول]]="","",IFERROR(INDEX(tblMenu[نام محصول],MATCH(tblRecipe[[#This Row],[کد محصول]],tblMenu[کد محصول],0)),"کد نامعتبر"))</f>
        <v/>
      </c>
      <c r="O103" s="44" t="inlineStr">
        <is>
          <t>ING-006</t>
        </is>
      </c>
      <c r="P103" s="33">
        <f>IF(tblRecipe[[#This Row],[کد ماده]]="","",IFERROR(INDEX(tblIngredients[نام ماده],MATCH(tblRecipe[[#This Row],[کد ماده]],tblIngredients[کد ماده],0)),"کد نامعتبر"))</f>
        <v/>
      </c>
      <c r="Q103" s="33">
        <f>IF(tblRecipe[[#This Row],[کد ماده]]="","",IFERROR(INDEX(tblIngredients[واحد],MATCH(tblRecipe[[#This Row],[کد ماده]],tblIngredients[کد ماده],0)),""))</f>
        <v/>
      </c>
      <c r="R103" s="45" t="n">
        <v>170</v>
      </c>
      <c r="S103" s="74">
        <f>IF(tblRecipe[[#This Row],[کد ماده]]="","",IFERROR(INDEX(tblIngredients[بهای میانگین],MATCH(tblRecipe[[#This Row],[کد ماده]],tblIngredients[کد ماده],0)),0))</f>
        <v/>
      </c>
      <c r="T103" s="34">
        <f>IF(tblRecipe[[#This Row],[کد ماده]]="","",tblRecipe[[#This Row],[مقدار استاندارد]]*tblRecipe[[#This Row],[بهای واحد ماده]])</f>
        <v/>
      </c>
      <c r="U10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3" s="69">
        <f>IF(tblRecipe[[#This Row],[کد ماده]]="","",tblRecipe[[#This Row],[مقدار استاندارد]]*tblRecipe[[#This Row],[فروش کل]])</f>
        <v/>
      </c>
      <c r="W10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3" s="69">
        <f>IF(tblRecipe[[#This Row],[کد ماده]]="","",tblRecipe[[#This Row],[مقدار استاندارد]]*tblRecipe[[#This Row],[فروش بازه]])</f>
        <v/>
      </c>
      <c r="Y103" s="44" t="inlineStr">
        <is>
          <t>قابل ویرایش</t>
        </is>
      </c>
    </row>
    <row r="104">
      <c r="M104" s="44" t="inlineStr">
        <is>
          <t>MOC-LEM</t>
        </is>
      </c>
      <c r="N104" s="33">
        <f>IF(tblRecipe[[#This Row],[کد محصول]]="","",IFERROR(INDEX(tblMenu[نام محصول],MATCH(tblRecipe[[#This Row],[کد محصول]],tblMenu[کد محصول],0)),"کد نامعتبر"))</f>
        <v/>
      </c>
      <c r="O104" s="44" t="inlineStr">
        <is>
          <t>ING-029</t>
        </is>
      </c>
      <c r="P104" s="33">
        <f>IF(tblRecipe[[#This Row],[کد ماده]]="","",IFERROR(INDEX(tblIngredients[نام ماده],MATCH(tblRecipe[[#This Row],[کد ماده]],tblIngredients[کد ماده],0)),"کد نامعتبر"))</f>
        <v/>
      </c>
      <c r="Q104" s="33">
        <f>IF(tblRecipe[[#This Row],[کد ماده]]="","",IFERROR(INDEX(tblIngredients[واحد],MATCH(tblRecipe[[#This Row],[کد ماده]],tblIngredients[کد ماده],0)),""))</f>
        <v/>
      </c>
      <c r="R104" s="45" t="n">
        <v>1</v>
      </c>
      <c r="S104" s="74">
        <f>IF(tblRecipe[[#This Row],[کد ماده]]="","",IFERROR(INDEX(tblIngredients[بهای میانگین],MATCH(tblRecipe[[#This Row],[کد ماده]],tblIngredients[کد ماده],0)),0))</f>
        <v/>
      </c>
      <c r="T104" s="34">
        <f>IF(tblRecipe[[#This Row],[کد ماده]]="","",tblRecipe[[#This Row],[مقدار استاندارد]]*tblRecipe[[#This Row],[بهای واحد ماده]])</f>
        <v/>
      </c>
      <c r="U10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4" s="69">
        <f>IF(tblRecipe[[#This Row],[کد ماده]]="","",tblRecipe[[#This Row],[مقدار استاندارد]]*tblRecipe[[#This Row],[فروش کل]])</f>
        <v/>
      </c>
      <c r="W10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4" s="69">
        <f>IF(tblRecipe[[#This Row],[کد ماده]]="","",tblRecipe[[#This Row],[مقدار استاندارد]]*tblRecipe[[#This Row],[فروش بازه]])</f>
        <v/>
      </c>
      <c r="Y104" s="44" t="inlineStr">
        <is>
          <t>قابل ویرایش</t>
        </is>
      </c>
    </row>
    <row r="105">
      <c r="M105" s="44" t="inlineStr">
        <is>
          <t>IC-AMR</t>
        </is>
      </c>
      <c r="N105" s="33">
        <f>IF(tblRecipe[[#This Row],[کد محصول]]="","",IFERROR(INDEX(tblMenu[نام محصول],MATCH(tblRecipe[[#This Row],[کد محصول]],tblMenu[کد محصول],0)),"کد نامعتبر"))</f>
        <v/>
      </c>
      <c r="O105" s="44" t="inlineStr">
        <is>
          <t>ING-001</t>
        </is>
      </c>
      <c r="P105" s="33">
        <f>IF(tblRecipe[[#This Row],[کد ماده]]="","",IFERROR(INDEX(tblIngredients[نام ماده],MATCH(tblRecipe[[#This Row],[کد ماده]],tblIngredients[کد ماده],0)),"کد نامعتبر"))</f>
        <v/>
      </c>
      <c r="Q105" s="33">
        <f>IF(tblRecipe[[#This Row],[کد ماده]]="","",IFERROR(INDEX(tblIngredients[واحد],MATCH(tblRecipe[[#This Row],[کد ماده]],tblIngredients[کد ماده],0)),""))</f>
        <v/>
      </c>
      <c r="R105" s="45" t="n">
        <v>22</v>
      </c>
      <c r="S105" s="74">
        <f>IF(tblRecipe[[#This Row],[کد ماده]]="","",IFERROR(INDEX(tblIngredients[بهای میانگین],MATCH(tblRecipe[[#This Row],[کد ماده]],tblIngredients[کد ماده],0)),0))</f>
        <v/>
      </c>
      <c r="T105" s="34">
        <f>IF(tblRecipe[[#This Row],[کد ماده]]="","",tblRecipe[[#This Row],[مقدار استاندارد]]*tblRecipe[[#This Row],[بهای واحد ماده]])</f>
        <v/>
      </c>
      <c r="U10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5" s="69">
        <f>IF(tblRecipe[[#This Row],[کد ماده]]="","",tblRecipe[[#This Row],[مقدار استاندارد]]*tblRecipe[[#This Row],[فروش کل]])</f>
        <v/>
      </c>
      <c r="W10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5" s="69">
        <f>IF(tblRecipe[[#This Row],[کد ماده]]="","",tblRecipe[[#This Row],[مقدار استاندارد]]*tblRecipe[[#This Row],[فروش بازه]])</f>
        <v/>
      </c>
      <c r="Y105" s="44" t="inlineStr">
        <is>
          <t>قابل ویرایش</t>
        </is>
      </c>
    </row>
    <row r="106">
      <c r="M106" s="44" t="inlineStr">
        <is>
          <t>IC-AMR</t>
        </is>
      </c>
      <c r="N106" s="33">
        <f>IF(tblRecipe[[#This Row],[کد محصول]]="","",IFERROR(INDEX(tblMenu[نام محصول],MATCH(tblRecipe[[#This Row],[کد محصول]],tblMenu[کد محصول],0)),"کد نامعتبر"))</f>
        <v/>
      </c>
      <c r="O106" s="44" t="inlineStr">
        <is>
          <t>ING-006</t>
        </is>
      </c>
      <c r="P106" s="33">
        <f>IF(tblRecipe[[#This Row],[کد ماده]]="","",IFERROR(INDEX(tblIngredients[نام ماده],MATCH(tblRecipe[[#This Row],[کد ماده]],tblIngredients[کد ماده],0)),"کد نامعتبر"))</f>
        <v/>
      </c>
      <c r="Q106" s="33">
        <f>IF(tblRecipe[[#This Row],[کد ماده]]="","",IFERROR(INDEX(tblIngredients[واحد],MATCH(tblRecipe[[#This Row],[کد ماده]],tblIngredients[کد ماده],0)),""))</f>
        <v/>
      </c>
      <c r="R106" s="45" t="n">
        <v>150</v>
      </c>
      <c r="S106" s="74">
        <f>IF(tblRecipe[[#This Row],[کد ماده]]="","",IFERROR(INDEX(tblIngredients[بهای میانگین],MATCH(tblRecipe[[#This Row],[کد ماده]],tblIngredients[کد ماده],0)),0))</f>
        <v/>
      </c>
      <c r="T106" s="34">
        <f>IF(tblRecipe[[#This Row],[کد ماده]]="","",tblRecipe[[#This Row],[مقدار استاندارد]]*tblRecipe[[#This Row],[بهای واحد ماده]])</f>
        <v/>
      </c>
      <c r="U10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6" s="69">
        <f>IF(tblRecipe[[#This Row],[کد ماده]]="","",tblRecipe[[#This Row],[مقدار استاندارد]]*tblRecipe[[#This Row],[فروش کل]])</f>
        <v/>
      </c>
      <c r="W10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6" s="69">
        <f>IF(tblRecipe[[#This Row],[کد ماده]]="","",tblRecipe[[#This Row],[مقدار استاندارد]]*tblRecipe[[#This Row],[فروش بازه]])</f>
        <v/>
      </c>
      <c r="Y106" s="44" t="inlineStr">
        <is>
          <t>قابل ویرایش</t>
        </is>
      </c>
    </row>
    <row r="107">
      <c r="M107" s="44" t="inlineStr">
        <is>
          <t>IC-AMR</t>
        </is>
      </c>
      <c r="N107" s="33">
        <f>IF(tblRecipe[[#This Row],[کد محصول]]="","",IFERROR(INDEX(tblMenu[نام محصول],MATCH(tblRecipe[[#This Row],[کد محصول]],tblMenu[کد محصول],0)),"کد نامعتبر"))</f>
        <v/>
      </c>
      <c r="O107" s="44" t="inlineStr">
        <is>
          <t>ING-029</t>
        </is>
      </c>
      <c r="P107" s="33">
        <f>IF(tblRecipe[[#This Row],[کد ماده]]="","",IFERROR(INDEX(tblIngredients[نام ماده],MATCH(tblRecipe[[#This Row],[کد ماده]],tblIngredients[کد ماده],0)),"کد نامعتبر"))</f>
        <v/>
      </c>
      <c r="Q107" s="33">
        <f>IF(tblRecipe[[#This Row],[کد ماده]]="","",IFERROR(INDEX(tblIngredients[واحد],MATCH(tblRecipe[[#This Row],[کد ماده]],tblIngredients[کد ماده],0)),""))</f>
        <v/>
      </c>
      <c r="R107" s="45" t="n">
        <v>1</v>
      </c>
      <c r="S107" s="74">
        <f>IF(tblRecipe[[#This Row],[کد ماده]]="","",IFERROR(INDEX(tblIngredients[بهای میانگین],MATCH(tblRecipe[[#This Row],[کد ماده]],tblIngredients[کد ماده],0)),0))</f>
        <v/>
      </c>
      <c r="T107" s="34">
        <f>IF(tblRecipe[[#This Row],[کد ماده]]="","",tblRecipe[[#This Row],[مقدار استاندارد]]*tblRecipe[[#This Row],[بهای واحد ماده]])</f>
        <v/>
      </c>
      <c r="U10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7" s="69">
        <f>IF(tblRecipe[[#This Row],[کد ماده]]="","",tblRecipe[[#This Row],[مقدار استاندارد]]*tblRecipe[[#This Row],[فروش کل]])</f>
        <v/>
      </c>
      <c r="W10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7" s="69">
        <f>IF(tblRecipe[[#This Row],[کد ماده]]="","",tblRecipe[[#This Row],[مقدار استاندارد]]*tblRecipe[[#This Row],[فروش بازه]])</f>
        <v/>
      </c>
      <c r="Y107" s="44" t="inlineStr">
        <is>
          <t>قابل ویرایش</t>
        </is>
      </c>
    </row>
    <row r="108">
      <c r="M108" s="44" t="inlineStr">
        <is>
          <t>IC-LAT</t>
        </is>
      </c>
      <c r="N108" s="33">
        <f>IF(tblRecipe[[#This Row],[کد محصول]]="","",IFERROR(INDEX(tblMenu[نام محصول],MATCH(tblRecipe[[#This Row],[کد محصول]],tblMenu[کد محصول],0)),"کد نامعتبر"))</f>
        <v/>
      </c>
      <c r="O108" s="44" t="inlineStr">
        <is>
          <t>ING-001</t>
        </is>
      </c>
      <c r="P108" s="33">
        <f>IF(tblRecipe[[#This Row],[کد ماده]]="","",IFERROR(INDEX(tblIngredients[نام ماده],MATCH(tblRecipe[[#This Row],[کد ماده]],tblIngredients[کد ماده],0)),"کد نامعتبر"))</f>
        <v/>
      </c>
      <c r="Q108" s="33">
        <f>IF(tblRecipe[[#This Row],[کد ماده]]="","",IFERROR(INDEX(tblIngredients[واحد],MATCH(tblRecipe[[#This Row],[کد ماده]],tblIngredients[کد ماده],0)),""))</f>
        <v/>
      </c>
      <c r="R108" s="45" t="n">
        <v>20</v>
      </c>
      <c r="S108" s="74">
        <f>IF(tblRecipe[[#This Row],[کد ماده]]="","",IFERROR(INDEX(tblIngredients[بهای میانگین],MATCH(tblRecipe[[#This Row],[کد ماده]],tblIngredients[کد ماده],0)),0))</f>
        <v/>
      </c>
      <c r="T108" s="34">
        <f>IF(tblRecipe[[#This Row],[کد ماده]]="","",tblRecipe[[#This Row],[مقدار استاندارد]]*tblRecipe[[#This Row],[بهای واحد ماده]])</f>
        <v/>
      </c>
      <c r="U10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8" s="69">
        <f>IF(tblRecipe[[#This Row],[کد ماده]]="","",tblRecipe[[#This Row],[مقدار استاندارد]]*tblRecipe[[#This Row],[فروش کل]])</f>
        <v/>
      </c>
      <c r="W10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8" s="69">
        <f>IF(tblRecipe[[#This Row],[کد ماده]]="","",tblRecipe[[#This Row],[مقدار استاندارد]]*tblRecipe[[#This Row],[فروش بازه]])</f>
        <v/>
      </c>
      <c r="Y108" s="44" t="inlineStr">
        <is>
          <t>قابل ویرایش</t>
        </is>
      </c>
    </row>
    <row r="109">
      <c r="M109" s="44" t="inlineStr">
        <is>
          <t>IC-LAT</t>
        </is>
      </c>
      <c r="N109" s="33">
        <f>IF(tblRecipe[[#This Row],[کد محصول]]="","",IFERROR(INDEX(tblMenu[نام محصول],MATCH(tblRecipe[[#This Row],[کد محصول]],tblMenu[کد محصول],0)),"کد نامعتبر"))</f>
        <v/>
      </c>
      <c r="O109" s="44" t="inlineStr">
        <is>
          <t>ING-002</t>
        </is>
      </c>
      <c r="P109" s="33">
        <f>IF(tblRecipe[[#This Row],[کد ماده]]="","",IFERROR(INDEX(tblIngredients[نام ماده],MATCH(tblRecipe[[#This Row],[کد ماده]],tblIngredients[کد ماده],0)),"کد نامعتبر"))</f>
        <v/>
      </c>
      <c r="Q109" s="33">
        <f>IF(tblRecipe[[#This Row],[کد ماده]]="","",IFERROR(INDEX(tblIngredients[واحد],MATCH(tblRecipe[[#This Row],[کد ماده]],tblIngredients[کد ماده],0)),""))</f>
        <v/>
      </c>
      <c r="R109" s="45" t="n">
        <v>180</v>
      </c>
      <c r="S109" s="74">
        <f>IF(tblRecipe[[#This Row],[کد ماده]]="","",IFERROR(INDEX(tblIngredients[بهای میانگین],MATCH(tblRecipe[[#This Row],[کد ماده]],tblIngredients[کد ماده],0)),0))</f>
        <v/>
      </c>
      <c r="T109" s="34">
        <f>IF(tblRecipe[[#This Row],[کد ماده]]="","",tblRecipe[[#This Row],[مقدار استاندارد]]*tblRecipe[[#This Row],[بهای واحد ماده]])</f>
        <v/>
      </c>
      <c r="U10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9" s="69">
        <f>IF(tblRecipe[[#This Row],[کد ماده]]="","",tblRecipe[[#This Row],[مقدار استاندارد]]*tblRecipe[[#This Row],[فروش کل]])</f>
        <v/>
      </c>
      <c r="W10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9" s="69">
        <f>IF(tblRecipe[[#This Row],[کد ماده]]="","",tblRecipe[[#This Row],[مقدار استاندارد]]*tblRecipe[[#This Row],[فروش بازه]])</f>
        <v/>
      </c>
      <c r="Y109" s="44" t="inlineStr">
        <is>
          <t>قابل ویرایش</t>
        </is>
      </c>
    </row>
    <row r="110">
      <c r="M110" s="44" t="inlineStr">
        <is>
          <t>IC-LAT</t>
        </is>
      </c>
      <c r="N110" s="33">
        <f>IF(tblRecipe[[#This Row],[کد محصول]]="","",IFERROR(INDEX(tblMenu[نام محصول],MATCH(tblRecipe[[#This Row],[کد محصول]],tblMenu[کد محصول],0)),"کد نامعتبر"))</f>
        <v/>
      </c>
      <c r="O110" s="44" t="inlineStr">
        <is>
          <t>ING-006</t>
        </is>
      </c>
      <c r="P110" s="33">
        <f>IF(tblRecipe[[#This Row],[کد ماده]]="","",IFERROR(INDEX(tblIngredients[نام ماده],MATCH(tblRecipe[[#This Row],[کد ماده]],tblIngredients[کد ماده],0)),"کد نامعتبر"))</f>
        <v/>
      </c>
      <c r="Q110" s="33">
        <f>IF(tblRecipe[[#This Row],[کد ماده]]="","",IFERROR(INDEX(tblIngredients[واحد],MATCH(tblRecipe[[#This Row],[کد ماده]],tblIngredients[کد ماده],0)),""))</f>
        <v/>
      </c>
      <c r="R110" s="45" t="n">
        <v>130</v>
      </c>
      <c r="S110" s="74">
        <f>IF(tblRecipe[[#This Row],[کد ماده]]="","",IFERROR(INDEX(tblIngredients[بهای میانگین],MATCH(tblRecipe[[#This Row],[کد ماده]],tblIngredients[کد ماده],0)),0))</f>
        <v/>
      </c>
      <c r="T110" s="34">
        <f>IF(tblRecipe[[#This Row],[کد ماده]]="","",tblRecipe[[#This Row],[مقدار استاندارد]]*tblRecipe[[#This Row],[بهای واحد ماده]])</f>
        <v/>
      </c>
      <c r="U11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0" s="69">
        <f>IF(tblRecipe[[#This Row],[کد ماده]]="","",tblRecipe[[#This Row],[مقدار استاندارد]]*tblRecipe[[#This Row],[فروش کل]])</f>
        <v/>
      </c>
      <c r="W11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0" s="69">
        <f>IF(tblRecipe[[#This Row],[کد ماده]]="","",tblRecipe[[#This Row],[مقدار استاندارد]]*tblRecipe[[#This Row],[فروش بازه]])</f>
        <v/>
      </c>
      <c r="Y110" s="44" t="inlineStr">
        <is>
          <t>قابل ویرایش</t>
        </is>
      </c>
    </row>
    <row r="111">
      <c r="M111" s="44" t="inlineStr">
        <is>
          <t>IC-LAT</t>
        </is>
      </c>
      <c r="N111" s="33">
        <f>IF(tblRecipe[[#This Row],[کد محصول]]="","",IFERROR(INDEX(tblMenu[نام محصول],MATCH(tblRecipe[[#This Row],[کد محصول]],tblMenu[کد محصول],0)),"کد نامعتبر"))</f>
        <v/>
      </c>
      <c r="O111" s="44" t="inlineStr">
        <is>
          <t>ING-029</t>
        </is>
      </c>
      <c r="P111" s="33">
        <f>IF(tblRecipe[[#This Row],[کد ماده]]="","",IFERROR(INDEX(tblIngredients[نام ماده],MATCH(tblRecipe[[#This Row],[کد ماده]],tblIngredients[کد ماده],0)),"کد نامعتبر"))</f>
        <v/>
      </c>
      <c r="Q111" s="33">
        <f>IF(tblRecipe[[#This Row],[کد ماده]]="","",IFERROR(INDEX(tblIngredients[واحد],MATCH(tblRecipe[[#This Row],[کد ماده]],tblIngredients[کد ماده],0)),""))</f>
        <v/>
      </c>
      <c r="R111" s="45" t="n">
        <v>1</v>
      </c>
      <c r="S111" s="74">
        <f>IF(tblRecipe[[#This Row],[کد ماده]]="","",IFERROR(INDEX(tblIngredients[بهای میانگین],MATCH(tblRecipe[[#This Row],[کد ماده]],tblIngredients[کد ماده],0)),0))</f>
        <v/>
      </c>
      <c r="T111" s="34">
        <f>IF(tblRecipe[[#This Row],[کد ماده]]="","",tblRecipe[[#This Row],[مقدار استاندارد]]*tblRecipe[[#This Row],[بهای واحد ماده]])</f>
        <v/>
      </c>
      <c r="U11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1" s="69">
        <f>IF(tblRecipe[[#This Row],[کد ماده]]="","",tblRecipe[[#This Row],[مقدار استاندارد]]*tblRecipe[[#This Row],[فروش کل]])</f>
        <v/>
      </c>
      <c r="W11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1" s="69">
        <f>IF(tblRecipe[[#This Row],[کد ماده]]="","",tblRecipe[[#This Row],[مقدار استاندارد]]*tblRecipe[[#This Row],[فروش بازه]])</f>
        <v/>
      </c>
      <c r="Y111" s="44" t="inlineStr">
        <is>
          <t>قابل ویرایش</t>
        </is>
      </c>
    </row>
    <row r="112">
      <c r="M112" s="44" t="inlineStr">
        <is>
          <t>IC-CAR</t>
        </is>
      </c>
      <c r="N112" s="33">
        <f>IF(tblRecipe[[#This Row],[کد محصول]]="","",IFERROR(INDEX(tblMenu[نام محصول],MATCH(tblRecipe[[#This Row],[کد محصول]],tblMenu[کد محصول],0)),"کد نامعتبر"))</f>
        <v/>
      </c>
      <c r="O112" s="44" t="inlineStr">
        <is>
          <t>ING-001</t>
        </is>
      </c>
      <c r="P112" s="33">
        <f>IF(tblRecipe[[#This Row],[کد ماده]]="","",IFERROR(INDEX(tblIngredients[نام ماده],MATCH(tblRecipe[[#This Row],[کد ماده]],tblIngredients[کد ماده],0)),"کد نامعتبر"))</f>
        <v/>
      </c>
      <c r="Q112" s="33">
        <f>IF(tblRecipe[[#This Row],[کد ماده]]="","",IFERROR(INDEX(tblIngredients[واحد],MATCH(tblRecipe[[#This Row],[کد ماده]],tblIngredients[کد ماده],0)),""))</f>
        <v/>
      </c>
      <c r="R112" s="45" t="n">
        <v>20</v>
      </c>
      <c r="S112" s="74">
        <f>IF(tblRecipe[[#This Row],[کد ماده]]="","",IFERROR(INDEX(tblIngredients[بهای میانگین],MATCH(tblRecipe[[#This Row],[کد ماده]],tblIngredients[کد ماده],0)),0))</f>
        <v/>
      </c>
      <c r="T112" s="34">
        <f>IF(tblRecipe[[#This Row],[کد ماده]]="","",tblRecipe[[#This Row],[مقدار استاندارد]]*tblRecipe[[#This Row],[بهای واحد ماده]])</f>
        <v/>
      </c>
      <c r="U11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2" s="69">
        <f>IF(tblRecipe[[#This Row],[کد ماده]]="","",tblRecipe[[#This Row],[مقدار استاندارد]]*tblRecipe[[#This Row],[فروش کل]])</f>
        <v/>
      </c>
      <c r="W11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2" s="69">
        <f>IF(tblRecipe[[#This Row],[کد ماده]]="","",tblRecipe[[#This Row],[مقدار استاندارد]]*tblRecipe[[#This Row],[فروش بازه]])</f>
        <v/>
      </c>
      <c r="Y112" s="44" t="inlineStr">
        <is>
          <t>قابل ویرایش</t>
        </is>
      </c>
    </row>
    <row r="113">
      <c r="M113" s="44" t="inlineStr">
        <is>
          <t>IC-CAR</t>
        </is>
      </c>
      <c r="N113" s="33">
        <f>IF(tblRecipe[[#This Row],[کد محصول]]="","",IFERROR(INDEX(tblMenu[نام محصول],MATCH(tblRecipe[[#This Row],[کد محصول]],tblMenu[کد محصول],0)),"کد نامعتبر"))</f>
        <v/>
      </c>
      <c r="O113" s="44" t="inlineStr">
        <is>
          <t>ING-002</t>
        </is>
      </c>
      <c r="P113" s="33">
        <f>IF(tblRecipe[[#This Row],[کد ماده]]="","",IFERROR(INDEX(tblIngredients[نام ماده],MATCH(tblRecipe[[#This Row],[کد ماده]],tblIngredients[کد ماده],0)),"کد نامعتبر"))</f>
        <v/>
      </c>
      <c r="Q113" s="33">
        <f>IF(tblRecipe[[#This Row],[کد ماده]]="","",IFERROR(INDEX(tblIngredients[واحد],MATCH(tblRecipe[[#This Row],[کد ماده]],tblIngredients[کد ماده],0)),""))</f>
        <v/>
      </c>
      <c r="R113" s="45" t="n">
        <v>170</v>
      </c>
      <c r="S113" s="74">
        <f>IF(tblRecipe[[#This Row],[کد ماده]]="","",IFERROR(INDEX(tblIngredients[بهای میانگین],MATCH(tblRecipe[[#This Row],[کد ماده]],tblIngredients[کد ماده],0)),0))</f>
        <v/>
      </c>
      <c r="T113" s="34">
        <f>IF(tblRecipe[[#This Row],[کد ماده]]="","",tblRecipe[[#This Row],[مقدار استاندارد]]*tblRecipe[[#This Row],[بهای واحد ماده]])</f>
        <v/>
      </c>
      <c r="U11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3" s="69">
        <f>IF(tblRecipe[[#This Row],[کد ماده]]="","",tblRecipe[[#This Row],[مقدار استاندارد]]*tblRecipe[[#This Row],[فروش کل]])</f>
        <v/>
      </c>
      <c r="W11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3" s="69">
        <f>IF(tblRecipe[[#This Row],[کد ماده]]="","",tblRecipe[[#This Row],[مقدار استاندارد]]*tblRecipe[[#This Row],[فروش بازه]])</f>
        <v/>
      </c>
      <c r="Y113" s="44" t="inlineStr">
        <is>
          <t>قابل ویرایش</t>
        </is>
      </c>
    </row>
    <row r="114">
      <c r="M114" s="44" t="inlineStr">
        <is>
          <t>IC-CAR</t>
        </is>
      </c>
      <c r="N114" s="33">
        <f>IF(tblRecipe[[#This Row],[کد محصول]]="","",IFERROR(INDEX(tblMenu[نام محصول],MATCH(tblRecipe[[#This Row],[کد محصول]],tblMenu[کد محصول],0)),"کد نامعتبر"))</f>
        <v/>
      </c>
      <c r="O114" s="44" t="inlineStr">
        <is>
          <t>ING-004</t>
        </is>
      </c>
      <c r="P114" s="33">
        <f>IF(tblRecipe[[#This Row],[کد ماده]]="","",IFERROR(INDEX(tblIngredients[نام ماده],MATCH(tblRecipe[[#This Row],[کد ماده]],tblIngredients[کد ماده],0)),"کد نامعتبر"))</f>
        <v/>
      </c>
      <c r="Q114" s="33">
        <f>IF(tblRecipe[[#This Row],[کد ماده]]="","",IFERROR(INDEX(tblIngredients[واحد],MATCH(tblRecipe[[#This Row],[کد ماده]],tblIngredients[کد ماده],0)),""))</f>
        <v/>
      </c>
      <c r="R114" s="45" t="n">
        <v>25</v>
      </c>
      <c r="S114" s="74">
        <f>IF(tblRecipe[[#This Row],[کد ماده]]="","",IFERROR(INDEX(tblIngredients[بهای میانگین],MATCH(tblRecipe[[#This Row],[کد ماده]],tblIngredients[کد ماده],0)),0))</f>
        <v/>
      </c>
      <c r="T114" s="34">
        <f>IF(tblRecipe[[#This Row],[کد ماده]]="","",tblRecipe[[#This Row],[مقدار استاندارد]]*tblRecipe[[#This Row],[بهای واحد ماده]])</f>
        <v/>
      </c>
      <c r="U11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4" s="69">
        <f>IF(tblRecipe[[#This Row],[کد ماده]]="","",tblRecipe[[#This Row],[مقدار استاندارد]]*tblRecipe[[#This Row],[فروش کل]])</f>
        <v/>
      </c>
      <c r="W11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4" s="69">
        <f>IF(tblRecipe[[#This Row],[کد ماده]]="","",tblRecipe[[#This Row],[مقدار استاندارد]]*tblRecipe[[#This Row],[فروش بازه]])</f>
        <v/>
      </c>
      <c r="Y114" s="44" t="inlineStr">
        <is>
          <t>قابل ویرایش</t>
        </is>
      </c>
    </row>
    <row r="115">
      <c r="M115" s="44" t="inlineStr">
        <is>
          <t>IC-CAR</t>
        </is>
      </c>
      <c r="N115" s="33">
        <f>IF(tblRecipe[[#This Row],[کد محصول]]="","",IFERROR(INDEX(tblMenu[نام محصول],MATCH(tblRecipe[[#This Row],[کد محصول]],tblMenu[کد محصول],0)),"کد نامعتبر"))</f>
        <v/>
      </c>
      <c r="O115" s="44" t="inlineStr">
        <is>
          <t>ING-006</t>
        </is>
      </c>
      <c r="P115" s="33">
        <f>IF(tblRecipe[[#This Row],[کد ماده]]="","",IFERROR(INDEX(tblIngredients[نام ماده],MATCH(tblRecipe[[#This Row],[کد ماده]],tblIngredients[کد ماده],0)),"کد نامعتبر"))</f>
        <v/>
      </c>
      <c r="Q115" s="33">
        <f>IF(tblRecipe[[#This Row],[کد ماده]]="","",IFERROR(INDEX(tblIngredients[واحد],MATCH(tblRecipe[[#This Row],[کد ماده]],tblIngredients[کد ماده],0)),""))</f>
        <v/>
      </c>
      <c r="R115" s="45" t="n">
        <v>130</v>
      </c>
      <c r="S115" s="74">
        <f>IF(tblRecipe[[#This Row],[کد ماده]]="","",IFERROR(INDEX(tblIngredients[بهای میانگین],MATCH(tblRecipe[[#This Row],[کد ماده]],tblIngredients[کد ماده],0)),0))</f>
        <v/>
      </c>
      <c r="T115" s="34">
        <f>IF(tblRecipe[[#This Row],[کد ماده]]="","",tblRecipe[[#This Row],[مقدار استاندارد]]*tblRecipe[[#This Row],[بهای واحد ماده]])</f>
        <v/>
      </c>
      <c r="U11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5" s="69">
        <f>IF(tblRecipe[[#This Row],[کد ماده]]="","",tblRecipe[[#This Row],[مقدار استاندارد]]*tblRecipe[[#This Row],[فروش کل]])</f>
        <v/>
      </c>
      <c r="W11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5" s="69">
        <f>IF(tblRecipe[[#This Row],[کد ماده]]="","",tblRecipe[[#This Row],[مقدار استاندارد]]*tblRecipe[[#This Row],[فروش بازه]])</f>
        <v/>
      </c>
      <c r="Y115" s="44" t="inlineStr">
        <is>
          <t>قابل ویرایش</t>
        </is>
      </c>
    </row>
    <row r="116">
      <c r="M116" s="44" t="inlineStr">
        <is>
          <t>IC-CAR</t>
        </is>
      </c>
      <c r="N116" s="33">
        <f>IF(tblRecipe[[#This Row],[کد محصول]]="","",IFERROR(INDEX(tblMenu[نام محصول],MATCH(tblRecipe[[#This Row],[کد محصول]],tblMenu[کد محصول],0)),"کد نامعتبر"))</f>
        <v/>
      </c>
      <c r="O116" s="44" t="inlineStr">
        <is>
          <t>ING-029</t>
        </is>
      </c>
      <c r="P116" s="33">
        <f>IF(tblRecipe[[#This Row],[کد ماده]]="","",IFERROR(INDEX(tblIngredients[نام ماده],MATCH(tblRecipe[[#This Row],[کد ماده]],tblIngredients[کد ماده],0)),"کد نامعتبر"))</f>
        <v/>
      </c>
      <c r="Q116" s="33">
        <f>IF(tblRecipe[[#This Row],[کد ماده]]="","",IFERROR(INDEX(tblIngredients[واحد],MATCH(tblRecipe[[#This Row],[کد ماده]],tblIngredients[کد ماده],0)),""))</f>
        <v/>
      </c>
      <c r="R116" s="45" t="n">
        <v>1</v>
      </c>
      <c r="S116" s="74">
        <f>IF(tblRecipe[[#This Row],[کد ماده]]="","",IFERROR(INDEX(tblIngredients[بهای میانگین],MATCH(tblRecipe[[#This Row],[کد ماده]],tblIngredients[کد ماده],0)),0))</f>
        <v/>
      </c>
      <c r="T116" s="34">
        <f>IF(tblRecipe[[#This Row],[کد ماده]]="","",tblRecipe[[#This Row],[مقدار استاندارد]]*tblRecipe[[#This Row],[بهای واحد ماده]])</f>
        <v/>
      </c>
      <c r="U11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6" s="69">
        <f>IF(tblRecipe[[#This Row],[کد ماده]]="","",tblRecipe[[#This Row],[مقدار استاندارد]]*tblRecipe[[#This Row],[فروش کل]])</f>
        <v/>
      </c>
      <c r="W11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6" s="69">
        <f>IF(tblRecipe[[#This Row],[کد ماده]]="","",tblRecipe[[#This Row],[مقدار استاندارد]]*tblRecipe[[#This Row],[فروش بازه]])</f>
        <v/>
      </c>
      <c r="Y116" s="44" t="inlineStr">
        <is>
          <t>قابل ویرایش</t>
        </is>
      </c>
    </row>
    <row r="117">
      <c r="M117" s="44" t="inlineStr">
        <is>
          <t>IC-MOC</t>
        </is>
      </c>
      <c r="N117" s="33">
        <f>IF(tblRecipe[[#This Row],[کد محصول]]="","",IFERROR(INDEX(tblMenu[نام محصول],MATCH(tblRecipe[[#This Row],[کد محصول]],tblMenu[کد محصول],0)),"کد نامعتبر"))</f>
        <v/>
      </c>
      <c r="O117" s="44" t="inlineStr">
        <is>
          <t>ING-001</t>
        </is>
      </c>
      <c r="P117" s="33">
        <f>IF(tblRecipe[[#This Row],[کد ماده]]="","",IFERROR(INDEX(tblIngredients[نام ماده],MATCH(tblRecipe[[#This Row],[کد ماده]],tblIngredients[کد ماده],0)),"کد نامعتبر"))</f>
        <v/>
      </c>
      <c r="Q117" s="33">
        <f>IF(tblRecipe[[#This Row],[کد ماده]]="","",IFERROR(INDEX(tblIngredients[واحد],MATCH(tblRecipe[[#This Row],[کد ماده]],tblIngredients[کد ماده],0)),""))</f>
        <v/>
      </c>
      <c r="R117" s="45" t="n">
        <v>20</v>
      </c>
      <c r="S117" s="74">
        <f>IF(tblRecipe[[#This Row],[کد ماده]]="","",IFERROR(INDEX(tblIngredients[بهای میانگین],MATCH(tblRecipe[[#This Row],[کد ماده]],tblIngredients[کد ماده],0)),0))</f>
        <v/>
      </c>
      <c r="T117" s="34">
        <f>IF(tblRecipe[[#This Row],[کد ماده]]="","",tblRecipe[[#This Row],[مقدار استاندارد]]*tblRecipe[[#This Row],[بهای واحد ماده]])</f>
        <v/>
      </c>
      <c r="U11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7" s="69">
        <f>IF(tblRecipe[[#This Row],[کد ماده]]="","",tblRecipe[[#This Row],[مقدار استاندارد]]*tblRecipe[[#This Row],[فروش کل]])</f>
        <v/>
      </c>
      <c r="W11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7" s="69">
        <f>IF(tblRecipe[[#This Row],[کد ماده]]="","",tblRecipe[[#This Row],[مقدار استاندارد]]*tblRecipe[[#This Row],[فروش بازه]])</f>
        <v/>
      </c>
      <c r="Y117" s="44" t="inlineStr">
        <is>
          <t>قابل ویرایش</t>
        </is>
      </c>
    </row>
    <row r="118">
      <c r="M118" s="44" t="inlineStr">
        <is>
          <t>IC-MOC</t>
        </is>
      </c>
      <c r="N118" s="33">
        <f>IF(tblRecipe[[#This Row],[کد محصول]]="","",IFERROR(INDEX(tblMenu[نام محصول],MATCH(tblRecipe[[#This Row],[کد محصول]],tblMenu[کد محصول],0)),"کد نامعتبر"))</f>
        <v/>
      </c>
      <c r="O118" s="44" t="inlineStr">
        <is>
          <t>ING-002</t>
        </is>
      </c>
      <c r="P118" s="33">
        <f>IF(tblRecipe[[#This Row],[کد ماده]]="","",IFERROR(INDEX(tblIngredients[نام ماده],MATCH(tblRecipe[[#This Row],[کد ماده]],tblIngredients[کد ماده],0)),"کد نامعتبر"))</f>
        <v/>
      </c>
      <c r="Q118" s="33">
        <f>IF(tblRecipe[[#This Row],[کد ماده]]="","",IFERROR(INDEX(tblIngredients[واحد],MATCH(tblRecipe[[#This Row],[کد ماده]],tblIngredients[کد ماده],0)),""))</f>
        <v/>
      </c>
      <c r="R118" s="45" t="n">
        <v>170</v>
      </c>
      <c r="S118" s="74">
        <f>IF(tblRecipe[[#This Row],[کد ماده]]="","",IFERROR(INDEX(tblIngredients[بهای میانگین],MATCH(tblRecipe[[#This Row],[کد ماده]],tblIngredients[کد ماده],0)),0))</f>
        <v/>
      </c>
      <c r="T118" s="34">
        <f>IF(tblRecipe[[#This Row],[کد ماده]]="","",tblRecipe[[#This Row],[مقدار استاندارد]]*tblRecipe[[#This Row],[بهای واحد ماده]])</f>
        <v/>
      </c>
      <c r="U11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8" s="69">
        <f>IF(tblRecipe[[#This Row],[کد ماده]]="","",tblRecipe[[#This Row],[مقدار استاندارد]]*tblRecipe[[#This Row],[فروش کل]])</f>
        <v/>
      </c>
      <c r="W11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8" s="69">
        <f>IF(tblRecipe[[#This Row],[کد ماده]]="","",tblRecipe[[#This Row],[مقدار استاندارد]]*tblRecipe[[#This Row],[فروش بازه]])</f>
        <v/>
      </c>
      <c r="Y118" s="44" t="inlineStr">
        <is>
          <t>قابل ویرایش</t>
        </is>
      </c>
    </row>
    <row r="119">
      <c r="M119" s="44" t="inlineStr">
        <is>
          <t>IC-MOC</t>
        </is>
      </c>
      <c r="N119" s="33">
        <f>IF(tblRecipe[[#This Row],[کد محصول]]="","",IFERROR(INDEX(tblMenu[نام محصول],MATCH(tblRecipe[[#This Row],[کد محصول]],tblMenu[کد محصول],0)),"کد نامعتبر"))</f>
        <v/>
      </c>
      <c r="O119" s="44" t="inlineStr">
        <is>
          <t>ING-005</t>
        </is>
      </c>
      <c r="P119" s="33">
        <f>IF(tblRecipe[[#This Row],[کد ماده]]="","",IFERROR(INDEX(tblIngredients[نام ماده],MATCH(tblRecipe[[#This Row],[کد ماده]],tblIngredients[کد ماده],0)),"کد نامعتبر"))</f>
        <v/>
      </c>
      <c r="Q119" s="33">
        <f>IF(tblRecipe[[#This Row],[کد ماده]]="","",IFERROR(INDEX(tblIngredients[واحد],MATCH(tblRecipe[[#This Row],[کد ماده]],tblIngredients[کد ماده],0)),""))</f>
        <v/>
      </c>
      <c r="R119" s="45" t="n">
        <v>20</v>
      </c>
      <c r="S119" s="74">
        <f>IF(tblRecipe[[#This Row],[کد ماده]]="","",IFERROR(INDEX(tblIngredients[بهای میانگین],MATCH(tblRecipe[[#This Row],[کد ماده]],tblIngredients[کد ماده],0)),0))</f>
        <v/>
      </c>
      <c r="T119" s="34">
        <f>IF(tblRecipe[[#This Row],[کد ماده]]="","",tblRecipe[[#This Row],[مقدار استاندارد]]*tblRecipe[[#This Row],[بهای واحد ماده]])</f>
        <v/>
      </c>
      <c r="U11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9" s="69">
        <f>IF(tblRecipe[[#This Row],[کد ماده]]="","",tblRecipe[[#This Row],[مقدار استاندارد]]*tblRecipe[[#This Row],[فروش کل]])</f>
        <v/>
      </c>
      <c r="W11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9" s="69">
        <f>IF(tblRecipe[[#This Row],[کد ماده]]="","",tblRecipe[[#This Row],[مقدار استاندارد]]*tblRecipe[[#This Row],[فروش بازه]])</f>
        <v/>
      </c>
      <c r="Y119" s="44" t="inlineStr">
        <is>
          <t>قابل ویرایش</t>
        </is>
      </c>
    </row>
    <row r="120">
      <c r="M120" s="44" t="inlineStr">
        <is>
          <t>IC-MOC</t>
        </is>
      </c>
      <c r="N120" s="33">
        <f>IF(tblRecipe[[#This Row],[کد محصول]]="","",IFERROR(INDEX(tblMenu[نام محصول],MATCH(tblRecipe[[#This Row],[کد محصول]],tblMenu[کد محصول],0)),"کد نامعتبر"))</f>
        <v/>
      </c>
      <c r="O120" s="44" t="inlineStr">
        <is>
          <t>ING-006</t>
        </is>
      </c>
      <c r="P120" s="33">
        <f>IF(tblRecipe[[#This Row],[کد ماده]]="","",IFERROR(INDEX(tblIngredients[نام ماده],MATCH(tblRecipe[[#This Row],[کد ماده]],tblIngredients[کد ماده],0)),"کد نامعتبر"))</f>
        <v/>
      </c>
      <c r="Q120" s="33">
        <f>IF(tblRecipe[[#This Row],[کد ماده]]="","",IFERROR(INDEX(tblIngredients[واحد],MATCH(tblRecipe[[#This Row],[کد ماده]],tblIngredients[کد ماده],0)),""))</f>
        <v/>
      </c>
      <c r="R120" s="45" t="n">
        <v>130</v>
      </c>
      <c r="S120" s="74">
        <f>IF(tblRecipe[[#This Row],[کد ماده]]="","",IFERROR(INDEX(tblIngredients[بهای میانگین],MATCH(tblRecipe[[#This Row],[کد ماده]],tblIngredients[کد ماده],0)),0))</f>
        <v/>
      </c>
      <c r="T120" s="34">
        <f>IF(tblRecipe[[#This Row],[کد ماده]]="","",tblRecipe[[#This Row],[مقدار استاندارد]]*tblRecipe[[#This Row],[بهای واحد ماده]])</f>
        <v/>
      </c>
      <c r="U12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0" s="69">
        <f>IF(tblRecipe[[#This Row],[کد ماده]]="","",tblRecipe[[#This Row],[مقدار استاندارد]]*tblRecipe[[#This Row],[فروش کل]])</f>
        <v/>
      </c>
      <c r="W12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0" s="69">
        <f>IF(tblRecipe[[#This Row],[کد ماده]]="","",tblRecipe[[#This Row],[مقدار استاندارد]]*tblRecipe[[#This Row],[فروش بازه]])</f>
        <v/>
      </c>
      <c r="Y120" s="44" t="inlineStr">
        <is>
          <t>قابل ویرایش</t>
        </is>
      </c>
    </row>
    <row r="121">
      <c r="M121" s="44" t="inlineStr">
        <is>
          <t>IC-MOC</t>
        </is>
      </c>
      <c r="N121" s="33">
        <f>IF(tblRecipe[[#This Row],[کد محصول]]="","",IFERROR(INDEX(tblMenu[نام محصول],MATCH(tblRecipe[[#This Row],[کد محصول]],tblMenu[کد محصول],0)),"کد نامعتبر"))</f>
        <v/>
      </c>
      <c r="O121" s="44" t="inlineStr">
        <is>
          <t>ING-029</t>
        </is>
      </c>
      <c r="P121" s="33">
        <f>IF(tblRecipe[[#This Row],[کد ماده]]="","",IFERROR(INDEX(tblIngredients[نام ماده],MATCH(tblRecipe[[#This Row],[کد ماده]],tblIngredients[کد ماده],0)),"کد نامعتبر"))</f>
        <v/>
      </c>
      <c r="Q121" s="33">
        <f>IF(tblRecipe[[#This Row],[کد ماده]]="","",IFERROR(INDEX(tblIngredients[واحد],MATCH(tblRecipe[[#This Row],[کد ماده]],tblIngredients[کد ماده],0)),""))</f>
        <v/>
      </c>
      <c r="R121" s="45" t="n">
        <v>1</v>
      </c>
      <c r="S121" s="74">
        <f>IF(tblRecipe[[#This Row],[کد ماده]]="","",IFERROR(INDEX(tblIngredients[بهای میانگین],MATCH(tblRecipe[[#This Row],[کد ماده]],tblIngredients[کد ماده],0)),0))</f>
        <v/>
      </c>
      <c r="T121" s="34">
        <f>IF(tblRecipe[[#This Row],[کد ماده]]="","",tblRecipe[[#This Row],[مقدار استاندارد]]*tblRecipe[[#This Row],[بهای واحد ماده]])</f>
        <v/>
      </c>
      <c r="U12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1" s="69">
        <f>IF(tblRecipe[[#This Row],[کد ماده]]="","",tblRecipe[[#This Row],[مقدار استاندارد]]*tblRecipe[[#This Row],[فروش کل]])</f>
        <v/>
      </c>
      <c r="W12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1" s="69">
        <f>IF(tblRecipe[[#This Row],[کد ماده]]="","",tblRecipe[[#This Row],[مقدار استاندارد]]*tblRecipe[[#This Row],[فروش بازه]])</f>
        <v/>
      </c>
      <c r="Y121" s="44" t="inlineStr">
        <is>
          <t>قابل ویرایش</t>
        </is>
      </c>
    </row>
    <row r="122">
      <c r="M122" s="44" t="inlineStr">
        <is>
          <t>IC-MAT</t>
        </is>
      </c>
      <c r="N122" s="33">
        <f>IF(tblRecipe[[#This Row],[کد محصول]]="","",IFERROR(INDEX(tblMenu[نام محصول],MATCH(tblRecipe[[#This Row],[کد محصول]],tblMenu[کد محصول],0)),"کد نامعتبر"))</f>
        <v/>
      </c>
      <c r="O122" s="44" t="inlineStr">
        <is>
          <t>ING-011</t>
        </is>
      </c>
      <c r="P122" s="33">
        <f>IF(tblRecipe[[#This Row],[کد ماده]]="","",IFERROR(INDEX(tblIngredients[نام ماده],MATCH(tblRecipe[[#This Row],[کد ماده]],tblIngredients[کد ماده],0)),"کد نامعتبر"))</f>
        <v/>
      </c>
      <c r="Q122" s="33">
        <f>IF(tblRecipe[[#This Row],[کد ماده]]="","",IFERROR(INDEX(tblIngredients[واحد],MATCH(tblRecipe[[#This Row],[کد ماده]],tblIngredients[کد ماده],0)),""))</f>
        <v/>
      </c>
      <c r="R122" s="45" t="n">
        <v>9</v>
      </c>
      <c r="S122" s="74">
        <f>IF(tblRecipe[[#This Row],[کد ماده]]="","",IFERROR(INDEX(tblIngredients[بهای میانگین],MATCH(tblRecipe[[#This Row],[کد ماده]],tblIngredients[کد ماده],0)),0))</f>
        <v/>
      </c>
      <c r="T122" s="34">
        <f>IF(tblRecipe[[#This Row],[کد ماده]]="","",tblRecipe[[#This Row],[مقدار استاندارد]]*tblRecipe[[#This Row],[بهای واحد ماده]])</f>
        <v/>
      </c>
      <c r="U12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2" s="69">
        <f>IF(tblRecipe[[#This Row],[کد ماده]]="","",tblRecipe[[#This Row],[مقدار استاندارد]]*tblRecipe[[#This Row],[فروش کل]])</f>
        <v/>
      </c>
      <c r="W12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2" s="69">
        <f>IF(tblRecipe[[#This Row],[کد ماده]]="","",tblRecipe[[#This Row],[مقدار استاندارد]]*tblRecipe[[#This Row],[فروش بازه]])</f>
        <v/>
      </c>
      <c r="Y122" s="44" t="inlineStr">
        <is>
          <t>قابل ویرایش</t>
        </is>
      </c>
    </row>
    <row r="123">
      <c r="M123" s="44" t="inlineStr">
        <is>
          <t>IC-MAT</t>
        </is>
      </c>
      <c r="N123" s="33">
        <f>IF(tblRecipe[[#This Row],[کد محصول]]="","",IFERROR(INDEX(tblMenu[نام محصول],MATCH(tblRecipe[[#This Row],[کد محصول]],tblMenu[کد محصول],0)),"کد نامعتبر"))</f>
        <v/>
      </c>
      <c r="O123" s="44" t="inlineStr">
        <is>
          <t>ING-002</t>
        </is>
      </c>
      <c r="P123" s="33">
        <f>IF(tblRecipe[[#This Row],[کد ماده]]="","",IFERROR(INDEX(tblIngredients[نام ماده],MATCH(tblRecipe[[#This Row],[کد ماده]],tblIngredients[کد ماده],0)),"کد نامعتبر"))</f>
        <v/>
      </c>
      <c r="Q123" s="33">
        <f>IF(tblRecipe[[#This Row],[کد ماده]]="","",IFERROR(INDEX(tblIngredients[واحد],MATCH(tblRecipe[[#This Row],[کد ماده]],tblIngredients[کد ماده],0)),""))</f>
        <v/>
      </c>
      <c r="R123" s="45" t="n">
        <v>170</v>
      </c>
      <c r="S123" s="74">
        <f>IF(tblRecipe[[#This Row],[کد ماده]]="","",IFERROR(INDEX(tblIngredients[بهای میانگین],MATCH(tblRecipe[[#This Row],[کد ماده]],tblIngredients[کد ماده],0)),0))</f>
        <v/>
      </c>
      <c r="T123" s="34">
        <f>IF(tblRecipe[[#This Row],[کد ماده]]="","",tblRecipe[[#This Row],[مقدار استاندارد]]*tblRecipe[[#This Row],[بهای واحد ماده]])</f>
        <v/>
      </c>
      <c r="U12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3" s="69">
        <f>IF(tblRecipe[[#This Row],[کد ماده]]="","",tblRecipe[[#This Row],[مقدار استاندارد]]*tblRecipe[[#This Row],[فروش کل]])</f>
        <v/>
      </c>
      <c r="W12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3" s="69">
        <f>IF(tblRecipe[[#This Row],[کد ماده]]="","",tblRecipe[[#This Row],[مقدار استاندارد]]*tblRecipe[[#This Row],[فروش بازه]])</f>
        <v/>
      </c>
      <c r="Y123" s="44" t="inlineStr">
        <is>
          <t>قابل ویرایش</t>
        </is>
      </c>
    </row>
    <row r="124">
      <c r="M124" s="44" t="inlineStr">
        <is>
          <t>IC-MAT</t>
        </is>
      </c>
      <c r="N124" s="33">
        <f>IF(tblRecipe[[#This Row],[کد محصول]]="","",IFERROR(INDEX(tblMenu[نام محصول],MATCH(tblRecipe[[#This Row],[کد محصول]],tblMenu[کد محصول],0)),"کد نامعتبر"))</f>
        <v/>
      </c>
      <c r="O124" s="44" t="inlineStr">
        <is>
          <t>ING-006</t>
        </is>
      </c>
      <c r="P124" s="33">
        <f>IF(tblRecipe[[#This Row],[کد ماده]]="","",IFERROR(INDEX(tblIngredients[نام ماده],MATCH(tblRecipe[[#This Row],[کد ماده]],tblIngredients[کد ماده],0)),"کد نامعتبر"))</f>
        <v/>
      </c>
      <c r="Q124" s="33">
        <f>IF(tblRecipe[[#This Row],[کد ماده]]="","",IFERROR(INDEX(tblIngredients[واحد],MATCH(tblRecipe[[#This Row],[کد ماده]],tblIngredients[کد ماده],0)),""))</f>
        <v/>
      </c>
      <c r="R124" s="45" t="n">
        <v>130</v>
      </c>
      <c r="S124" s="74">
        <f>IF(tblRecipe[[#This Row],[کد ماده]]="","",IFERROR(INDEX(tblIngredients[بهای میانگین],MATCH(tblRecipe[[#This Row],[کد ماده]],tblIngredients[کد ماده],0)),0))</f>
        <v/>
      </c>
      <c r="T124" s="34">
        <f>IF(tblRecipe[[#This Row],[کد ماده]]="","",tblRecipe[[#This Row],[مقدار استاندارد]]*tblRecipe[[#This Row],[بهای واحد ماده]])</f>
        <v/>
      </c>
      <c r="U12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4" s="69">
        <f>IF(tblRecipe[[#This Row],[کد ماده]]="","",tblRecipe[[#This Row],[مقدار استاندارد]]*tblRecipe[[#This Row],[فروش کل]])</f>
        <v/>
      </c>
      <c r="W12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4" s="69">
        <f>IF(tblRecipe[[#This Row],[کد ماده]]="","",tblRecipe[[#This Row],[مقدار استاندارد]]*tblRecipe[[#This Row],[فروش بازه]])</f>
        <v/>
      </c>
      <c r="Y124" s="44" t="inlineStr">
        <is>
          <t>قابل ویرایش</t>
        </is>
      </c>
    </row>
    <row r="125">
      <c r="M125" s="44" t="inlineStr">
        <is>
          <t>IC-MAT</t>
        </is>
      </c>
      <c r="N125" s="33">
        <f>IF(tblRecipe[[#This Row],[کد محصول]]="","",IFERROR(INDEX(tblMenu[نام محصول],MATCH(tblRecipe[[#This Row],[کد محصول]],tblMenu[کد محصول],0)),"کد نامعتبر"))</f>
        <v/>
      </c>
      <c r="O125" s="44" t="inlineStr">
        <is>
          <t>ING-029</t>
        </is>
      </c>
      <c r="P125" s="33">
        <f>IF(tblRecipe[[#This Row],[کد ماده]]="","",IFERROR(INDEX(tblIngredients[نام ماده],MATCH(tblRecipe[[#This Row],[کد ماده]],tblIngredients[کد ماده],0)),"کد نامعتبر"))</f>
        <v/>
      </c>
      <c r="Q125" s="33">
        <f>IF(tblRecipe[[#This Row],[کد ماده]]="","",IFERROR(INDEX(tblIngredients[واحد],MATCH(tblRecipe[[#This Row],[کد ماده]],tblIngredients[کد ماده],0)),""))</f>
        <v/>
      </c>
      <c r="R125" s="45" t="n">
        <v>1</v>
      </c>
      <c r="S125" s="74">
        <f>IF(tblRecipe[[#This Row],[کد ماده]]="","",IFERROR(INDEX(tblIngredients[بهای میانگین],MATCH(tblRecipe[[#This Row],[کد ماده]],tblIngredients[کد ماده],0)),0))</f>
        <v/>
      </c>
      <c r="T125" s="34">
        <f>IF(tblRecipe[[#This Row],[کد ماده]]="","",tblRecipe[[#This Row],[مقدار استاندارد]]*tblRecipe[[#This Row],[بهای واحد ماده]])</f>
        <v/>
      </c>
      <c r="U12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5" s="69">
        <f>IF(tblRecipe[[#This Row],[کد ماده]]="","",tblRecipe[[#This Row],[مقدار استاندارد]]*tblRecipe[[#This Row],[فروش کل]])</f>
        <v/>
      </c>
      <c r="W12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5" s="69">
        <f>IF(tblRecipe[[#This Row],[کد ماده]]="","",tblRecipe[[#This Row],[مقدار استاندارد]]*tblRecipe[[#This Row],[فروش بازه]])</f>
        <v/>
      </c>
      <c r="Y125" s="44" t="inlineStr">
        <is>
          <t>قابل ویرایش</t>
        </is>
      </c>
    </row>
    <row r="126">
      <c r="M126" s="44" t="inlineStr">
        <is>
          <t>ADD-SYR</t>
        </is>
      </c>
      <c r="N126" s="33">
        <f>IF(tblRecipe[[#This Row],[کد محصول]]="","",IFERROR(INDEX(tblMenu[نام محصول],MATCH(tblRecipe[[#This Row],[کد محصول]],tblMenu[کد محصول],0)),"کد نامعتبر"))</f>
        <v/>
      </c>
      <c r="O126" s="44" t="inlineStr">
        <is>
          <t>ING-030</t>
        </is>
      </c>
      <c r="P126" s="33">
        <f>IF(tblRecipe[[#This Row],[کد ماده]]="","",IFERROR(INDEX(tblIngredients[نام ماده],MATCH(tblRecipe[[#This Row],[کد ماده]],tblIngredients[کد ماده],0)),"کد نامعتبر"))</f>
        <v/>
      </c>
      <c r="Q126" s="33">
        <f>IF(tblRecipe[[#This Row],[کد ماده]]="","",IFERROR(INDEX(tblIngredients[واحد],MATCH(tblRecipe[[#This Row],[کد ماده]],tblIngredients[کد ماده],0)),""))</f>
        <v/>
      </c>
      <c r="R126" s="45" t="n">
        <v>20</v>
      </c>
      <c r="S126" s="74">
        <f>IF(tblRecipe[[#This Row],[کد ماده]]="","",IFERROR(INDEX(tblIngredients[بهای میانگین],MATCH(tblRecipe[[#This Row],[کد ماده]],tblIngredients[کد ماده],0)),0))</f>
        <v/>
      </c>
      <c r="T126" s="34">
        <f>IF(tblRecipe[[#This Row],[کد ماده]]="","",tblRecipe[[#This Row],[مقدار استاندارد]]*tblRecipe[[#This Row],[بهای واحد ماده]])</f>
        <v/>
      </c>
      <c r="U12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6" s="69">
        <f>IF(tblRecipe[[#This Row],[کد ماده]]="","",tblRecipe[[#This Row],[مقدار استاندارد]]*tblRecipe[[#This Row],[فروش کل]])</f>
        <v/>
      </c>
      <c r="W12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6" s="69">
        <f>IF(tblRecipe[[#This Row],[کد ماده]]="","",tblRecipe[[#This Row],[مقدار استاندارد]]*tblRecipe[[#This Row],[فروش بازه]])</f>
        <v/>
      </c>
      <c r="Y126" s="44" t="inlineStr">
        <is>
          <t>قابل ویرایش</t>
        </is>
      </c>
    </row>
    <row r="127">
      <c r="M127" s="44" t="inlineStr">
        <is>
          <t>CAK-DAY</t>
        </is>
      </c>
      <c r="N127" s="33">
        <f>IF(tblRecipe[[#This Row],[کد محصول]]="","",IFERROR(INDEX(tblMenu[نام محصول],MATCH(tblRecipe[[#This Row],[کد محصول]],tblMenu[کد محصول],0)),"کد نامعتبر"))</f>
        <v/>
      </c>
      <c r="O127" s="44" t="inlineStr">
        <is>
          <t>ING-028</t>
        </is>
      </c>
      <c r="P127" s="33">
        <f>IF(tblRecipe[[#This Row],[کد ماده]]="","",IFERROR(INDEX(tblIngredients[نام ماده],MATCH(tblRecipe[[#This Row],[کد ماده]],tblIngredients[کد ماده],0)),"کد نامعتبر"))</f>
        <v/>
      </c>
      <c r="Q127" s="33">
        <f>IF(tblRecipe[[#This Row],[کد ماده]]="","",IFERROR(INDEX(tblIngredients[واحد],MATCH(tblRecipe[[#This Row],[کد ماده]],tblIngredients[کد ماده],0)),""))</f>
        <v/>
      </c>
      <c r="R127" s="45" t="n">
        <v>1</v>
      </c>
      <c r="S127" s="74">
        <f>IF(tblRecipe[[#This Row],[کد ماده]]="","",IFERROR(INDEX(tblIngredients[بهای میانگین],MATCH(tblRecipe[[#This Row],[کد ماده]],tblIngredients[کد ماده],0)),0))</f>
        <v/>
      </c>
      <c r="T127" s="34">
        <f>IF(tblRecipe[[#This Row],[کد ماده]]="","",tblRecipe[[#This Row],[مقدار استاندارد]]*tblRecipe[[#This Row],[بهای واحد ماده]])</f>
        <v/>
      </c>
      <c r="U12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7" s="69">
        <f>IF(tblRecipe[[#This Row],[کد ماده]]="","",tblRecipe[[#This Row],[مقدار استاندارد]]*tblRecipe[[#This Row],[فروش کل]])</f>
        <v/>
      </c>
      <c r="W12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7" s="69">
        <f>IF(tblRecipe[[#This Row],[کد ماده]]="","",tblRecipe[[#This Row],[مقدار استاندارد]]*tblRecipe[[#This Row],[فروش بازه]])</f>
        <v/>
      </c>
      <c r="Y127" s="44" t="inlineStr">
        <is>
          <t>قابل ویرایش</t>
        </is>
      </c>
    </row>
    <row r="128">
      <c r="M128" s="44" t="inlineStr">
        <is>
          <t>FR-FRY</t>
        </is>
      </c>
      <c r="N128" s="33">
        <f>IF(tblRecipe[[#This Row],[کد محصول]]="","",IFERROR(INDEX(tblMenu[نام محصول],MATCH(tblRecipe[[#This Row],[کد محصول]],tblMenu[کد محصول],0)),"کد نامعتبر"))</f>
        <v/>
      </c>
      <c r="O128" s="44" t="inlineStr">
        <is>
          <t>ING-025</t>
        </is>
      </c>
      <c r="P128" s="33">
        <f>IF(tblRecipe[[#This Row],[کد ماده]]="","",IFERROR(INDEX(tblIngredients[نام ماده],MATCH(tblRecipe[[#This Row],[کد ماده]],tblIngredients[کد ماده],0)),"کد نامعتبر"))</f>
        <v/>
      </c>
      <c r="Q128" s="33">
        <f>IF(tblRecipe[[#This Row],[کد ماده]]="","",IFERROR(INDEX(tblIngredients[واحد],MATCH(tblRecipe[[#This Row],[کد ماده]],tblIngredients[کد ماده],0)),""))</f>
        <v/>
      </c>
      <c r="R128" s="45" t="n">
        <v>250</v>
      </c>
      <c r="S128" s="74">
        <f>IF(tblRecipe[[#This Row],[کد ماده]]="","",IFERROR(INDEX(tblIngredients[بهای میانگین],MATCH(tblRecipe[[#This Row],[کد ماده]],tblIngredients[کد ماده],0)),0))</f>
        <v/>
      </c>
      <c r="T128" s="34">
        <f>IF(tblRecipe[[#This Row],[کد ماده]]="","",tblRecipe[[#This Row],[مقدار استاندارد]]*tblRecipe[[#This Row],[بهای واحد ماده]])</f>
        <v/>
      </c>
      <c r="U12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8" s="69">
        <f>IF(tblRecipe[[#This Row],[کد ماده]]="","",tblRecipe[[#This Row],[مقدار استاندارد]]*tblRecipe[[#This Row],[فروش کل]])</f>
        <v/>
      </c>
      <c r="W12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8" s="69">
        <f>IF(tblRecipe[[#This Row],[کد ماده]]="","",tblRecipe[[#This Row],[مقدار استاندارد]]*tblRecipe[[#This Row],[فروش بازه]])</f>
        <v/>
      </c>
      <c r="Y128" s="44" t="inlineStr">
        <is>
          <t>قابل ویرایش</t>
        </is>
      </c>
    </row>
    <row r="129">
      <c r="M129" s="44" t="inlineStr">
        <is>
          <t>FR-CHF</t>
        </is>
      </c>
      <c r="N129" s="33">
        <f>IF(tblRecipe[[#This Row],[کد محصول]]="","",IFERROR(INDEX(tblMenu[نام محصول],MATCH(tblRecipe[[#This Row],[کد محصول]],tblMenu[کد محصول],0)),"کد نامعتبر"))</f>
        <v/>
      </c>
      <c r="O129" s="44" t="inlineStr">
        <is>
          <t>ING-025</t>
        </is>
      </c>
      <c r="P129" s="33">
        <f>IF(tblRecipe[[#This Row],[کد ماده]]="","",IFERROR(INDEX(tblIngredients[نام ماده],MATCH(tblRecipe[[#This Row],[کد ماده]],tblIngredients[کد ماده],0)),"کد نامعتبر"))</f>
        <v/>
      </c>
      <c r="Q129" s="33">
        <f>IF(tblRecipe[[#This Row],[کد ماده]]="","",IFERROR(INDEX(tblIngredients[واحد],MATCH(tblRecipe[[#This Row],[کد ماده]],tblIngredients[کد ماده],0)),""))</f>
        <v/>
      </c>
      <c r="R129" s="45" t="n">
        <v>250</v>
      </c>
      <c r="S129" s="74">
        <f>IF(tblRecipe[[#This Row],[کد ماده]]="","",IFERROR(INDEX(tblIngredients[بهای میانگین],MATCH(tblRecipe[[#This Row],[کد ماده]],tblIngredients[کد ماده],0)),0))</f>
        <v/>
      </c>
      <c r="T129" s="34">
        <f>IF(tblRecipe[[#This Row],[کد ماده]]="","",tblRecipe[[#This Row],[مقدار استاندارد]]*tblRecipe[[#This Row],[بهای واحد ماده]])</f>
        <v/>
      </c>
      <c r="U12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9" s="69">
        <f>IF(tblRecipe[[#This Row],[کد ماده]]="","",tblRecipe[[#This Row],[مقدار استاندارد]]*tblRecipe[[#This Row],[فروش کل]])</f>
        <v/>
      </c>
      <c r="W12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9" s="69">
        <f>IF(tblRecipe[[#This Row],[کد ماده]]="","",tblRecipe[[#This Row],[مقدار استاندارد]]*tblRecipe[[#This Row],[فروش بازه]])</f>
        <v/>
      </c>
      <c r="Y129" s="44" t="inlineStr">
        <is>
          <t>قابل ویرایش</t>
        </is>
      </c>
    </row>
    <row r="130">
      <c r="M130" s="44" t="inlineStr">
        <is>
          <t>FR-CHF</t>
        </is>
      </c>
      <c r="N130" s="33">
        <f>IF(tblRecipe[[#This Row],[کد محصول]]="","",IFERROR(INDEX(tblMenu[نام محصول],MATCH(tblRecipe[[#This Row],[کد محصول]],tblMenu[کد محصول],0)),"کد نامعتبر"))</f>
        <v/>
      </c>
      <c r="O130" s="44" t="inlineStr">
        <is>
          <t>ING-026</t>
        </is>
      </c>
      <c r="P130" s="33">
        <f>IF(tblRecipe[[#This Row],[کد ماده]]="","",IFERROR(INDEX(tblIngredients[نام ماده],MATCH(tblRecipe[[#This Row],[کد ماده]],tblIngredients[کد ماده],0)),"کد نامعتبر"))</f>
        <v/>
      </c>
      <c r="Q130" s="33">
        <f>IF(tblRecipe[[#This Row],[کد ماده]]="","",IFERROR(INDEX(tblIngredients[واحد],MATCH(tblRecipe[[#This Row],[کد ماده]],tblIngredients[کد ماده],0)),""))</f>
        <v/>
      </c>
      <c r="R130" s="45" t="n">
        <v>50</v>
      </c>
      <c r="S130" s="74">
        <f>IF(tblRecipe[[#This Row],[کد ماده]]="","",IFERROR(INDEX(tblIngredients[بهای میانگین],MATCH(tblRecipe[[#This Row],[کد ماده]],tblIngredients[کد ماده],0)),0))</f>
        <v/>
      </c>
      <c r="T130" s="34">
        <f>IF(tblRecipe[[#This Row],[کد ماده]]="","",tblRecipe[[#This Row],[مقدار استاندارد]]*tblRecipe[[#This Row],[بهای واحد ماده]])</f>
        <v/>
      </c>
      <c r="U13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0" s="69">
        <f>IF(tblRecipe[[#This Row],[کد ماده]]="","",tblRecipe[[#This Row],[مقدار استاندارد]]*tblRecipe[[#This Row],[فروش کل]])</f>
        <v/>
      </c>
      <c r="W13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0" s="69">
        <f>IF(tblRecipe[[#This Row],[کد ماده]]="","",tblRecipe[[#This Row],[مقدار استاندارد]]*tblRecipe[[#This Row],[فروش بازه]])</f>
        <v/>
      </c>
      <c r="Y130" s="44" t="inlineStr">
        <is>
          <t>قابل ویرایش</t>
        </is>
      </c>
    </row>
    <row r="131">
      <c r="M131" s="44" t="inlineStr">
        <is>
          <t>SAL-CAE</t>
        </is>
      </c>
      <c r="N131" s="33">
        <f>IF(tblRecipe[[#This Row],[کد محصول]]="","",IFERROR(INDEX(tblMenu[نام محصول],MATCH(tblRecipe[[#This Row],[کد محصول]],tblMenu[کد محصول],0)),"کد نامعتبر"))</f>
        <v/>
      </c>
      <c r="O131" s="44" t="inlineStr">
        <is>
          <t>ING-027</t>
        </is>
      </c>
      <c r="P131" s="33">
        <f>IF(tblRecipe[[#This Row],[کد ماده]]="","",IFERROR(INDEX(tblIngredients[نام ماده],MATCH(tblRecipe[[#This Row],[کد ماده]],tblIngredients[کد ماده],0)),"کد نامعتبر"))</f>
        <v/>
      </c>
      <c r="Q131" s="33">
        <f>IF(tblRecipe[[#This Row],[کد ماده]]="","",IFERROR(INDEX(tblIngredients[واحد],MATCH(tblRecipe[[#This Row],[کد ماده]],tblIngredients[کد ماده],0)),""))</f>
        <v/>
      </c>
      <c r="R131" s="45" t="n">
        <v>120</v>
      </c>
      <c r="S131" s="74">
        <f>IF(tblRecipe[[#This Row],[کد ماده]]="","",IFERROR(INDEX(tblIngredients[بهای میانگین],MATCH(tblRecipe[[#This Row],[کد ماده]],tblIngredients[کد ماده],0)),0))</f>
        <v/>
      </c>
      <c r="T131" s="34">
        <f>IF(tblRecipe[[#This Row],[کد ماده]]="","",tblRecipe[[#This Row],[مقدار استاندارد]]*tblRecipe[[#This Row],[بهای واحد ماده]])</f>
        <v/>
      </c>
      <c r="U13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1" s="69">
        <f>IF(tblRecipe[[#This Row],[کد ماده]]="","",tblRecipe[[#This Row],[مقدار استاندارد]]*tblRecipe[[#This Row],[فروش کل]])</f>
        <v/>
      </c>
      <c r="W13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1" s="69">
        <f>IF(tblRecipe[[#This Row],[کد ماده]]="","",tblRecipe[[#This Row],[مقدار استاندارد]]*tblRecipe[[#This Row],[فروش بازه]])</f>
        <v/>
      </c>
      <c r="Y131" s="44" t="inlineStr">
        <is>
          <t>قابل ویرایش</t>
        </is>
      </c>
    </row>
    <row r="132">
      <c r="M132" s="44" t="inlineStr">
        <is>
          <t>SAL-CAE</t>
        </is>
      </c>
      <c r="N132" s="33">
        <f>IF(tblRecipe[[#This Row],[کد محصول]]="","",IFERROR(INDEX(tblMenu[نام محصول],MATCH(tblRecipe[[#This Row],[کد محصول]],tblMenu[کد محصول],0)),"کد نامعتبر"))</f>
        <v/>
      </c>
      <c r="O132" s="44" t="inlineStr">
        <is>
          <t>ING-021</t>
        </is>
      </c>
      <c r="P132" s="33">
        <f>IF(tblRecipe[[#This Row],[کد ماده]]="","",IFERROR(INDEX(tblIngredients[نام ماده],MATCH(tblRecipe[[#This Row],[کد ماده]],tblIngredients[کد ماده],0)),"کد نامعتبر"))</f>
        <v/>
      </c>
      <c r="Q132" s="33">
        <f>IF(tblRecipe[[#This Row],[کد ماده]]="","",IFERROR(INDEX(tblIngredients[واحد],MATCH(tblRecipe[[#This Row],[کد ماده]],tblIngredients[کد ماده],0)),""))</f>
        <v/>
      </c>
      <c r="R132" s="45" t="n">
        <v>120</v>
      </c>
      <c r="S132" s="74">
        <f>IF(tblRecipe[[#This Row],[کد ماده]]="","",IFERROR(INDEX(tblIngredients[بهای میانگین],MATCH(tblRecipe[[#This Row],[کد ماده]],tblIngredients[کد ماده],0)),0))</f>
        <v/>
      </c>
      <c r="T132" s="34">
        <f>IF(tblRecipe[[#This Row],[کد ماده]]="","",tblRecipe[[#This Row],[مقدار استاندارد]]*tblRecipe[[#This Row],[بهای واحد ماده]])</f>
        <v/>
      </c>
      <c r="U13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2" s="69">
        <f>IF(tblRecipe[[#This Row],[کد ماده]]="","",tblRecipe[[#This Row],[مقدار استاندارد]]*tblRecipe[[#This Row],[فروش کل]])</f>
        <v/>
      </c>
      <c r="W13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2" s="69">
        <f>IF(tblRecipe[[#This Row],[کد ماده]]="","",tblRecipe[[#This Row],[مقدار استاندارد]]*tblRecipe[[#This Row],[فروش بازه]])</f>
        <v/>
      </c>
      <c r="Y132" s="44" t="inlineStr">
        <is>
          <t>قابل ویرایش</t>
        </is>
      </c>
    </row>
    <row r="133">
      <c r="M133" s="44" t="inlineStr">
        <is>
          <t>SAL-CAE</t>
        </is>
      </c>
      <c r="N133" s="33">
        <f>IF(tblRecipe[[#This Row],[کد محصول]]="","",IFERROR(INDEX(tblMenu[نام محصول],MATCH(tblRecipe[[#This Row],[کد محصول]],tblMenu[کد محصول],0)),"کد نامعتبر"))</f>
        <v/>
      </c>
      <c r="O133" s="44" t="inlineStr">
        <is>
          <t>ING-026</t>
        </is>
      </c>
      <c r="P133" s="33">
        <f>IF(tblRecipe[[#This Row],[کد ماده]]="","",IFERROR(INDEX(tblIngredients[نام ماده],MATCH(tblRecipe[[#This Row],[کد ماده]],tblIngredients[کد ماده],0)),"کد نامعتبر"))</f>
        <v/>
      </c>
      <c r="Q133" s="33">
        <f>IF(tblRecipe[[#This Row],[کد ماده]]="","",IFERROR(INDEX(tblIngredients[واحد],MATCH(tblRecipe[[#This Row],[کد ماده]],tblIngredients[کد ماده],0)),""))</f>
        <v/>
      </c>
      <c r="R133" s="45" t="n">
        <v>15</v>
      </c>
      <c r="S133" s="74">
        <f>IF(tblRecipe[[#This Row],[کد ماده]]="","",IFERROR(INDEX(tblIngredients[بهای میانگین],MATCH(tblRecipe[[#This Row],[کد ماده]],tblIngredients[کد ماده],0)),0))</f>
        <v/>
      </c>
      <c r="T133" s="34">
        <f>IF(tblRecipe[[#This Row],[کد ماده]]="","",tblRecipe[[#This Row],[مقدار استاندارد]]*tblRecipe[[#This Row],[بهای واحد ماده]])</f>
        <v/>
      </c>
      <c r="U13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3" s="69">
        <f>IF(tblRecipe[[#This Row],[کد ماده]]="","",tblRecipe[[#This Row],[مقدار استاندارد]]*tblRecipe[[#This Row],[فروش کل]])</f>
        <v/>
      </c>
      <c r="W13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3" s="69">
        <f>IF(tblRecipe[[#This Row],[کد ماده]]="","",tblRecipe[[#This Row],[مقدار استاندارد]]*tblRecipe[[#This Row],[فروش بازه]])</f>
        <v/>
      </c>
      <c r="Y133" s="44" t="inlineStr">
        <is>
          <t>قابل ویرایش</t>
        </is>
      </c>
    </row>
    <row r="134">
      <c r="M134" s="44" t="inlineStr">
        <is>
          <t>PAS-DLR</t>
        </is>
      </c>
      <c r="N134" s="33">
        <f>IF(tblRecipe[[#This Row],[کد محصول]]="","",IFERROR(INDEX(tblMenu[نام محصول],MATCH(tblRecipe[[#This Row],[کد محصول]],tblMenu[کد محصول],0)),"کد نامعتبر"))</f>
        <v/>
      </c>
      <c r="O134" s="44" t="inlineStr">
        <is>
          <t>ING-020</t>
        </is>
      </c>
      <c r="P134" s="33">
        <f>IF(tblRecipe[[#This Row],[کد ماده]]="","",IFERROR(INDEX(tblIngredients[نام ماده],MATCH(tblRecipe[[#This Row],[کد ماده]],tblIngredients[کد ماده],0)),"کد نامعتبر"))</f>
        <v/>
      </c>
      <c r="Q134" s="33">
        <f>IF(tblRecipe[[#This Row],[کد ماده]]="","",IFERROR(INDEX(tblIngredients[واحد],MATCH(tblRecipe[[#This Row],[کد ماده]],tblIngredients[کد ماده],0)),""))</f>
        <v/>
      </c>
      <c r="R134" s="45" t="n">
        <v>180</v>
      </c>
      <c r="S134" s="74">
        <f>IF(tblRecipe[[#This Row],[کد ماده]]="","",IFERROR(INDEX(tblIngredients[بهای میانگین],MATCH(tblRecipe[[#This Row],[کد ماده]],tblIngredients[کد ماده],0)),0))</f>
        <v/>
      </c>
      <c r="T134" s="34">
        <f>IF(tblRecipe[[#This Row],[کد ماده]]="","",tblRecipe[[#This Row],[مقدار استاندارد]]*tblRecipe[[#This Row],[بهای واحد ماده]])</f>
        <v/>
      </c>
      <c r="U13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4" s="69">
        <f>IF(tblRecipe[[#This Row],[کد ماده]]="","",tblRecipe[[#This Row],[مقدار استاندارد]]*tblRecipe[[#This Row],[فروش کل]])</f>
        <v/>
      </c>
      <c r="W13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4" s="69">
        <f>IF(tblRecipe[[#This Row],[کد ماده]]="","",tblRecipe[[#This Row],[مقدار استاندارد]]*tblRecipe[[#This Row],[فروش بازه]])</f>
        <v/>
      </c>
      <c r="Y134" s="44" t="inlineStr">
        <is>
          <t>قابل ویرایش</t>
        </is>
      </c>
    </row>
    <row r="135">
      <c r="M135" s="44" t="inlineStr">
        <is>
          <t>PAS-DLR</t>
        </is>
      </c>
      <c r="N135" s="33">
        <f>IF(tblRecipe[[#This Row],[کد محصول]]="","",IFERROR(INDEX(tblMenu[نام محصول],MATCH(tblRecipe[[#This Row],[کد محصول]],tblMenu[کد محصول],0)),"کد نامعتبر"))</f>
        <v/>
      </c>
      <c r="O135" s="44" t="inlineStr">
        <is>
          <t>ING-021</t>
        </is>
      </c>
      <c r="P135" s="33">
        <f>IF(tblRecipe[[#This Row],[کد ماده]]="","",IFERROR(INDEX(tblIngredients[نام ماده],MATCH(tblRecipe[[#This Row],[کد ماده]],tblIngredients[کد ماده],0)),"کد نامعتبر"))</f>
        <v/>
      </c>
      <c r="Q135" s="33">
        <f>IF(tblRecipe[[#This Row],[کد ماده]]="","",IFERROR(INDEX(tblIngredients[واحد],MATCH(tblRecipe[[#This Row],[کد ماده]],tblIngredients[کد ماده],0)),""))</f>
        <v/>
      </c>
      <c r="R135" s="45" t="n">
        <v>110</v>
      </c>
      <c r="S135" s="74">
        <f>IF(tblRecipe[[#This Row],[کد ماده]]="","",IFERROR(INDEX(tblIngredients[بهای میانگین],MATCH(tblRecipe[[#This Row],[کد ماده]],tblIngredients[کد ماده],0)),0))</f>
        <v/>
      </c>
      <c r="T135" s="34">
        <f>IF(tblRecipe[[#This Row],[کد ماده]]="","",tblRecipe[[#This Row],[مقدار استاندارد]]*tblRecipe[[#This Row],[بهای واحد ماده]])</f>
        <v/>
      </c>
      <c r="U13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5" s="69">
        <f>IF(tblRecipe[[#This Row],[کد ماده]]="","",tblRecipe[[#This Row],[مقدار استاندارد]]*tblRecipe[[#This Row],[فروش کل]])</f>
        <v/>
      </c>
      <c r="W13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5" s="69">
        <f>IF(tblRecipe[[#This Row],[کد ماده]]="","",tblRecipe[[#This Row],[مقدار استاندارد]]*tblRecipe[[#This Row],[فروش بازه]])</f>
        <v/>
      </c>
      <c r="Y135" s="44" t="inlineStr">
        <is>
          <t>قابل ویرایش</t>
        </is>
      </c>
    </row>
    <row r="136">
      <c r="M136" s="44" t="inlineStr">
        <is>
          <t>PAS-DLR</t>
        </is>
      </c>
      <c r="N136" s="33">
        <f>IF(tblRecipe[[#This Row],[کد محصول]]="","",IFERROR(INDEX(tblMenu[نام محصول],MATCH(tblRecipe[[#This Row],[کد محصول]],tblMenu[کد محصول],0)),"کد نامعتبر"))</f>
        <v/>
      </c>
      <c r="O136" s="44" t="inlineStr">
        <is>
          <t>ING-022</t>
        </is>
      </c>
      <c r="P136" s="33">
        <f>IF(tblRecipe[[#This Row],[کد ماده]]="","",IFERROR(INDEX(tblIngredients[نام ماده],MATCH(tblRecipe[[#This Row],[کد ماده]],tblIngredients[کد ماده],0)),"کد نامعتبر"))</f>
        <v/>
      </c>
      <c r="Q136" s="33">
        <f>IF(tblRecipe[[#This Row],[کد ماده]]="","",IFERROR(INDEX(tblIngredients[واحد],MATCH(tblRecipe[[#This Row],[کد ماده]],tblIngredients[کد ماده],0)),""))</f>
        <v/>
      </c>
      <c r="R136" s="45" t="n">
        <v>50</v>
      </c>
      <c r="S136" s="74">
        <f>IF(tblRecipe[[#This Row],[کد ماده]]="","",IFERROR(INDEX(tblIngredients[بهای میانگین],MATCH(tblRecipe[[#This Row],[کد ماده]],tblIngredients[کد ماده],0)),0))</f>
        <v/>
      </c>
      <c r="T136" s="34">
        <f>IF(tblRecipe[[#This Row],[کد ماده]]="","",tblRecipe[[#This Row],[مقدار استاندارد]]*tblRecipe[[#This Row],[بهای واحد ماده]])</f>
        <v/>
      </c>
      <c r="U13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6" s="69">
        <f>IF(tblRecipe[[#This Row],[کد ماده]]="","",tblRecipe[[#This Row],[مقدار استاندارد]]*tblRecipe[[#This Row],[فروش کل]])</f>
        <v/>
      </c>
      <c r="W13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6" s="69">
        <f>IF(tblRecipe[[#This Row],[کد ماده]]="","",tblRecipe[[#This Row],[مقدار استاندارد]]*tblRecipe[[#This Row],[فروش بازه]])</f>
        <v/>
      </c>
      <c r="Y136" s="44" t="inlineStr">
        <is>
          <t>قابل ویرایش</t>
        </is>
      </c>
    </row>
    <row r="137">
      <c r="M137" s="44" t="inlineStr">
        <is>
          <t>PAS-RIH</t>
        </is>
      </c>
      <c r="N137" s="33">
        <f>IF(tblRecipe[[#This Row],[کد محصول]]="","",IFERROR(INDEX(tblMenu[نام محصول],MATCH(tblRecipe[[#This Row],[کد محصول]],tblMenu[کد محصول],0)),"کد نامعتبر"))</f>
        <v/>
      </c>
      <c r="O137" s="44" t="inlineStr">
        <is>
          <t>ING-020</t>
        </is>
      </c>
      <c r="P137" s="33">
        <f>IF(tblRecipe[[#This Row],[کد ماده]]="","",IFERROR(INDEX(tblIngredients[نام ماده],MATCH(tblRecipe[[#This Row],[کد ماده]],tblIngredients[کد ماده],0)),"کد نامعتبر"))</f>
        <v/>
      </c>
      <c r="Q137" s="33">
        <f>IF(tblRecipe[[#This Row],[کد ماده]]="","",IFERROR(INDEX(tblIngredients[واحد],MATCH(tblRecipe[[#This Row],[کد ماده]],tblIngredients[کد ماده],0)),""))</f>
        <v/>
      </c>
      <c r="R137" s="45" t="n">
        <v>200</v>
      </c>
      <c r="S137" s="74">
        <f>IF(tblRecipe[[#This Row],[کد ماده]]="","",IFERROR(INDEX(tblIngredients[بهای میانگین],MATCH(tblRecipe[[#This Row],[کد ماده]],tblIngredients[کد ماده],0)),0))</f>
        <v/>
      </c>
      <c r="T137" s="34">
        <f>IF(tblRecipe[[#This Row],[کد ماده]]="","",tblRecipe[[#This Row],[مقدار استاندارد]]*tblRecipe[[#This Row],[بهای واحد ماده]])</f>
        <v/>
      </c>
      <c r="U13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7" s="69">
        <f>IF(tblRecipe[[#This Row],[کد ماده]]="","",tblRecipe[[#This Row],[مقدار استاندارد]]*tblRecipe[[#This Row],[فروش کل]])</f>
        <v/>
      </c>
      <c r="W13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7" s="69">
        <f>IF(tblRecipe[[#This Row],[کد ماده]]="","",tblRecipe[[#This Row],[مقدار استاندارد]]*tblRecipe[[#This Row],[فروش بازه]])</f>
        <v/>
      </c>
      <c r="Y137" s="44" t="inlineStr">
        <is>
          <t>قابل ویرایش</t>
        </is>
      </c>
    </row>
    <row r="138">
      <c r="M138" s="44" t="inlineStr">
        <is>
          <t>PAS-RIH</t>
        </is>
      </c>
      <c r="N138" s="33">
        <f>IF(tblRecipe[[#This Row],[کد محصول]]="","",IFERROR(INDEX(tblMenu[نام محصول],MATCH(tblRecipe[[#This Row],[کد محصول]],tblMenu[کد محصول],0)),"کد نامعتبر"))</f>
        <v/>
      </c>
      <c r="O138" s="44" t="inlineStr">
        <is>
          <t>ING-021</t>
        </is>
      </c>
      <c r="P138" s="33">
        <f>IF(tblRecipe[[#This Row],[کد ماده]]="","",IFERROR(INDEX(tblIngredients[نام ماده],MATCH(tblRecipe[[#This Row],[کد ماده]],tblIngredients[کد ماده],0)),"کد نامعتبر"))</f>
        <v/>
      </c>
      <c r="Q138" s="33">
        <f>IF(tblRecipe[[#This Row],[کد ماده]]="","",IFERROR(INDEX(tblIngredients[واحد],MATCH(tblRecipe[[#This Row],[کد ماده]],tblIngredients[کد ماده],0)),""))</f>
        <v/>
      </c>
      <c r="R138" s="45" t="n">
        <v>150</v>
      </c>
      <c r="S138" s="74">
        <f>IF(tblRecipe[[#This Row],[کد ماده]]="","",IFERROR(INDEX(tblIngredients[بهای میانگین],MATCH(tblRecipe[[#This Row],[کد ماده]],tblIngredients[کد ماده],0)),0))</f>
        <v/>
      </c>
      <c r="T138" s="34">
        <f>IF(tblRecipe[[#This Row],[کد ماده]]="","",tblRecipe[[#This Row],[مقدار استاندارد]]*tblRecipe[[#This Row],[بهای واحد ماده]])</f>
        <v/>
      </c>
      <c r="U13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8" s="69">
        <f>IF(tblRecipe[[#This Row],[کد ماده]]="","",tblRecipe[[#This Row],[مقدار استاندارد]]*tblRecipe[[#This Row],[فروش کل]])</f>
        <v/>
      </c>
      <c r="W13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8" s="69">
        <f>IF(tblRecipe[[#This Row],[کد ماده]]="","",tblRecipe[[#This Row],[مقدار استاندارد]]*tblRecipe[[#This Row],[فروش بازه]])</f>
        <v/>
      </c>
      <c r="Y138" s="44" t="inlineStr">
        <is>
          <t>قابل ویرایش</t>
        </is>
      </c>
    </row>
    <row r="139">
      <c r="M139" s="44" t="inlineStr">
        <is>
          <t>PAS-RIH</t>
        </is>
      </c>
      <c r="N139" s="33">
        <f>IF(tblRecipe[[#This Row],[کد محصول]]="","",IFERROR(INDEX(tblMenu[نام محصول],MATCH(tblRecipe[[#This Row],[کد محصول]],tblMenu[کد محصول],0)),"کد نامعتبر"))</f>
        <v/>
      </c>
      <c r="O139" s="44" t="inlineStr">
        <is>
          <t>ING-023</t>
        </is>
      </c>
      <c r="P139" s="33">
        <f>IF(tblRecipe[[#This Row],[کد ماده]]="","",IFERROR(INDEX(tblIngredients[نام ماده],MATCH(tblRecipe[[#This Row],[کد ماده]],tblIngredients[کد ماده],0)),"کد نامعتبر"))</f>
        <v/>
      </c>
      <c r="Q139" s="33">
        <f>IF(tblRecipe[[#This Row],[کد ماده]]="","",IFERROR(INDEX(tblIngredients[واحد],MATCH(tblRecipe[[#This Row],[کد ماده]],tblIngredients[کد ماده],0)),""))</f>
        <v/>
      </c>
      <c r="R139" s="45" t="n">
        <v>80</v>
      </c>
      <c r="S139" s="74">
        <f>IF(tblRecipe[[#This Row],[کد ماده]]="","",IFERROR(INDEX(tblIngredients[بهای میانگین],MATCH(tblRecipe[[#This Row],[کد ماده]],tblIngredients[کد ماده],0)),0))</f>
        <v/>
      </c>
      <c r="T139" s="34">
        <f>IF(tblRecipe[[#This Row],[کد ماده]]="","",tblRecipe[[#This Row],[مقدار استاندارد]]*tblRecipe[[#This Row],[بهای واحد ماده]])</f>
        <v/>
      </c>
      <c r="U13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9" s="69">
        <f>IF(tblRecipe[[#This Row],[کد ماده]]="","",tblRecipe[[#This Row],[مقدار استاندارد]]*tblRecipe[[#This Row],[فروش کل]])</f>
        <v/>
      </c>
      <c r="W13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9" s="69">
        <f>IF(tblRecipe[[#This Row],[کد ماده]]="","",tblRecipe[[#This Row],[مقدار استاندارد]]*tblRecipe[[#This Row],[فروش بازه]])</f>
        <v/>
      </c>
      <c r="Y139" s="44" t="inlineStr">
        <is>
          <t>قابل ویرایش</t>
        </is>
      </c>
    </row>
    <row r="140">
      <c r="M140" s="44" t="inlineStr">
        <is>
          <t>PAS-RIH</t>
        </is>
      </c>
      <c r="N140" s="33">
        <f>IF(tblRecipe[[#This Row],[کد محصول]]="","",IFERROR(INDEX(tblMenu[نام محصول],MATCH(tblRecipe[[#This Row],[کد محصول]],tblMenu[کد محصول],0)),"کد نامعتبر"))</f>
        <v/>
      </c>
      <c r="O140" s="44" t="inlineStr">
        <is>
          <t>ING-022</t>
        </is>
      </c>
      <c r="P140" s="33">
        <f>IF(tblRecipe[[#This Row],[کد ماده]]="","",IFERROR(INDEX(tblIngredients[نام ماده],MATCH(tblRecipe[[#This Row],[کد ماده]],tblIngredients[کد ماده],0)),"کد نامعتبر"))</f>
        <v/>
      </c>
      <c r="Q140" s="33">
        <f>IF(tblRecipe[[#This Row],[کد ماده]]="","",IFERROR(INDEX(tblIngredients[واحد],MATCH(tblRecipe[[#This Row],[کد ماده]],tblIngredients[کد ماده],0)),""))</f>
        <v/>
      </c>
      <c r="R140" s="45" t="n">
        <v>35</v>
      </c>
      <c r="S140" s="74">
        <f>IF(tblRecipe[[#This Row],[کد ماده]]="","",IFERROR(INDEX(tblIngredients[بهای میانگین],MATCH(tblRecipe[[#This Row],[کد ماده]],tblIngredients[کد ماده],0)),0))</f>
        <v/>
      </c>
      <c r="T140" s="34">
        <f>IF(tblRecipe[[#This Row],[کد ماده]]="","",tblRecipe[[#This Row],[مقدار استاندارد]]*tblRecipe[[#This Row],[بهای واحد ماده]])</f>
        <v/>
      </c>
      <c r="U14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0" s="69">
        <f>IF(tblRecipe[[#This Row],[کد ماده]]="","",tblRecipe[[#This Row],[مقدار استاندارد]]*tblRecipe[[#This Row],[فروش کل]])</f>
        <v/>
      </c>
      <c r="W14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0" s="69">
        <f>IF(tblRecipe[[#This Row],[کد ماده]]="","",tblRecipe[[#This Row],[مقدار استاندارد]]*tblRecipe[[#This Row],[فروش بازه]])</f>
        <v/>
      </c>
      <c r="Y140" s="44" t="inlineStr">
        <is>
          <t>قابل ویرایش</t>
        </is>
      </c>
    </row>
    <row r="141">
      <c r="M141" s="44" t="inlineStr">
        <is>
          <t>PAS-HEM</t>
        </is>
      </c>
      <c r="N141" s="33">
        <f>IF(tblRecipe[[#This Row],[کد محصول]]="","",IFERROR(INDEX(tblMenu[نام محصول],MATCH(tblRecipe[[#This Row],[کد محصول]],tblMenu[کد محصول],0)),"کد نامعتبر"))</f>
        <v/>
      </c>
      <c r="O141" s="44" t="inlineStr">
        <is>
          <t>ING-020</t>
        </is>
      </c>
      <c r="P141" s="33">
        <f>IF(tblRecipe[[#This Row],[کد ماده]]="","",IFERROR(INDEX(tblIngredients[نام ماده],MATCH(tblRecipe[[#This Row],[کد ماده]],tblIngredients[کد ماده],0)),"کد نامعتبر"))</f>
        <v/>
      </c>
      <c r="Q141" s="33">
        <f>IF(tblRecipe[[#This Row],[کد ماده]]="","",IFERROR(INDEX(tblIngredients[واحد],MATCH(tblRecipe[[#This Row],[کد ماده]],tblIngredients[کد ماده],0)),""))</f>
        <v/>
      </c>
      <c r="R141" s="45" t="n">
        <v>190</v>
      </c>
      <c r="S141" s="74">
        <f>IF(tblRecipe[[#This Row],[کد ماده]]="","",IFERROR(INDEX(tblIngredients[بهای میانگین],MATCH(tblRecipe[[#This Row],[کد ماده]],tblIngredients[کد ماده],0)),0))</f>
        <v/>
      </c>
      <c r="T141" s="34">
        <f>IF(tblRecipe[[#This Row],[کد ماده]]="","",tblRecipe[[#This Row],[مقدار استاندارد]]*tblRecipe[[#This Row],[بهای واحد ماده]])</f>
        <v/>
      </c>
      <c r="U14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1" s="69">
        <f>IF(tblRecipe[[#This Row],[کد ماده]]="","",tblRecipe[[#This Row],[مقدار استاندارد]]*tblRecipe[[#This Row],[فروش کل]])</f>
        <v/>
      </c>
      <c r="W14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1" s="69">
        <f>IF(tblRecipe[[#This Row],[کد ماده]]="","",tblRecipe[[#This Row],[مقدار استاندارد]]*tblRecipe[[#This Row],[فروش بازه]])</f>
        <v/>
      </c>
      <c r="Y141" s="44" t="inlineStr">
        <is>
          <t>قابل ویرایش</t>
        </is>
      </c>
    </row>
    <row r="142">
      <c r="M142" s="44" t="inlineStr">
        <is>
          <t>PAS-HEM</t>
        </is>
      </c>
      <c r="N142" s="33">
        <f>IF(tblRecipe[[#This Row],[کد محصول]]="","",IFERROR(INDEX(tblMenu[نام محصول],MATCH(tblRecipe[[#This Row],[کد محصول]],tblMenu[کد محصول],0)),"کد نامعتبر"))</f>
        <v/>
      </c>
      <c r="O142" s="44" t="inlineStr">
        <is>
          <t>ING-021</t>
        </is>
      </c>
      <c r="P142" s="33">
        <f>IF(tblRecipe[[#This Row],[کد ماده]]="","",IFERROR(INDEX(tblIngredients[نام ماده],MATCH(tblRecipe[[#This Row],[کد ماده]],tblIngredients[کد ماده],0)),"کد نامعتبر"))</f>
        <v/>
      </c>
      <c r="Q142" s="33">
        <f>IF(tblRecipe[[#This Row],[کد ماده]]="","",IFERROR(INDEX(tblIngredients[واحد],MATCH(tblRecipe[[#This Row],[کد ماده]],tblIngredients[کد ماده],0)),""))</f>
        <v/>
      </c>
      <c r="R142" s="45" t="n">
        <v>140</v>
      </c>
      <c r="S142" s="74">
        <f>IF(tblRecipe[[#This Row],[کد ماده]]="","",IFERROR(INDEX(tblIngredients[بهای میانگین],MATCH(tblRecipe[[#This Row],[کد ماده]],tblIngredients[کد ماده],0)),0))</f>
        <v/>
      </c>
      <c r="T142" s="34">
        <f>IF(tblRecipe[[#This Row],[کد ماده]]="","",tblRecipe[[#This Row],[مقدار استاندارد]]*tblRecipe[[#This Row],[بهای واحد ماده]])</f>
        <v/>
      </c>
      <c r="U14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2" s="69">
        <f>IF(tblRecipe[[#This Row],[کد ماده]]="","",tblRecipe[[#This Row],[مقدار استاندارد]]*tblRecipe[[#This Row],[فروش کل]])</f>
        <v/>
      </c>
      <c r="W14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2" s="69">
        <f>IF(tblRecipe[[#This Row],[کد ماده]]="","",tblRecipe[[#This Row],[مقدار استاندارد]]*tblRecipe[[#This Row],[فروش بازه]])</f>
        <v/>
      </c>
      <c r="Y142" s="44" t="inlineStr">
        <is>
          <t>قابل ویرایش</t>
        </is>
      </c>
    </row>
    <row r="143">
      <c r="M143" s="44" t="inlineStr">
        <is>
          <t>PAS-HEM</t>
        </is>
      </c>
      <c r="N143" s="33">
        <f>IF(tblRecipe[[#This Row],[کد محصول]]="","",IFERROR(INDEX(tblMenu[نام محصول],MATCH(tblRecipe[[#This Row],[کد محصول]],tblMenu[کد محصول],0)),"کد نامعتبر"))</f>
        <v/>
      </c>
      <c r="O143" s="44" t="inlineStr">
        <is>
          <t>ING-024</t>
        </is>
      </c>
      <c r="P143" s="33">
        <f>IF(tblRecipe[[#This Row],[کد ماده]]="","",IFERROR(INDEX(tblIngredients[نام ماده],MATCH(tblRecipe[[#This Row],[کد ماده]],tblIngredients[کد ماده],0)),"کد نامعتبر"))</f>
        <v/>
      </c>
      <c r="Q143" s="33">
        <f>IF(tblRecipe[[#This Row],[کد ماده]]="","",IFERROR(INDEX(tblIngredients[واحد],MATCH(tblRecipe[[#This Row],[کد ماده]],tblIngredients[کد ماده],0)),""))</f>
        <v/>
      </c>
      <c r="R143" s="45" t="n">
        <v>70</v>
      </c>
      <c r="S143" s="74">
        <f>IF(tblRecipe[[#This Row],[کد ماده]]="","",IFERROR(INDEX(tblIngredients[بهای میانگین],MATCH(tblRecipe[[#This Row],[کد ماده]],tblIngredients[کد ماده],0)),0))</f>
        <v/>
      </c>
      <c r="T143" s="34">
        <f>IF(tblRecipe[[#This Row],[کد ماده]]="","",tblRecipe[[#This Row],[مقدار استاندارد]]*tblRecipe[[#This Row],[بهای واحد ماده]])</f>
        <v/>
      </c>
      <c r="U14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3" s="69">
        <f>IF(tblRecipe[[#This Row],[کد ماده]]="","",tblRecipe[[#This Row],[مقدار استاندارد]]*tblRecipe[[#This Row],[فروش کل]])</f>
        <v/>
      </c>
      <c r="W14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3" s="69">
        <f>IF(tblRecipe[[#This Row],[کد ماده]]="","",tblRecipe[[#This Row],[مقدار استاندارد]]*tblRecipe[[#This Row],[فروش بازه]])</f>
        <v/>
      </c>
      <c r="Y143" s="44" t="inlineStr">
        <is>
          <t>قابل ویرایش</t>
        </is>
      </c>
    </row>
    <row r="144">
      <c r="M144" s="44" t="inlineStr">
        <is>
          <t>PAS-HEM</t>
        </is>
      </c>
      <c r="N144" s="33">
        <f>IF(tblRecipe[[#This Row],[کد محصول]]="","",IFERROR(INDEX(tblMenu[نام محصول],MATCH(tblRecipe[[#This Row],[کد محصول]],tblMenu[کد محصول],0)),"کد نامعتبر"))</f>
        <v/>
      </c>
      <c r="O144" s="44" t="inlineStr">
        <is>
          <t>ING-003</t>
        </is>
      </c>
      <c r="P144" s="33">
        <f>IF(tblRecipe[[#This Row],[کد ماده]]="","",IFERROR(INDEX(tblIngredients[نام ماده],MATCH(tblRecipe[[#This Row],[کد ماده]],tblIngredients[کد ماده],0)),"کد نامعتبر"))</f>
        <v/>
      </c>
      <c r="Q144" s="33">
        <f>IF(tblRecipe[[#This Row],[کد ماده]]="","",IFERROR(INDEX(tblIngredients[واحد],MATCH(tblRecipe[[#This Row],[کد ماده]],tblIngredients[کد ماده],0)),""))</f>
        <v/>
      </c>
      <c r="R144" s="45" t="n">
        <v>50</v>
      </c>
      <c r="S144" s="74">
        <f>IF(tblRecipe[[#This Row],[کد ماده]]="","",IFERROR(INDEX(tblIngredients[بهای میانگین],MATCH(tblRecipe[[#This Row],[کد ماده]],tblIngredients[کد ماده],0)),0))</f>
        <v/>
      </c>
      <c r="T144" s="34">
        <f>IF(tblRecipe[[#This Row],[کد ماده]]="","",tblRecipe[[#This Row],[مقدار استاندارد]]*tblRecipe[[#This Row],[بهای واحد ماده]])</f>
        <v/>
      </c>
      <c r="U14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4" s="69">
        <f>IF(tblRecipe[[#This Row],[کد ماده]]="","",tblRecipe[[#This Row],[مقدار استاندارد]]*tblRecipe[[#This Row],[فروش کل]])</f>
        <v/>
      </c>
      <c r="W14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4" s="69">
        <f>IF(tblRecipe[[#This Row],[کد ماده]]="","",tblRecipe[[#This Row],[مقدار استاندارد]]*tblRecipe[[#This Row],[فروش بازه]])</f>
        <v/>
      </c>
      <c r="Y144" s="44" t="inlineStr">
        <is>
          <t>قابل ویرایش</t>
        </is>
      </c>
    </row>
  </sheetData>
  <mergeCells count="4">
    <mergeCell ref="A2:W2"/>
    <mergeCell ref="M4:Y4"/>
    <mergeCell ref="A1:W1"/>
    <mergeCell ref="A4:K4"/>
  </mergeCells>
  <conditionalFormatting sqref="A6:A10000">
    <cfRule type="expression" priority="1" dxfId="1">
      <formula>AND($A6&lt;&gt;"",COUNTIF($A$6:$A$10000,$A6)&gt;1)</formula>
    </cfRule>
  </conditionalFormatting>
  <conditionalFormatting sqref="G6:G10000">
    <cfRule type="expression" priority="2" dxfId="2" stopIfTrue="0">
      <formula>AND(ISNUMBER($G6),$G6&gt;0.4)</formula>
    </cfRule>
  </conditionalFormatting>
  <conditionalFormatting sqref="J6:J10000">
    <cfRule type="expression" priority="3" dxfId="3" stopIfTrue="0">
      <formula>$J6="بدون رسپی"</formula>
    </cfRule>
  </conditionalFormatting>
  <conditionalFormatting sqref="P6:P10000">
    <cfRule type="expression" priority="4" dxfId="1" stopIfTrue="0">
      <formula>$P6="کد نامعتبر"</formula>
    </cfRule>
  </conditionalFormatting>
  <conditionalFormatting sqref="H6:H10000">
    <cfRule type="expression" priority="5" dxfId="4" stopIfTrue="0">
      <formula>$H6="خیر"</formula>
    </cfRule>
  </conditionalFormatting>
  <dataValidations count="6">
    <dataValidation sqref="C6:C10000" showDropDown="0" showInputMessage="0" showErrorMessage="1" allowBlank="1" errorTitle="ورودی نامعتبر" error="لطفاً یک مقدار معتبر از فهرست انتخاب کنید." type="list" errorStyle="warning">
      <formula1>=MenuCategories</formula1>
    </dataValidation>
    <dataValidation sqref="H6:H10000" showDropDown="0" showInputMessage="0" showErrorMessage="1" allowBlank="1" errorTitle="ورودی نامعتبر" error="لطفاً یک مقدار معتبر از فهرست انتخاب کنید." type="list" errorStyle="stop">
      <formula1>=ActiveList</formula1>
    </dataValidation>
    <dataValidation sqref="M6:M10000" showDropDown="0" showInputMessage="0" showErrorMessage="1" allowBlank="1" errorTitle="ورودی نامعتبر" error="لطفاً یک مقدار معتبر از فهرست انتخاب کنید." type="list" errorStyle="stop">
      <formula1>=ProductCodes</formula1>
    </dataValidation>
    <dataValidation sqref="O6:O10000" showDropDown="0" showInputMessage="0" showErrorMessage="1" allowBlank="1" errorTitle="ورودی نامعتبر" error="لطفاً یک مقدار معتبر از فهرست انتخاب کنید." type="list" errorStyle="stop">
      <formula1>=IngredientCodes</formula1>
    </dataValidation>
    <dataValidation sqref="D6:D10000" showDropDown="0" showInputMessage="0" showErrorMessage="1" allowBlank="1" errorTitle="ورودی نامعتبر" error="قیمت باید عدد غیرمنفی باشد (هزار تومان)." type="decimal" operator="greaterThanOrEqual">
      <formula1>0</formula1>
    </dataValidation>
    <dataValidation sqref="R6:R10000" showDropDown="0" showInputMessage="0" showErrorMessage="1" allowBlank="1" errorTitle="ورودی نامعتبر" error="مقدار استاندارد باید بزرگ‌تر از صفر باشد." type="decimal" operator="greaterThan">
      <formula1>0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AE6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12" customWidth="1" min="2" max="2"/>
    <col width="14" customWidth="1" min="3" max="3"/>
    <col width="24" customWidth="1" min="4" max="4"/>
    <col width="11" customWidth="1" min="5" max="5"/>
    <col width="11" customWidth="1" min="6" max="6"/>
    <col width="11" customWidth="1" min="7" max="7"/>
    <col width="10" customWidth="1" min="8" max="8"/>
    <col width="20" customWidth="1" min="9" max="9"/>
    <col width="11" customWidth="1" min="10" max="10"/>
    <col width="11" customWidth="1" min="11" max="11"/>
    <col width="3" customWidth="1" min="12" max="12"/>
    <col width="12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9" customWidth="1" min="21" max="21"/>
    <col width="11" customWidth="1" min="22" max="22"/>
    <col width="10" customWidth="1" min="23" max="23"/>
    <col width="11" customWidth="1" min="24" max="24"/>
    <col width="9" customWidth="1" min="25" max="25"/>
    <col width="11" customWidth="1" min="26" max="26"/>
    <col width="10" customWidth="1" min="27" max="27"/>
    <col width="20" customWidth="1" min="28" max="28"/>
    <col width="11" customWidth="1" min="29" max="29"/>
    <col width="11" customWidth="1" min="30" max="30"/>
  </cols>
  <sheetData>
    <row r="1" ht="30" customHeight="1">
      <c r="A1" s="1" t="inlineStr">
        <is>
          <t>هزینه‌ها و صندوق روزانه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خرید مواد فقط در «خرید و انبار» ثبت شود. «موجودی اول» هر روز خودکار از موجودی واقعی آخرین روز ثبت‌شده می‌آید.</t>
        </is>
      </c>
    </row>
    <row r="3" ht="26" customHeight="1">
      <c r="A3" s="37" t="inlineStr">
        <is>
          <t>هزینه‌ها</t>
        </is>
      </c>
      <c r="B3" s="39">
        <f>COUNTA(tblExpenses[مبلغ])</f>
        <v/>
      </c>
      <c r="C3" s="37" t="inlineStr">
        <is>
          <t>پیش‌نویس</t>
        </is>
      </c>
      <c r="D3" s="39">
        <f>COUNTIF(tblExpenses[وضعیت مؤثر],"پیش‌نویس")</f>
        <v/>
      </c>
      <c r="E3" s="37" t="inlineStr">
        <is>
          <t>جمع تاییدشده</t>
        </is>
      </c>
      <c r="F3" s="40">
        <f>SUMIFS(tblExpenses[مبلغ],tblExpenses[وضعیت مؤثر],"تایید شده")</f>
        <v/>
      </c>
      <c r="M3" s="37" t="inlineStr">
        <is>
          <t>روزهای ثبت‌شده</t>
        </is>
      </c>
      <c r="N3" s="39">
        <f>COUNT(tblCash[تاریخ میلادی])</f>
        <v/>
      </c>
      <c r="O3" s="37" t="inlineStr">
        <is>
          <t>روز با اختلاف</t>
        </is>
      </c>
      <c r="P3" s="39">
        <f>SUMPRODUCT(ISNUMBER(tblCash[اختلاف])*(tblCash[اختلاف]&lt;&gt;0))</f>
        <v/>
      </c>
      <c r="Q3" s="37" t="inlineStr">
        <is>
          <t>جمع اختلاف</t>
        </is>
      </c>
      <c r="R3" s="40">
        <f>SUM(tblCash[اختلاف])</f>
        <v/>
      </c>
    </row>
    <row r="4" ht="18" customHeight="1">
      <c r="A4" s="13" t="inlineStr">
        <is>
          <t>هزینه‌های عملیاتی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M4" s="13" t="inlineStr">
        <is>
          <t>صندوق و تسویه روزانه (هر روز یک ردیف؛ «موجودی واقعی» را در پایان شیفت بشمارید)</t>
        </is>
      </c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5" ht="34" customHeight="1">
      <c r="A5" s="41" t="inlineStr">
        <is>
          <t>تاریخ</t>
        </is>
      </c>
      <c r="B5" s="41" t="inlineStr">
        <is>
          <t>شماره هزینه</t>
        </is>
      </c>
      <c r="C5" s="41" t="inlineStr">
        <is>
          <t>دسته هزینه</t>
        </is>
      </c>
      <c r="D5" s="41" t="inlineStr">
        <is>
          <t>شرح</t>
        </is>
      </c>
      <c r="E5" s="41" t="inlineStr">
        <is>
          <t>مبلغ</t>
        </is>
      </c>
      <c r="F5" s="41" t="inlineStr">
        <is>
          <t>روش پرداخت</t>
        </is>
      </c>
      <c r="G5" s="41" t="inlineStr">
        <is>
          <t>ثبت‌کننده</t>
        </is>
      </c>
      <c r="H5" s="41" t="inlineStr">
        <is>
          <t>وضعیت</t>
        </is>
      </c>
      <c r="I5" s="41" t="inlineStr">
        <is>
          <t>یادداشت</t>
        </is>
      </c>
      <c r="J5" s="32" t="inlineStr">
        <is>
          <t>وضعیت مؤثر</t>
        </is>
      </c>
      <c r="K5" s="32" t="inlineStr">
        <is>
          <t>تاریخ میلادی</t>
        </is>
      </c>
      <c r="M5" s="41" t="inlineStr">
        <is>
          <t>تاریخ</t>
        </is>
      </c>
      <c r="N5" s="41" t="inlineStr">
        <is>
          <t>افتتاحیه دستی</t>
        </is>
      </c>
      <c r="O5" s="32" t="inlineStr">
        <is>
          <t>موجودی اول</t>
        </is>
      </c>
      <c r="P5" s="32" t="inlineStr">
        <is>
          <t>فروش نقدی</t>
        </is>
      </c>
      <c r="Q5" s="32" t="inlineStr">
        <is>
          <t>هزینه نقدی</t>
        </is>
      </c>
      <c r="R5" s="41" t="inlineStr">
        <is>
          <t>انتقال به بانک</t>
        </is>
      </c>
      <c r="S5" s="32" t="inlineStr">
        <is>
          <t>انتظار</t>
        </is>
      </c>
      <c r="T5" s="41" t="inlineStr">
        <is>
          <t>موجودی واقعی</t>
        </is>
      </c>
      <c r="U5" s="32" t="inlineStr">
        <is>
          <t>اختلاف</t>
        </is>
      </c>
      <c r="V5" s="32" t="inlineStr">
        <is>
          <t>اختلاف انباشته</t>
        </is>
      </c>
      <c r="W5" s="32" t="inlineStr">
        <is>
          <t>فروش کارت</t>
        </is>
      </c>
      <c r="X5" s="32" t="inlineStr">
        <is>
          <t>انتقال یا آنلاین</t>
        </is>
      </c>
      <c r="Y5" s="32" t="inlineStr">
        <is>
          <t>نسیه</t>
        </is>
      </c>
      <c r="Z5" s="32" t="inlineStr">
        <is>
          <t>جمع فروش روز</t>
        </is>
      </c>
      <c r="AA5" s="41" t="inlineStr">
        <is>
          <t>مسئول</t>
        </is>
      </c>
      <c r="AB5" s="41" t="inlineStr">
        <is>
          <t>یادداشت</t>
        </is>
      </c>
      <c r="AC5" s="32" t="inlineStr">
        <is>
          <t>تاریخ میلادی</t>
        </is>
      </c>
      <c r="AD5" s="32" t="inlineStr">
        <is>
          <t>تاریخ قبلی</t>
        </is>
      </c>
    </row>
    <row r="6">
      <c r="A6" s="42" t="n"/>
      <c r="B6" s="44" t="n"/>
      <c r="C6" s="44" t="n"/>
      <c r="D6" s="44" t="n"/>
      <c r="E6" s="68" t="n"/>
      <c r="F6" s="44" t="n"/>
      <c r="G6" s="44" t="n"/>
      <c r="H6" s="44" t="n"/>
      <c r="I6" s="44" t="n"/>
      <c r="J6" s="33">
        <f>IF(tblExpenses[[#This Row],[مبلغ]]="","",IF(tblExpenses[[#This Row],[وضعیت]]="","تایید شده",tblExpenses[[#This Row],[وضعیت]]))</f>
        <v/>
      </c>
      <c r="K6" s="48">
        <f>IF(tblExpenses[[#This Row],[تاریخ]]="",IF(tblExpenses[[#This Row],[مبلغ]]&lt;&gt;"","تاریخ نامعتبر",""),IF(AND(ISNUMBER(tblExpenses[[#This Row],[تاریخ]]),tblExpenses[[#This Row],[تاریخ]]&lt;100000),tblExpenses[[#This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M6" s="42" t="n"/>
      <c r="N6" s="68" t="n"/>
      <c r="O6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6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6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6" s="68" t="n"/>
      <c r="S6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6" s="68" t="n"/>
      <c r="U6" s="34">
        <f>IF(OR(tblCash[[#This Row],[موجودی واقعی]]="",tblCash[[#This Row],[انتظار]]=""),"",tblCash[[#This Row],[موجودی واقعی]]-tblCash[[#This Row],[انتظار]])</f>
        <v/>
      </c>
      <c r="V6" s="34">
        <f>IF(tblCash[[#This Row],[اختلاف]]="","",SUMIFS(tblCash[اختلاف],tblCash[تاریخ میلادی],"&lt;="&amp;tblCash[[#This Row],[تاریخ میلادی]]))</f>
        <v/>
      </c>
      <c r="W6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6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6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6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6" s="44" t="n"/>
      <c r="AB6" s="44" t="n"/>
      <c r="AC6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6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</sheetData>
  <mergeCells count="4">
    <mergeCell ref="A1:AE1"/>
    <mergeCell ref="M4:AD4"/>
    <mergeCell ref="A4:K4"/>
    <mergeCell ref="A2:AE2"/>
  </mergeCells>
  <conditionalFormatting sqref="A6:K10000">
    <cfRule type="expression" priority="1" dxfId="3" stopIfTrue="0">
      <formula>$H6="پیش‌نویس"</formula>
    </cfRule>
    <cfRule type="expression" priority="2" dxfId="2" stopIfTrue="0">
      <formula>$H6="ابطال"</formula>
    </cfRule>
  </conditionalFormatting>
  <conditionalFormatting sqref="A6:A10000">
    <cfRule type="expression" priority="3" dxfId="1">
      <formula>$K6="تاریخ نامعتبر"</formula>
    </cfRule>
  </conditionalFormatting>
  <conditionalFormatting sqref="M6:M10000">
    <cfRule type="expression" priority="4" dxfId="1">
      <formula>$AC6="تاریخ نامعتبر"</formula>
    </cfRule>
    <cfRule type="expression" priority="5" dxfId="1">
      <formula>AND($M6&lt;&gt;"",COUNTIF($M$6:$M$10000,$M6)&gt;1)</formula>
    </cfRule>
  </conditionalFormatting>
  <conditionalFormatting sqref="U6:U10000">
    <cfRule type="expression" priority="6" dxfId="2" stopIfTrue="0">
      <formula>AND(ISNUMBER($U6),$U6&lt;&gt;0)</formula>
    </cfRule>
  </conditionalFormatting>
  <dataValidations count="6">
    <dataValidation sqref="C6:C10000" showDropDown="0" showInputMessage="0" showErrorMessage="1" allowBlank="1" errorTitle="ورودی نامعتبر" error="لطفاً یک مقدار معتبر از فهرست انتخاب کنید." type="list" errorStyle="stop">
      <formula1>=ExpenseCategory</formula1>
    </dataValidation>
    <dataValidation sqref="F6:F10000" showDropDown="0" showInputMessage="0" showErrorMessage="1" allowBlank="1" errorTitle="ورودی نامعتبر" error="لطفاً یک مقدار معتبر از فهرست انتخاب کنید." type="list" errorStyle="stop">
      <formula1>=PaymentMethods</formula1>
    </dataValidation>
    <dataValidation sqref="G6:G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H6:H10000" showDropDown="0" showInputMessage="0" showErrorMessage="1" allowBlank="1" errorTitle="ورودی نامعتبر" error="لطفاً یک مقدار معتبر از فهرست انتخاب کنید." type="list" errorStyle="stop">
      <formula1>=ApprovalStatus</formula1>
    </dataValidation>
    <dataValidation sqref="AA6:AA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E6:E10000" showDropDown="0" showInputMessage="0" showErrorMessage="1" allowBlank="1" errorTitle="ورودی نامعتبر" error="مبلغ باید بزرگ‌تر از صفر باشد." type="decimal" operator="greaterThan">
      <formula1>0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AL6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11" customWidth="1" min="2" max="2"/>
    <col width="20" customWidth="1" min="3" max="3"/>
    <col width="9" customWidth="1" min="4" max="4"/>
    <col width="8" customWidth="1" min="5" max="5"/>
    <col width="8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8" customWidth="1" min="12" max="12"/>
    <col width="11" customWidth="1" min="13" max="13"/>
    <col width="11" customWidth="1" min="14" max="14"/>
    <col width="20" customWidth="1" min="15" max="15"/>
    <col width="7" customWidth="1" min="16" max="16"/>
    <col width="3" customWidth="1" min="17" max="17"/>
    <col width="10" customWidth="1" min="18" max="18"/>
    <col width="11" customWidth="1" min="19" max="19"/>
    <col width="20" customWidth="1" min="20" max="20"/>
    <col width="10" customWidth="1" min="21" max="21"/>
    <col width="8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9" customWidth="1" min="30" max="30"/>
    <col width="11" customWidth="1" min="31" max="31"/>
    <col width="11" customWidth="1" min="32" max="32"/>
    <col width="10" customWidth="1" min="33" max="33"/>
    <col width="18" customWidth="1" min="34" max="34"/>
    <col width="11" customWidth="1" min="35" max="35"/>
    <col width="11" customWidth="1" min="36" max="36"/>
    <col width="11" customWidth="1" min="37" max="37"/>
    <col width="24" customWidth="1" min="38" max="38"/>
  </cols>
  <sheetData>
    <row r="1" ht="30" customHeight="1">
      <c r="A1" s="1" t="inlineStr">
        <is>
          <t>حضور و غیاب و حقوق ماهانه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حقوق پایه به نسبت روزهای حضور تاییدشده (به‌علاوه مرخصی با حقوق) پرداخت می‌شود؛ ماه حقوق را به شکل 1405/08 بنویسید.</t>
        </is>
      </c>
    </row>
    <row r="3" ht="26" customHeight="1">
      <c r="A3" s="37" t="inlineStr">
        <is>
          <t>ردیف‌ها</t>
        </is>
      </c>
      <c r="B3" s="39">
        <f>COUNTA(tblAttendance[کد پرسنل])</f>
        <v/>
      </c>
      <c r="C3" s="37" t="inlineStr">
        <is>
          <t>پیش‌نویس</t>
        </is>
      </c>
      <c r="D3" s="39">
        <f>COUNTIF(tblAttendance[وضعیت مؤثر],"پیش‌نویس")</f>
        <v/>
      </c>
      <c r="E3" s="37" t="inlineStr">
        <is>
          <t>ردیف نیازمند اصلاح</t>
        </is>
      </c>
      <c r="F3" s="39">
        <f>SUMPRODUCT(--(LEN(tblAttendance[پیام بررسی])&gt;0))</f>
        <v/>
      </c>
      <c r="G3" s="37" t="inlineStr">
        <is>
          <t>جمع اضافه‌کاری</t>
        </is>
      </c>
      <c r="H3" s="75">
        <f>SUM(tblAttendance[اضافه‌کاری])</f>
        <v/>
      </c>
      <c r="R3" s="37" t="inlineStr">
        <is>
          <t>ردیف حقوق</t>
        </is>
      </c>
      <c r="S3" s="39">
        <f>COUNTA(tblPayroll[کد پرسنل])</f>
        <v/>
      </c>
      <c r="T3" s="37" t="inlineStr">
        <is>
          <t>هشدار حقوق</t>
        </is>
      </c>
      <c r="U3" s="39">
        <f>SUMPRODUCT(--(LEN(tblPayroll[پیام بررسی])&gt;0))</f>
        <v/>
      </c>
      <c r="V3" s="37" t="inlineStr">
        <is>
          <t>جمع حقوق</t>
        </is>
      </c>
      <c r="W3" s="40">
        <f>SUMIFS(tblPayroll[حقوق نهایی],tblPayroll[وضعیت مؤثر],"تایید شده")</f>
        <v/>
      </c>
    </row>
    <row r="4" ht="18" customHeight="1">
      <c r="A4" s="13" t="inlineStr">
        <is>
          <t>حضور و غیاب روزانه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R4" s="13" t="inlineStr">
        <is>
          <t>محاسبه حقوق ماهانه (هر ماه یک ردیف برای هر نفر؛ ماه شمسی مثل 1405/08)</t>
        </is>
      </c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</row>
    <row r="5" ht="34" customHeight="1">
      <c r="A5" s="41" t="inlineStr">
        <is>
          <t>تاریخ</t>
        </is>
      </c>
      <c r="B5" s="41" t="inlineStr">
        <is>
          <t>کد پرسنل</t>
        </is>
      </c>
      <c r="C5" s="32" t="inlineStr">
        <is>
          <t>نام</t>
        </is>
      </c>
      <c r="D5" s="32" t="inlineStr">
        <is>
          <t>ساعت برنامه</t>
        </is>
      </c>
      <c r="E5" s="41" t="inlineStr">
        <is>
          <t>ورود</t>
        </is>
      </c>
      <c r="F5" s="41" t="inlineStr">
        <is>
          <t>خروج</t>
        </is>
      </c>
      <c r="G5" s="41" t="inlineStr">
        <is>
          <t>استراحت</t>
        </is>
      </c>
      <c r="H5" s="32" t="inlineStr">
        <is>
          <t>ساعات کار</t>
        </is>
      </c>
      <c r="I5" s="32" t="inlineStr">
        <is>
          <t>عادی</t>
        </is>
      </c>
      <c r="J5" s="32" t="inlineStr">
        <is>
          <t>اضافه‌کاری</t>
        </is>
      </c>
      <c r="K5" s="41" t="inlineStr">
        <is>
          <t>وضعیت</t>
        </is>
      </c>
      <c r="L5" s="41" t="inlineStr">
        <is>
          <t>یادداشت</t>
        </is>
      </c>
      <c r="M5" s="32" t="inlineStr">
        <is>
          <t>وضعیت مؤثر</t>
        </is>
      </c>
      <c r="N5" s="32" t="inlineStr">
        <is>
          <t>تاریخ میلادی</t>
        </is>
      </c>
      <c r="O5" s="32" t="inlineStr">
        <is>
          <t>پیام بررسی</t>
        </is>
      </c>
      <c r="P5" s="32" t="inlineStr">
        <is>
          <t>معتبر</t>
        </is>
      </c>
      <c r="R5" s="41" t="inlineStr">
        <is>
          <t>ماه</t>
        </is>
      </c>
      <c r="S5" s="41" t="inlineStr">
        <is>
          <t>کد پرسنل</t>
        </is>
      </c>
      <c r="T5" s="32" t="inlineStr">
        <is>
          <t>نام</t>
        </is>
      </c>
      <c r="U5" s="32" t="inlineStr">
        <is>
          <t>حقوق پایه</t>
        </is>
      </c>
      <c r="V5" s="32" t="inlineStr">
        <is>
          <t>روز حضور</t>
        </is>
      </c>
      <c r="W5" s="41" t="inlineStr">
        <is>
          <t>مرخصی با حقوق</t>
        </is>
      </c>
      <c r="X5" s="32" t="inlineStr">
        <is>
          <t>ساعت عادی</t>
        </is>
      </c>
      <c r="Y5" s="32" t="inlineStr">
        <is>
          <t>اضافه‌کاری</t>
        </is>
      </c>
      <c r="Z5" s="32" t="inlineStr">
        <is>
          <t>نرخ ساعتی</t>
        </is>
      </c>
      <c r="AA5" s="32" t="inlineStr">
        <is>
          <t>مبلغ اضافه‌کاری</t>
        </is>
      </c>
      <c r="AB5" s="32" t="inlineStr">
        <is>
          <t>کمیسیون</t>
        </is>
      </c>
      <c r="AC5" s="41" t="inlineStr">
        <is>
          <t>پاداش</t>
        </is>
      </c>
      <c r="AD5" s="41" t="inlineStr">
        <is>
          <t>کسورات</t>
        </is>
      </c>
      <c r="AE5" s="32" t="inlineStr">
        <is>
          <t>حقوق پایه پرداختنی</t>
        </is>
      </c>
      <c r="AF5" s="32" t="inlineStr">
        <is>
          <t>حقوق نهایی</t>
        </is>
      </c>
      <c r="AG5" s="41" t="inlineStr">
        <is>
          <t>وضعیت</t>
        </is>
      </c>
      <c r="AH5" s="41" t="inlineStr">
        <is>
          <t>یادداشت</t>
        </is>
      </c>
      <c r="AI5" s="32" t="inlineStr">
        <is>
          <t>وضعیت مؤثر</t>
        </is>
      </c>
      <c r="AJ5" s="32" t="inlineStr">
        <is>
          <t>شروع ماه</t>
        </is>
      </c>
      <c r="AK5" s="32" t="inlineStr">
        <is>
          <t>پایان ماه</t>
        </is>
      </c>
      <c r="AL5" s="32" t="inlineStr">
        <is>
          <t>پیام بررسی</t>
        </is>
      </c>
    </row>
    <row r="6">
      <c r="A6" s="42" t="n"/>
      <c r="B6" s="44" t="n"/>
      <c r="C6" s="33">
        <f>IF(tblAttendance[[#This Row],[کد پرسنل]]="","",IFERROR(INDEX(tblStaff[نام و نام خانوادگی],MATCH(tblAttendance[[#This Row],[کد پرسنل]],tblStaff[کد پرسنل],0)),"کد نامعتبر"))</f>
        <v/>
      </c>
      <c r="D6" s="72">
        <f>IF(tblAttendance[[#This Row],[کد پرسنل]]="","",IFERROR(INDEX(tblStaff[ساعت روزانه],MATCH(tblAttendance[[#This Row],[کد پرسنل]],tblStaff[کد پرسنل],0)),Cfg_StdHours))</f>
        <v/>
      </c>
      <c r="E6" s="47" t="n"/>
      <c r="F6" s="47" t="n"/>
      <c r="G6" s="76" t="n"/>
      <c r="H6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6" s="72">
        <f>IF(tblAttendance[[#This Row],[ساعات کار]]="","",MIN(tblAttendance[[#This Row],[ساعات کار]],tblAttendance[[#This Row],[ساعت برنامه]]))</f>
        <v/>
      </c>
      <c r="J6" s="72">
        <f>IF(tblAttendance[[#This Row],[ساعات کار]]="","",MAX(tblAttendance[[#This Row],[ساعات کار]]-tblAttendance[[#This Row],[عادی]],0))</f>
        <v/>
      </c>
      <c r="K6" s="44" t="n"/>
      <c r="L6" s="44" t="n"/>
      <c r="M6" s="33">
        <f>IF(tblAttendance[[#This Row],[کد پرسنل]]="","",IF(tblAttendance[[#This Row],[وضعیت]]="","تایید شده",tblAttendance[[#This Row],[وضعیت]]))</f>
        <v/>
      </c>
      <c r="N6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6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6" s="48">
        <f>IF(tblAttendance[[#This Row],[کد پرسنل]]="","",IF(tblAttendance[[#This Row],[پیام بررسی]]="",1,0))</f>
        <v/>
      </c>
      <c r="R6" s="42" t="n"/>
      <c r="S6" s="44" t="n"/>
      <c r="T6" s="33">
        <f>IF(tblPayroll[[#This Row],[کد پرسنل]]="","",IFERROR(INDEX(tblStaff[نام و نام خانوادگی],MATCH(tblPayroll[[#This Row],[کد پرسنل]],tblStaff[کد پرسنل],0)),"کد نامعتبر"))</f>
        <v/>
      </c>
      <c r="U6" s="34">
        <f>IF(tblPayroll[[#This Row],[کد پرسنل]]="","",IFERROR(INDEX(tblStaff[حقوق پایه],MATCH(tblPayroll[[#This Row],[کد پرسنل]],tblStaff[کد پرسنل],0)),0))</f>
        <v/>
      </c>
      <c r="V6" s="48">
        <f>IF(tblPayroll[[#This Row],[کد پرسنل]]="","",COUNTIFS(tblAttendance[کد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W6" s="43" t="n"/>
      <c r="X6" s="72">
        <f>IF(tblPayroll[[#This Row],[کد پرسنل]]="","",SUMIFS(tblAttendance[عادی],tblAttendance[کد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Y6" s="72">
        <f>IF(tblPayroll[[#This Row],[کد پرسنل]]="","",SUMIFS(tblAttendance[اضافه‌کاری],tblAttendance[کد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Z6" s="74">
        <f>IF(tblPayroll[[#This Row],[کد پرسنل]]="","",IFERROR(tblPayroll[[#This Row],[حقوق پایه]]/(Cfg_WorkDays*Cfg_StdHours),0))</f>
        <v/>
      </c>
      <c r="AA6" s="34">
        <f>IF(tblPayroll[[#This Row],[کد پرسنل]]="","",tblPayroll[[#This Row],[اضافه‌کاری]]*tblPayroll[[#This Row],[نرخ ساعتی]]*Cfg_OT)</f>
        <v/>
      </c>
      <c r="AB6" s="34">
        <f>IF(tblPayroll[[#This Row],[کد پرسنل]]="","",SUMIFS(tblSales[فروش خالص],tblSales[کد پرسنل],tblPayroll[[#This Row],[کد پرسنل]],tblSales[تاریخ میلادی],"&gt;="&amp;tblPayroll[[#This Row],[شروع ماه]],tblSales[تاریخ میلادی],"&lt;="&amp;tblPayroll[[#This Row],[پایان ماه]],tblSales[وضعیت مؤثر],"نهایی")*IFERROR(INDEX(tblStaff[درصد کمیسیون],MATCH(tblPayroll[[#This Row],[کد پرسنل]],tblStaff[کد پرسنل],0)),0))</f>
        <v/>
      </c>
      <c r="AC6" s="68" t="n"/>
      <c r="AD6" s="68" t="n"/>
      <c r="AE6" s="34">
        <f>IF(tblPayroll[[#This Row],[کد پرسنل]]="","",IFERROR(tblPayroll[[#This Row],[حقوق پایه]]*MIN(1,(tblPayroll[[#This Row],[روز حضور]]+N(tblPayroll[[#This Row],[مرخصی با حقوق]]))/Cfg_WorkDays),0))</f>
        <v/>
      </c>
      <c r="AF6" s="34">
        <f>IF(tblPayroll[[#This Row],[کد پرسنل]]="","",tblPayroll[[#This Row],[حقوق پایه پرداختنی]]+tblPayroll[[#This Row],[مبلغ اضافه‌کاری]]+tblPayroll[[#This Row],[کمیسیون]]+N(tblPayroll[[#This Row],[پاداش]])-N(tblPayroll[[#This Row],[کسورات]]))</f>
        <v/>
      </c>
      <c r="AG6" s="44" t="n"/>
      <c r="AH6" s="44" t="n"/>
      <c r="AI6" s="33">
        <f>IF(tblPayroll[[#This Row],[کد پرسنل]]="","",IF(tblPayroll[[#This Row],[وضعیت]]="","تایید شده",tblPayroll[[#This Row],[وضعیت]]))</f>
        <v/>
      </c>
      <c r="AJ6" s="48">
        <f>IF(tblPayroll[[#This Row],[ماه]]="",IF(tblPayroll[[#This Row],[کد پرسنل]]&lt;&gt;"","تاریخ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f>
        <v/>
      </c>
      <c r="AK6" s="48">
        <f>IF(tblPayroll[[#This Row],[شروع ماه]]="","",IFERROR(INDEX(MonEnd,MATCH(tblPayroll[[#This Row],[شروع ماه]],MonStart,0)),"تاریخ نامعتبر"))</f>
        <v/>
      </c>
      <c r="AL6" s="33">
        <f>IF(tblPayroll[[#This Row],[کد پرسنل]]="","",IF(tblPayroll[[#This Row],[نام]]="کد نامعتبر","کد پرسنل نامعتبر",IF(tblPayroll[[#This Row],[شروع ماه]]="تاریخ نامعتبر","ماه نامعتبر",IF(COUNTIFS(tblPayroll[کد پرسنل],tblPayroll[[#This Row],[کد پرسنل]],tblPayroll[شروع ماه],tblPayroll[[#This Row],[شروع ماه]],tblPayroll[وضعیت مؤثر],"&lt;&gt;ابطال")&gt;1,"ردیف تکراری برای این ماه",IF(AND(tblPayroll[[#This Row],[روز حضور]]=0,N(tblPayroll[[#This Row],[مرخصی با حقوق]])=0),"بدون حضور ثبت‌شده؛ حقوق پایه صفر","")))))</f>
        <v/>
      </c>
    </row>
  </sheetData>
  <mergeCells count="4">
    <mergeCell ref="R4:AL4"/>
    <mergeCell ref="A2:AJ2"/>
    <mergeCell ref="A4:P4"/>
    <mergeCell ref="A1:AJ1"/>
  </mergeCells>
  <conditionalFormatting sqref="A6:P10000">
    <cfRule type="expression" priority="1" dxfId="1" stopIfTrue="0">
      <formula>$O6&lt;&gt;""</formula>
    </cfRule>
    <cfRule type="expression" priority="2" dxfId="3" stopIfTrue="0">
      <formula>$M6="پیش‌نویس"</formula>
    </cfRule>
    <cfRule type="expression" priority="3" dxfId="2" stopIfTrue="0">
      <formula>$M6="ابطال"</formula>
    </cfRule>
  </conditionalFormatting>
  <conditionalFormatting sqref="AL6:AL10000">
    <cfRule type="expression" priority="4" dxfId="3" stopIfTrue="0">
      <formula>LEN($AL6)&gt;0</formula>
    </cfRule>
  </conditionalFormatting>
  <conditionalFormatting sqref="R6:R10000">
    <cfRule type="expression" priority="5" dxfId="1">
      <formula>$AJ6="تاریخ نامعتبر"</formula>
    </cfRule>
  </conditionalFormatting>
  <dataValidations count="7">
    <dataValidation sqref="B6:B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K6:K10000" showDropDown="0" showInputMessage="0" showErrorMessage="1" allowBlank="1" errorTitle="ورودی نامعتبر" error="لطفاً یک مقدار معتبر از فهرست انتخاب کنید." type="list" errorStyle="stop">
      <formula1>=ApprovalStatus</formula1>
    </dataValidation>
    <dataValidation sqref="S6:S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AG6:AG10000" showDropDown="0" showInputMessage="0" showErrorMessage="1" allowBlank="1" errorTitle="ورودی نامعتبر" error="لطفاً یک مقدار معتبر از فهرست انتخاب کنید." type="list" errorStyle="stop">
      <formula1>=ApprovalStatus</formula1>
    </dataValidation>
    <dataValidation sqref="E6:F10000" showDropDown="0" showInputMessage="0" showErrorMessage="1" allowBlank="1" errorTitle="ورودی نامعتبر" error="ساعت را به شکل 09:00 وارد کنید." type="time" operator="between">
      <formula1>0</formula1>
      <formula2>0.99999</formula2>
    </dataValidation>
    <dataValidation sqref="G6:G10000" showDropDown="0" showInputMessage="0" showErrorMessage="1" allowBlank="1" errorTitle="ورودی نامعتبر" error="استراحت را به ساعت (0 تا 12) وارد کنید." type="decimal" operator="between">
      <formula1>0</formula1>
      <formula2>12</formula2>
    </dataValidation>
    <dataValidation sqref="W6:W10000" showDropDown="0" showInputMessage="0" showErrorMessage="1" allowBlank="1" errorTitle="ورودی نامعتبر" error="تعداد روز مرخصی بین 0 و 31 باشد." type="decimal" operator="between">
      <formula1>0</formula1>
      <formula2>31</formula2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56665F"/>
    <outlinePr summaryBelow="1" summaryRight="1"/>
    <pageSetUpPr fitToPage="1"/>
  </sheetPr>
  <dimension ref="A1:AN28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1" customWidth="1" min="1" max="1"/>
    <col width="20" customWidth="1" min="2" max="2"/>
    <col width="11" customWidth="1" min="3" max="3"/>
    <col width="12" customWidth="1" min="4" max="4"/>
    <col width="12" customWidth="1" min="5" max="5"/>
    <col width="10" customWidth="1" min="6" max="6"/>
    <col width="10" customWidth="1" min="7" max="7"/>
    <col width="11" customWidth="1" min="8" max="8"/>
    <col width="8" customWidth="1" min="9" max="9"/>
    <col width="7" customWidth="1" min="10" max="10"/>
    <col width="18" customWidth="1" min="11" max="11"/>
    <col width="3" customWidth="1" min="12" max="12"/>
    <col width="11" customWidth="1" min="13" max="13"/>
    <col width="20" customWidth="1" min="14" max="14"/>
    <col width="14" customWidth="1" min="15" max="15"/>
    <col width="13" customWidth="1" min="16" max="16"/>
    <col width="18" customWidth="1" min="17" max="17"/>
    <col width="11" customWidth="1" min="18" max="18"/>
    <col width="7" customWidth="1" min="19" max="19"/>
    <col width="3" customWidth="1" min="20" max="20"/>
    <col width="22" customWidth="1" min="21" max="21"/>
    <col width="18" customWidth="1" min="22" max="22"/>
    <col width="40" customWidth="1" min="23" max="23"/>
    <col width="10" customWidth="1" min="25" max="25"/>
    <col width="12" customWidth="1" min="26" max="26"/>
    <col width="13" customWidth="1" min="27" max="27"/>
    <col width="12" customWidth="1" min="28" max="28"/>
    <col width="11" customWidth="1" min="29" max="29"/>
    <col width="10" customWidth="1" min="30" max="30"/>
    <col width="20" customWidth="1" min="31" max="31"/>
    <col width="11" customWidth="1" min="32" max="32"/>
  </cols>
  <sheetData>
    <row r="1" ht="30" customHeight="1">
      <c r="A1" s="1" t="inlineStr">
        <is>
          <t>پایه‌ها و تنظیمات | پرسنل، تأمین‌کنندگان، تنظیمات و اهداف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</t>
        </is>
      </c>
    </row>
    <row r="3" ht="26" customHeight="1">
      <c r="A3" s="37" t="inlineStr">
        <is>
          <t>پرسنل فعال</t>
        </is>
      </c>
      <c r="B3" s="39">
        <f>COUNTIF(tblStaff[فعال؟],"بله")</f>
        <v/>
      </c>
      <c r="C3" s="37" t="inlineStr">
        <is>
          <t>تأمین‌کننده</t>
        </is>
      </c>
      <c r="D3" s="39">
        <f>COUNTA(tblSuppliers[کد تأمین‌کننده])</f>
        <v/>
      </c>
    </row>
    <row r="4" ht="18" customHeight="1">
      <c r="A4" s="13" t="inlineStr">
        <is>
          <t>پرسنل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M4" s="13" t="inlineStr">
        <is>
          <t>تأمین‌کنندگان</t>
        </is>
      </c>
      <c r="N4" s="14" t="n"/>
      <c r="O4" s="14" t="n"/>
      <c r="P4" s="14" t="n"/>
      <c r="Q4" s="14" t="n"/>
      <c r="R4" s="14" t="n"/>
      <c r="S4" s="14" t="n"/>
      <c r="U4" s="13" t="inlineStr">
        <is>
          <t>تنظیمات کسب‌وکار</t>
        </is>
      </c>
      <c r="V4" s="14" t="n"/>
      <c r="W4" s="14" t="n"/>
      <c r="Y4" s="13" t="inlineStr">
        <is>
          <t>اهداف ماهانه (هر ماه یک ردیف؛ ماه شمسی مثل 1405/08)</t>
        </is>
      </c>
      <c r="Z4" s="14" t="n"/>
      <c r="AA4" s="14" t="n"/>
      <c r="AB4" s="14" t="n"/>
      <c r="AC4" s="14" t="n"/>
      <c r="AD4" s="14" t="n"/>
      <c r="AE4" s="14" t="n"/>
      <c r="AF4" s="14" t="n"/>
    </row>
    <row r="5" ht="34" customHeight="1">
      <c r="A5" s="41" t="inlineStr">
        <is>
          <t>کد پرسنل</t>
        </is>
      </c>
      <c r="B5" s="41" t="inlineStr">
        <is>
          <t>نام و نام خانوادگی</t>
        </is>
      </c>
      <c r="C5" s="41" t="inlineStr">
        <is>
          <t>سمت</t>
        </is>
      </c>
      <c r="D5" s="41" t="inlineStr">
        <is>
          <t>موبایل</t>
        </is>
      </c>
      <c r="E5" s="41" t="inlineStr">
        <is>
          <t>تاریخ استخدام</t>
        </is>
      </c>
      <c r="F5" s="41" t="inlineStr">
        <is>
          <t>حقوق پایه</t>
        </is>
      </c>
      <c r="G5" s="41" t="inlineStr">
        <is>
          <t>درصد کمیسیون</t>
        </is>
      </c>
      <c r="H5" s="41" t="inlineStr">
        <is>
          <t>هدف فروش فردی</t>
        </is>
      </c>
      <c r="I5" s="41" t="inlineStr">
        <is>
          <t>ساعت روزانه</t>
        </is>
      </c>
      <c r="J5" s="41" t="inlineStr">
        <is>
          <t>فعال؟</t>
        </is>
      </c>
      <c r="K5" s="41" t="inlineStr">
        <is>
          <t>یادداشت</t>
        </is>
      </c>
      <c r="M5" s="41" t="inlineStr">
        <is>
          <t>کد تأمین‌کننده</t>
        </is>
      </c>
      <c r="N5" s="41" t="inlineStr">
        <is>
          <t>نام تأمین‌کننده</t>
        </is>
      </c>
      <c r="O5" s="41" t="inlineStr">
        <is>
          <t>شخص تماس</t>
        </is>
      </c>
      <c r="P5" s="41" t="inlineStr">
        <is>
          <t>موبایل</t>
        </is>
      </c>
      <c r="Q5" s="41" t="inlineStr">
        <is>
          <t>حوزه تأمین</t>
        </is>
      </c>
      <c r="R5" s="41" t="inlineStr">
        <is>
          <t>شرایط پرداخت</t>
        </is>
      </c>
      <c r="S5" s="41" t="inlineStr">
        <is>
          <t>فعال؟</t>
        </is>
      </c>
      <c r="U5" s="41" t="inlineStr">
        <is>
          <t>عنوان</t>
        </is>
      </c>
      <c r="V5" s="41" t="inlineStr">
        <is>
          <t>مقدار</t>
        </is>
      </c>
      <c r="W5" s="41" t="inlineStr">
        <is>
          <t>توضیح</t>
        </is>
      </c>
      <c r="Y5" s="41" t="inlineStr">
        <is>
          <t>ماه</t>
        </is>
      </c>
      <c r="Z5" s="41" t="inlineStr">
        <is>
          <t>هدف فروش</t>
        </is>
      </c>
      <c r="AA5" s="41" t="inlineStr">
        <is>
          <t>هدف سود ناخالص</t>
        </is>
      </c>
      <c r="AB5" s="41" t="inlineStr">
        <is>
          <t>هدف سود خالص</t>
        </is>
      </c>
      <c r="AC5" s="41" t="inlineStr">
        <is>
          <t>سقف بهای مواد</t>
        </is>
      </c>
      <c r="AD5" s="41" t="inlineStr">
        <is>
          <t>سقف هزینه</t>
        </is>
      </c>
      <c r="AE5" s="41" t="inlineStr">
        <is>
          <t>یادداشت</t>
        </is>
      </c>
      <c r="AF5" s="32" t="inlineStr">
        <is>
          <t>شروع ماه</t>
        </is>
      </c>
    </row>
    <row r="6">
      <c r="A6" s="44" t="inlineStr">
        <is>
          <t>EMP-001</t>
        </is>
      </c>
      <c r="B6" s="44" t="inlineStr">
        <is>
          <t>آرمان رضایی</t>
        </is>
      </c>
      <c r="C6" s="44" t="inlineStr">
        <is>
          <t>مدیر</t>
        </is>
      </c>
      <c r="D6" s="44" t="inlineStr">
        <is>
          <t>09121000001</t>
        </is>
      </c>
      <c r="E6" s="42" t="inlineStr">
        <is>
          <t>1403/12/11</t>
        </is>
      </c>
      <c r="F6" s="68" t="n">
        <v>32000</v>
      </c>
      <c r="G6" s="77" t="n">
        <v>0</v>
      </c>
      <c r="H6" s="68" t="n">
        <v>40000</v>
      </c>
      <c r="I6" s="76" t="n">
        <v>8</v>
      </c>
      <c r="J6" s="44" t="inlineStr">
        <is>
          <t>بله</t>
        </is>
      </c>
      <c r="K6" s="44" t="inlineStr">
        <is>
          <t>مدیر شیفت</t>
        </is>
      </c>
      <c r="M6" s="44" t="inlineStr">
        <is>
          <t>SUP-001</t>
        </is>
      </c>
      <c r="N6" s="44" t="inlineStr">
        <is>
          <t>فروشگاه قهوه مرکزی</t>
        </is>
      </c>
      <c r="O6" s="44" t="inlineStr">
        <is>
          <t>آقای احمدی</t>
        </is>
      </c>
      <c r="P6" s="44" t="inlineStr">
        <is>
          <t>09120000001</t>
        </is>
      </c>
      <c r="Q6" s="44" t="inlineStr">
        <is>
          <t>قهوه و سیروپ</t>
        </is>
      </c>
      <c r="R6" s="44" t="inlineStr">
        <is>
          <t>نقدی</t>
        </is>
      </c>
      <c r="S6" s="44" t="inlineStr">
        <is>
          <t>بله</t>
        </is>
      </c>
      <c r="U6" s="44" t="inlineStr">
        <is>
          <t>نام کسب‌وکار</t>
        </is>
      </c>
      <c r="V6" s="44" t="inlineStr">
        <is>
          <t>کافه ریحا</t>
        </is>
      </c>
      <c r="W6" s="44" t="inlineStr">
        <is>
          <t>نام سربرگ گزارش و فاکتور</t>
        </is>
      </c>
      <c r="Y6" s="42" t="n"/>
      <c r="Z6" s="68" t="n"/>
      <c r="AA6" s="68" t="n"/>
      <c r="AB6" s="68" t="n"/>
      <c r="AC6" s="77" t="n"/>
      <c r="AD6" s="77" t="n"/>
      <c r="AE6" s="44" t="n"/>
      <c r="AF6" s="48">
        <f>IF(tblTargets[[#This Row],[ماه]]="",IF(tblTargets[[#This Row],[هدف فروش]]&lt;&gt;"","تاریخ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f>
        <v/>
      </c>
    </row>
    <row r="7">
      <c r="A7" s="44" t="inlineStr">
        <is>
          <t>EMP-002</t>
        </is>
      </c>
      <c r="B7" s="44" t="inlineStr">
        <is>
          <t>سارا محمدی</t>
        </is>
      </c>
      <c r="C7" s="44" t="inlineStr">
        <is>
          <t>صندوق‌دار</t>
        </is>
      </c>
      <c r="D7" s="44" t="inlineStr">
        <is>
          <t>09121000002</t>
        </is>
      </c>
      <c r="E7" s="42" t="inlineStr">
        <is>
          <t>1404/02/20</t>
        </is>
      </c>
      <c r="F7" s="68" t="n">
        <v>26000</v>
      </c>
      <c r="G7" s="77" t="n">
        <v>0.003</v>
      </c>
      <c r="H7" s="68" t="n">
        <v>45000</v>
      </c>
      <c r="I7" s="76" t="n">
        <v>8</v>
      </c>
      <c r="J7" s="44" t="inlineStr">
        <is>
          <t>بله</t>
        </is>
      </c>
      <c r="K7" s="44" t="inlineStr">
        <is>
          <t>صندوق و پذیرش</t>
        </is>
      </c>
      <c r="M7" s="44" t="inlineStr">
        <is>
          <t>SUP-002</t>
        </is>
      </c>
      <c r="N7" s="44" t="inlineStr">
        <is>
          <t>لبنیات تازه</t>
        </is>
      </c>
      <c r="O7" s="44" t="inlineStr">
        <is>
          <t>خانم رضایی</t>
        </is>
      </c>
      <c r="P7" s="44" t="inlineStr">
        <is>
          <t>09120000002</t>
        </is>
      </c>
      <c r="Q7" s="44" t="inlineStr">
        <is>
          <t>لبنیات</t>
        </is>
      </c>
      <c r="R7" s="44" t="inlineStr">
        <is>
          <t>15 روزه</t>
        </is>
      </c>
      <c r="S7" s="44" t="inlineStr">
        <is>
          <t>بله</t>
        </is>
      </c>
      <c r="U7" s="44" t="inlineStr">
        <is>
          <t>واحد مبالغ</t>
        </is>
      </c>
      <c r="V7" s="44" t="inlineStr">
        <is>
          <t>هزار تومان</t>
        </is>
      </c>
      <c r="W7" s="44" t="inlineStr">
        <is>
          <t>238 یعنی 238 هزار تومان</t>
        </is>
      </c>
    </row>
    <row r="8">
      <c r="A8" s="44" t="inlineStr">
        <is>
          <t>EMP-003</t>
        </is>
      </c>
      <c r="B8" s="44" t="inlineStr">
        <is>
          <t>محمد کریمی</t>
        </is>
      </c>
      <c r="C8" s="44" t="inlineStr">
        <is>
          <t>باریستا</t>
        </is>
      </c>
      <c r="D8" s="44" t="inlineStr">
        <is>
          <t>09121000003</t>
        </is>
      </c>
      <c r="E8" s="42" t="inlineStr">
        <is>
          <t>1404/01/23</t>
        </is>
      </c>
      <c r="F8" s="68" t="n">
        <v>25000</v>
      </c>
      <c r="G8" s="77" t="n">
        <v>0.002</v>
      </c>
      <c r="H8" s="68" t="n">
        <v>40000</v>
      </c>
      <c r="I8" s="76" t="n">
        <v>8</v>
      </c>
      <c r="J8" s="44" t="inlineStr">
        <is>
          <t>بله</t>
        </is>
      </c>
      <c r="K8" s="44" t="inlineStr">
        <is>
          <t>باریستا</t>
        </is>
      </c>
      <c r="M8" s="44" t="inlineStr">
        <is>
          <t>SUP-003</t>
        </is>
      </c>
      <c r="N8" s="44" t="inlineStr">
        <is>
          <t>بازار سبز</t>
        </is>
      </c>
      <c r="O8" s="44" t="inlineStr">
        <is>
          <t>آقای کریمی</t>
        </is>
      </c>
      <c r="P8" s="44" t="inlineStr">
        <is>
          <t>09120000003</t>
        </is>
      </c>
      <c r="Q8" s="44" t="inlineStr">
        <is>
          <t>میوه، سبزی و غذا</t>
        </is>
      </c>
      <c r="R8" s="44" t="inlineStr">
        <is>
          <t>نقدی</t>
        </is>
      </c>
      <c r="S8" s="44" t="inlineStr">
        <is>
          <t>بله</t>
        </is>
      </c>
      <c r="U8" s="44" t="inlineStr">
        <is>
          <t>نرخ مالیات</t>
        </is>
      </c>
      <c r="V8" s="78" t="n">
        <v>0</v>
      </c>
      <c r="W8" s="44" t="inlineStr">
        <is>
          <t>برای فاکتور؛ در صورت نیاز درصد واقعی وارد شود</t>
        </is>
      </c>
    </row>
    <row r="9">
      <c r="A9" s="44" t="inlineStr">
        <is>
          <t>EMP-004</t>
        </is>
      </c>
      <c r="B9" s="44" t="inlineStr">
        <is>
          <t>نسترن رحیمی</t>
        </is>
      </c>
      <c r="C9" s="44" t="inlineStr">
        <is>
          <t>سالن‌کار</t>
        </is>
      </c>
      <c r="D9" s="44" t="inlineStr">
        <is>
          <t>09121000004</t>
        </is>
      </c>
      <c r="E9" s="42" t="inlineStr">
        <is>
          <t>1404/04/17</t>
        </is>
      </c>
      <c r="F9" s="68" t="n">
        <v>23000</v>
      </c>
      <c r="G9" s="77" t="n">
        <v>0.001</v>
      </c>
      <c r="H9" s="68" t="n">
        <v>20000</v>
      </c>
      <c r="I9" s="76" t="n">
        <v>8</v>
      </c>
      <c r="J9" s="44" t="inlineStr">
        <is>
          <t>بله</t>
        </is>
      </c>
      <c r="K9" s="44" t="inlineStr">
        <is>
          <t>سرویس سالن</t>
        </is>
      </c>
      <c r="M9" s="44" t="inlineStr">
        <is>
          <t>SUP-004</t>
        </is>
      </c>
      <c r="N9" s="44" t="inlineStr">
        <is>
          <t>پخش پاک</t>
        </is>
      </c>
      <c r="O9" s="44" t="inlineStr">
        <is>
          <t>خانم نوری</t>
        </is>
      </c>
      <c r="P9" s="44" t="inlineStr">
        <is>
          <t>09120000004</t>
        </is>
      </c>
      <c r="Q9" s="44" t="inlineStr">
        <is>
          <t>بسته‌بندی</t>
        </is>
      </c>
      <c r="R9" s="44" t="inlineStr">
        <is>
          <t>30 روزه</t>
        </is>
      </c>
      <c r="S9" s="44" t="inlineStr">
        <is>
          <t>بله</t>
        </is>
      </c>
      <c r="U9" s="44" t="inlineStr">
        <is>
          <t>ساعت استاندارد روزانه</t>
        </is>
      </c>
      <c r="V9" s="44" t="n">
        <v>8</v>
      </c>
      <c r="W9" s="44" t="inlineStr">
        <is>
          <t>مبنای تفکیک ساعت عادی و اضافه‌کاری</t>
        </is>
      </c>
    </row>
    <row r="10">
      <c r="A10" s="44" t="inlineStr">
        <is>
          <t>EMP-005</t>
        </is>
      </c>
      <c r="B10" s="44" t="inlineStr">
        <is>
          <t>علی صادقی</t>
        </is>
      </c>
      <c r="C10" s="44" t="inlineStr">
        <is>
          <t>آشپز</t>
        </is>
      </c>
      <c r="D10" s="44" t="inlineStr">
        <is>
          <t>09121000005</t>
        </is>
      </c>
      <c r="E10" s="42" t="inlineStr">
        <is>
          <t>1404/03/25</t>
        </is>
      </c>
      <c r="F10" s="68" t="n">
        <v>30000</v>
      </c>
      <c r="G10" s="77" t="n">
        <v>0.001</v>
      </c>
      <c r="H10" s="68" t="n">
        <v>15000</v>
      </c>
      <c r="I10" s="76" t="n">
        <v>8</v>
      </c>
      <c r="J10" s="44" t="inlineStr">
        <is>
          <t>بله</t>
        </is>
      </c>
      <c r="K10" s="44" t="inlineStr">
        <is>
          <t>آشپز پاستا</t>
        </is>
      </c>
      <c r="U10" s="44" t="inlineStr">
        <is>
          <t>ضریب اضافه‌کاری</t>
        </is>
      </c>
      <c r="V10" s="44" t="n">
        <v>1.4</v>
      </c>
      <c r="W10" s="44" t="inlineStr">
        <is>
          <t>مثلاً 1.4 برابر نرخ ساعتی</t>
        </is>
      </c>
    </row>
    <row r="11">
      <c r="U11" s="44" t="inlineStr">
        <is>
          <t>روز کاری ماه</t>
        </is>
      </c>
      <c r="V11" s="44" t="n">
        <v>22</v>
      </c>
      <c r="W11" s="44" t="inlineStr">
        <is>
          <t>مبنای نرخ ساعتی و تناسب حقوق پایه: حقوق ÷ روز کاری؛ روزهای حضور تاییدشده نسبت به این عدد حساب می‌شود</t>
        </is>
      </c>
    </row>
    <row r="12">
      <c r="U12" s="44" t="inlineStr">
        <is>
          <t>موجودی آغازین صندوق</t>
        </is>
      </c>
      <c r="V12" s="44" t="n">
        <v>0</v>
      </c>
      <c r="W12" s="44" t="inlineStr">
        <is>
          <t>موجودی نقد اولین روز ثبت صندوق (هزار تومان)؛ بعد از آن موجودی اول هر روز خودکار است</t>
        </is>
      </c>
    </row>
    <row r="13">
      <c r="U13" s="44" t="inlineStr">
        <is>
          <t>تاریخ شروع انبار</t>
        </is>
      </c>
      <c r="V13" s="79" t="n"/>
      <c r="W13" s="44" t="inlineStr">
        <is>
          <t>اختیاری، شمسی مثل 1405/08/01؛ خرید، فروش و اصلاح قبل از این تاریخ در انبار حساب نمی‌شود (خالی = همه)</t>
        </is>
      </c>
    </row>
    <row r="14">
      <c r="U14" s="44" t="inlineStr">
        <is>
          <t>دسته هزینه حقوق</t>
        </is>
      </c>
      <c r="V14" s="44" t="inlineStr">
        <is>
          <t>حقوق و مزایا</t>
        </is>
      </c>
      <c r="W14" s="44" t="inlineStr">
        <is>
          <t>هزینه‌های این دسته در سود و زیان حساب نمی‌شود چون حقوق از جدول «حضور و حقوق» می‌آید</t>
        </is>
      </c>
    </row>
    <row r="15">
      <c r="U15" s="44" t="inlineStr">
        <is>
          <t>تلفن کافه</t>
        </is>
      </c>
      <c r="V15" s="44" t="n"/>
      <c r="W15" s="44" t="inlineStr">
        <is>
          <t>برای چاپ فاکتور تکمیل شود</t>
        </is>
      </c>
    </row>
    <row r="16">
      <c r="U16" s="44" t="inlineStr">
        <is>
          <t>آدرس کافه</t>
        </is>
      </c>
      <c r="V16" s="44" t="n"/>
      <c r="W16" s="44" t="inlineStr">
        <is>
          <t>برای چاپ فاکتور تکمیل شود</t>
        </is>
      </c>
    </row>
    <row r="17">
      <c r="U17" s="44" t="inlineStr">
        <is>
          <t>اینستاگرام</t>
        </is>
      </c>
      <c r="V17" s="44" t="inlineStr">
        <is>
          <t>@caferiha</t>
        </is>
      </c>
      <c r="W17" s="44" t="inlineStr">
        <is>
          <t>بر اساس منوی ارسالی</t>
        </is>
      </c>
    </row>
    <row r="20">
      <c r="U20" s="13" t="inlineStr">
        <is>
          <t>راهنمای سریع</t>
        </is>
      </c>
      <c r="V20" s="14" t="n"/>
      <c r="W20" s="14" t="n"/>
    </row>
    <row r="21" ht="28" customHeight="1">
      <c r="U21" s="80" t="inlineStr">
        <is>
          <t>۱) راه‌اندازی: پرسنل و تأمین‌کنندگان ← مواد (خرید و انبار) ← منو و دستورپخت ← موجودی آغازین ← فروش.</t>
        </is>
      </c>
    </row>
    <row r="22" ht="28" customHeight="1">
      <c r="U22" s="80" t="inlineStr">
        <is>
          <t>۲) تاریخ‌ها شمسی و متنی‌اند: 1405/08/02 (هر جداکننده و ارقام فارسی هم قبول است). ردیف قرمز = تاریخ نامعتبر.</t>
        </is>
      </c>
    </row>
    <row r="23" ht="28" customHeight="1">
      <c r="U23" s="80" t="inlineStr">
        <is>
          <t>۳) روزانه: فروش ← فاکتور (چاپ) ← هزینه و صندوق (موجودی واقعی) ← حضور و حقوق.</t>
        </is>
      </c>
    </row>
    <row r="24" ht="28" customHeight="1">
      <c r="U24" s="80" t="inlineStr">
        <is>
          <t>۳-۱) شماره فاکتور خودکار است: در «فروش» فقط «فاکتور روز» را بزنید (اولین فاکتور هر روز 1، بعدی 2…)؛ شماره کامل مثل R-14050802-01 ساخته می‌شود. بدون ماکرو و دکمه، در Excel وب و موبایل هم کار می‌کند.</t>
        </is>
      </c>
    </row>
    <row r="25" ht="28" customHeight="1">
      <c r="U25" s="80" t="inlineStr">
        <is>
          <t>۴) انبار خودکار: خرید زیاد می‌کند؛ فروش طبق رسپی، ضایعات و اصلاح کم می‌کنند؛ کمبودها در داشبورد و ستون «وضعیت» مواد دیده می‌شوند.</t>
        </is>
      </c>
    </row>
    <row r="26" ht="28" customHeight="1">
      <c r="U26" s="80" t="inlineStr">
        <is>
          <t>۵) ماهانه: داشبورد ← بازه تاریخ را بنویسید؛ حقوق ماه را در «حضور و حقوق» ثبت کنید.</t>
        </is>
      </c>
    </row>
    <row r="27" ht="28" customHeight="1">
      <c r="U27" s="80" t="inlineStr">
        <is>
          <t>۶) کد محصول، ماده و پرسنل یکتا باشد و بعد از ثبت تراکنش عوض نشود؛ برای حذف از منو «فعال؟ = خیر» بزنید.</t>
        </is>
      </c>
    </row>
    <row r="28" ht="28" customHeight="1">
      <c r="U28" s="80" t="inlineStr">
        <is>
          <t>۷) دسته منو، گروه مواد، واحد، سمت و دسته هزینه را در شیت «فهرست‌ها» اضافه یا حذف کنید.</t>
        </is>
      </c>
    </row>
  </sheetData>
  <mergeCells count="15">
    <mergeCell ref="U20:W20"/>
    <mergeCell ref="U21:W21"/>
    <mergeCell ref="U28:W28"/>
    <mergeCell ref="A4:K4"/>
    <mergeCell ref="Y4:AF4"/>
    <mergeCell ref="U24:W24"/>
    <mergeCell ref="U23:W23"/>
    <mergeCell ref="U25:W25"/>
    <mergeCell ref="M4:S4"/>
    <mergeCell ref="A2:AN2"/>
    <mergeCell ref="U27:W27"/>
    <mergeCell ref="U4:W4"/>
    <mergeCell ref="U26:W26"/>
    <mergeCell ref="U22:W22"/>
    <mergeCell ref="A1:AN1"/>
  </mergeCells>
  <conditionalFormatting sqref="A6:A500">
    <cfRule type="expression" priority="1" dxfId="1">
      <formula>AND($A6&lt;&gt;"",COUNTIF($A$6:$A$500,$A6)&gt;1)</formula>
    </cfRule>
  </conditionalFormatting>
  <conditionalFormatting sqref="M6:M500">
    <cfRule type="expression" priority="2" dxfId="1">
      <formula>AND($M6&lt;&gt;"",COUNTIF($M$6:$M$500,$M6)&gt;1)</formula>
    </cfRule>
  </conditionalFormatting>
  <conditionalFormatting sqref="Y6:Y10000">
    <cfRule type="expression" priority="3" dxfId="1">
      <formula>$AF6="تاریخ نامعتبر"</formula>
    </cfRule>
  </conditionalFormatting>
  <conditionalFormatting sqref="A6:K10000">
    <cfRule type="expression" priority="4" dxfId="4" stopIfTrue="0">
      <formula>$J6="خیر"</formula>
    </cfRule>
  </conditionalFormatting>
  <conditionalFormatting sqref="M6:S10000">
    <cfRule type="expression" priority="5" dxfId="4" stopIfTrue="0">
      <formula>$S6="خیر"</formula>
    </cfRule>
  </conditionalFormatting>
  <dataValidations count="6">
    <dataValidation sqref="C6:C10000" showDropDown="0" showInputMessage="0" showErrorMessage="1" allowBlank="1" errorTitle="ورودی نامعتبر" error="لطفاً یک مقدار معتبر از فهرست انتخاب کنید." type="list" errorStyle="warning">
      <formula1>=Roles</formula1>
    </dataValidation>
    <dataValidation sqref="J6:J10000" showDropDown="0" showInputMessage="0" showErrorMessage="1" allowBlank="1" errorTitle="ورودی نامعتبر" error="لطفاً یک مقدار معتبر از فهرست انتخاب کنید." type="list" errorStyle="stop">
      <formula1>=ActiveList</formula1>
    </dataValidation>
    <dataValidation sqref="S6:S10000" showDropDown="0" showInputMessage="0" showErrorMessage="1" allowBlank="1" errorTitle="ورودی نامعتبر" error="لطفاً یک مقدار معتبر از فهرست انتخاب کنید." type="list" errorStyle="stop">
      <formula1>=ActiveList</formula1>
    </dataValidation>
    <dataValidation sqref="F6:F10000" showDropDown="0" showInputMessage="0" showErrorMessage="1" allowBlank="1" errorTitle="ورودی نامعتبر" error="حقوق باید عدد غیرمنفی باشد." type="decimal" operator="greaterThanOrEqual">
      <formula1>0</formula1>
    </dataValidation>
    <dataValidation sqref="G6:G10000" showDropDown="0" showInputMessage="0" showErrorMessage="1" allowBlank="1" errorTitle="ورودی نامعتبر" error="درصد کمیسیون بین 0 و 1 باشد (مثلاً 0.003)." type="decimal" operator="between">
      <formula1>0</formula1>
      <formula2>1</formula2>
    </dataValidation>
    <dataValidation sqref="I6:I10000" showDropDown="0" showInputMessage="0" showErrorMessage="1" allowBlank="1" errorTitle="ورودی نامعتبر" error="ساعت روزانه بین 1 و 24 باشد." type="decimal" operator="between">
      <formula1>1</formula1>
      <formula2>24</formula2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tabColor rgb="0056665F"/>
    <outlinePr summaryBelow="1" summaryRight="1"/>
    <pageSetUpPr fitToPage="1"/>
  </sheetPr>
  <dimension ref="A1:Q15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24" customWidth="1" min="1" max="1"/>
    <col width="3" customWidth="1" min="2" max="2"/>
    <col width="24" customWidth="1" min="4" max="4"/>
    <col width="3" customWidth="1" min="5" max="5"/>
    <col width="24" customWidth="1" min="7" max="7"/>
    <col width="3" customWidth="1" min="8" max="8"/>
    <col width="24" customWidth="1" min="10" max="10"/>
    <col width="3" customWidth="1" min="11" max="11"/>
    <col width="24" customWidth="1" min="13" max="13"/>
    <col width="3" customWidth="1" min="14" max="14"/>
  </cols>
  <sheetData>
    <row r="1" ht="30" customHeight="1">
      <c r="A1" s="1" t="inlineStr">
        <is>
          <t>فهرست‌های قابل ویرایش</t>
        </is>
      </c>
    </row>
    <row r="2" ht="20" customHeight="1">
      <c r="A2" s="2" t="inlineStr">
        <is>
          <t>هر فهرست یک جدول است: مورد جدید را زیر آخرین ردیف بنویسید تا در همه کشویی‌ها ظاهر شود. حذف مورد: راست‌کلیک ← Delete ← Table Rows.</t>
        </is>
      </c>
    </row>
    <row r="3" ht="20" customHeight="1">
      <c r="A3" s="81" t="inlineStr">
        <is>
          <t>توجه: مورد «حقوق و مزایا» در فهرست دسته هزینه برای جلوگیری از شمارش دوباره حقوق استفاده می‌شود؛ اگر نامش را عوض کردید، همان نام را در «پایه‌ها و تنظیمات ← دسته هزینه حقوق» هم بنویسید.</t>
        </is>
      </c>
    </row>
    <row r="4" ht="18" customHeight="1">
      <c r="A4" s="13" t="inlineStr">
        <is>
          <t>دسته منو</t>
        </is>
      </c>
      <c r="D4" s="13" t="inlineStr">
        <is>
          <t>گروه مواد</t>
        </is>
      </c>
      <c r="G4" s="13" t="inlineStr">
        <is>
          <t>واحد</t>
        </is>
      </c>
      <c r="J4" s="13" t="inlineStr">
        <is>
          <t>سمت</t>
        </is>
      </c>
      <c r="M4" s="13" t="inlineStr">
        <is>
          <t>دسته هزینه</t>
        </is>
      </c>
    </row>
    <row r="5" ht="34" customHeight="1">
      <c r="A5" s="41" t="inlineStr">
        <is>
          <t>دسته منو</t>
        </is>
      </c>
      <c r="D5" s="41" t="inlineStr">
        <is>
          <t>گروه مواد</t>
        </is>
      </c>
      <c r="G5" s="41" t="inlineStr">
        <is>
          <t>واحد</t>
        </is>
      </c>
      <c r="J5" s="41" t="inlineStr">
        <is>
          <t>سمت</t>
        </is>
      </c>
      <c r="M5" s="41" t="inlineStr">
        <is>
          <t>دسته هزینه</t>
        </is>
      </c>
    </row>
    <row r="6">
      <c r="A6" s="44" t="inlineStr">
        <is>
          <t>قهوه گرم</t>
        </is>
      </c>
      <c r="D6" s="44" t="inlineStr">
        <is>
          <t>قهوه</t>
        </is>
      </c>
      <c r="G6" s="44" t="inlineStr">
        <is>
          <t>گرم</t>
        </is>
      </c>
      <c r="J6" s="44" t="inlineStr">
        <is>
          <t>مدیر</t>
        </is>
      </c>
      <c r="M6" s="44" t="inlineStr">
        <is>
          <t>حقوق و مزایا</t>
        </is>
      </c>
    </row>
    <row r="7">
      <c r="A7" s="44" t="inlineStr">
        <is>
          <t>چای و گرم</t>
        </is>
      </c>
      <c r="D7" s="44" t="inlineStr">
        <is>
          <t>لبنیات</t>
        </is>
      </c>
      <c r="G7" s="44" t="inlineStr">
        <is>
          <t>میلی‌لیتر</t>
        </is>
      </c>
      <c r="J7" s="44" t="inlineStr">
        <is>
          <t>صندوق‌دار</t>
        </is>
      </c>
      <c r="M7" s="44" t="inlineStr">
        <is>
          <t>اجاره</t>
        </is>
      </c>
    </row>
    <row r="8">
      <c r="A8" s="44" t="inlineStr">
        <is>
          <t>میلک‌شیک</t>
        </is>
      </c>
      <c r="D8" s="44" t="inlineStr">
        <is>
          <t>چای و ادویه</t>
        </is>
      </c>
      <c r="G8" s="44" t="inlineStr">
        <is>
          <t>عدد</t>
        </is>
      </c>
      <c r="J8" s="44" t="inlineStr">
        <is>
          <t>باریستا</t>
        </is>
      </c>
      <c r="M8" s="44" t="inlineStr">
        <is>
          <t>قبوض</t>
        </is>
      </c>
    </row>
    <row r="9">
      <c r="A9" s="44" t="inlineStr">
        <is>
          <t>ماکتل سرد</t>
        </is>
      </c>
      <c r="D9" s="44" t="inlineStr">
        <is>
          <t>سیروپ و پوره</t>
        </is>
      </c>
      <c r="G9" s="44" t="inlineStr">
        <is>
          <t>کیلوگرم</t>
        </is>
      </c>
      <c r="J9" s="44" t="inlineStr">
        <is>
          <t>سالن‌کار</t>
        </is>
      </c>
      <c r="M9" s="44" t="inlineStr">
        <is>
          <t>مواد مصرفی</t>
        </is>
      </c>
    </row>
    <row r="10">
      <c r="A10" s="44" t="inlineStr">
        <is>
          <t>قهوه سرد</t>
        </is>
      </c>
      <c r="D10" s="44" t="inlineStr">
        <is>
          <t>میوه و سبزی</t>
        </is>
      </c>
      <c r="G10" s="44" t="inlineStr">
        <is>
          <t>بسته</t>
        </is>
      </c>
      <c r="J10" s="44" t="inlineStr">
        <is>
          <t>آشپز</t>
        </is>
      </c>
      <c r="M10" s="44" t="inlineStr">
        <is>
          <t>تعمیرات</t>
        </is>
      </c>
    </row>
    <row r="11">
      <c r="A11" s="44" t="inlineStr">
        <is>
          <t>افزودنی</t>
        </is>
      </c>
      <c r="D11" s="44" t="inlineStr">
        <is>
          <t>پروتئین</t>
        </is>
      </c>
      <c r="J11" s="44" t="inlineStr">
        <is>
          <t>کمک‌آشپز</t>
        </is>
      </c>
      <c r="M11" s="44" t="inlineStr">
        <is>
          <t>بازاریابی</t>
        </is>
      </c>
    </row>
    <row r="12">
      <c r="A12" s="44" t="inlineStr">
        <is>
          <t>غذا</t>
        </is>
      </c>
      <c r="D12" s="44" t="inlineStr">
        <is>
          <t>خشکبار</t>
        </is>
      </c>
      <c r="M12" s="44" t="inlineStr">
        <is>
          <t>حمل‌ونقل</t>
        </is>
      </c>
    </row>
    <row r="13">
      <c r="D13" s="44" t="inlineStr">
        <is>
          <t>بسته‌بندی</t>
        </is>
      </c>
      <c r="M13" s="44" t="inlineStr">
        <is>
          <t>کارمزد</t>
        </is>
      </c>
    </row>
    <row r="14">
      <c r="D14" s="44" t="inlineStr">
        <is>
          <t>غذا</t>
        </is>
      </c>
      <c r="M14" s="44" t="inlineStr">
        <is>
          <t>سایر</t>
        </is>
      </c>
    </row>
    <row r="15">
      <c r="D15" s="44" t="inlineStr">
        <is>
          <t>سایر</t>
        </is>
      </c>
    </row>
  </sheetData>
  <mergeCells count="2">
    <mergeCell ref="A2:Q2"/>
    <mergeCell ref="A1:Q1"/>
  </mergeCell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0.xml><?xml version="1.0" encoding="utf-8"?>
<worksheet xmlns="http://schemas.openxmlformats.org/spreadsheetml/2006/main">
  <sheetPr>
    <tabColor rgb="0056665F"/>
    <outlinePr summaryBelow="1" summaryRight="1"/>
    <pageSetUpPr fitToPage="1"/>
  </sheetPr>
  <dimension ref="A1:Z304"/>
  <sheetViews>
    <sheetView showGridLines="0" rightToLeft="1" workbookViewId="0">
      <selection activeCell="A1" sqref="A1"/>
    </sheetView>
  </sheetViews>
  <sheetFormatPr baseColWidth="8" defaultRowHeight="19.5" customHeight="1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فهرست‌های ثابت و داده کمکی نمودار</t>
        </is>
      </c>
    </row>
    <row r="2" ht="20" customHeight="1">
      <c r="A2" s="2" t="inlineStr">
        <is>
          <t>این شیت مخفی است. فهرست‌های قابل ویرایش (دسته منو، گروه مواد، واحد، سمت، دسته هزینه) در شیت «فهرست‌ها» هستند.</t>
        </is>
      </c>
    </row>
    <row r="3" ht="26" customHeight="1"/>
    <row r="4" ht="18" customHeight="1">
      <c r="A4" s="82" t="inlineStr">
        <is>
          <t>روش پرداخت</t>
        </is>
      </c>
      <c r="B4" s="82" t="inlineStr">
        <is>
          <t>وضعیت فروش</t>
        </is>
      </c>
      <c r="C4" s="82" t="inlineStr">
        <is>
          <t>وضعیت تایید</t>
        </is>
      </c>
      <c r="D4" s="82" t="inlineStr">
        <is>
          <t>فعال</t>
        </is>
      </c>
      <c r="E4" s="82" t="inlineStr">
        <is>
          <t>نوع حرکت انبار</t>
        </is>
      </c>
      <c r="L4" s="83" t="inlineStr">
        <is>
          <t>روز (سریال)</t>
        </is>
      </c>
      <c r="M4" s="83" t="inlineStr">
        <is>
          <t>فروش روزانه</t>
        </is>
      </c>
      <c r="N4" s="83" t="inlineStr">
        <is>
          <t>روز ماه</t>
        </is>
      </c>
      <c r="O4" s="83" t="inlineStr">
        <is>
          <t>دسته</t>
        </is>
      </c>
      <c r="P4" s="83" t="inlineStr">
        <is>
          <t>فروش دسته</t>
        </is>
      </c>
      <c r="R4" t="inlineStr">
        <is>
          <t>شروع انبار</t>
        </is>
      </c>
      <c r="S4" t="inlineStr">
        <is>
          <t>شروع انبار (عدد)</t>
        </is>
      </c>
      <c r="U4" t="inlineStr">
        <is>
          <t>شروع ماه گزارش</t>
        </is>
      </c>
      <c r="V4" t="inlineStr">
        <is>
          <t>پایان ماه گزارش</t>
        </is>
      </c>
      <c r="W4" t="inlineStr">
        <is>
          <t>نام ماه گزارش</t>
        </is>
      </c>
      <c r="Y4" t="inlineStr">
        <is>
          <t>کلید فاکتور (جدیدترین اول)</t>
        </is>
      </c>
      <c r="Z4" t="inlineStr">
        <is>
          <t>شماره فاکتور</t>
        </is>
      </c>
    </row>
    <row r="5">
      <c r="A5" s="84" t="inlineStr">
        <is>
          <t>نقد</t>
        </is>
      </c>
      <c r="B5" s="84" t="inlineStr">
        <is>
          <t>پیش‌نویس</t>
        </is>
      </c>
      <c r="C5" s="84" t="inlineStr">
        <is>
          <t>پیش‌نویس</t>
        </is>
      </c>
      <c r="D5" s="84" t="inlineStr">
        <is>
          <t>بله</t>
        </is>
      </c>
      <c r="E5" s="84" t="inlineStr">
        <is>
          <t>خرید</t>
        </is>
      </c>
      <c r="L5" s="85">
        <f>IF(ISNUMBER(RptFrom),RptFrom+0,"")</f>
        <v/>
      </c>
      <c r="M5" s="86">
        <f>IF(OR(L5="",L5&gt;RptTo),"",SUMIFS(tblSales[فروش خالص],tblSales[تاریخ میلادی],L5,tblSales[وضعیت مؤثر],"نهایی"))</f>
        <v/>
      </c>
      <c r="N5">
        <f>IF(OR(L5="",L5&gt;RptTo),"",IFERROR(VALUE(RIGHT(IFERROR(INDEX(CalText,MATCH(L5,CalSerial,0)),""),2)),""))</f>
        <v/>
      </c>
      <c r="O5">
        <f>IFERROR(INDEX(MenuCategories,1)&amp;"","")</f>
        <v/>
      </c>
      <c r="P5" s="86">
        <f>IF(O5="","",SUMIFS(tblSales[فروش خالص],tblSales[دسته],O5,tblSales[تاریخ میلادی],"&gt;="&amp;RptFrom,tblSales[تاریخ میلادی],"&lt;="&amp;RptTo,tblSales[وضعیت مؤثر],"نهایی"))</f>
        <v/>
      </c>
      <c r="R5">
        <f>IF(Cfg_StockStart="","",IF(Cfg_StockStart="",IF(TRUE,"تاریخ نامعتبر",""),IF(AND(ISNUMBER(Cfg_StockStart),Cfg_StockStart&lt;100000),Cfg_StockStart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نامعتبر"))))</f>
        <v/>
      </c>
      <c r="S5">
        <f>IF(ISNUMBER(R5),R5,0)</f>
        <v/>
      </c>
      <c r="U5" s="85">
        <f>IFERROR(INDEX(MonStart,MATCH(RptYear*100+1,MonKey,0)),"")</f>
        <v/>
      </c>
      <c r="V5" s="85">
        <f>IFERROR(INDEX(MonEnd,MATCH(RptYear*100+1,MonKey,0)),"")</f>
        <v/>
      </c>
      <c r="W5">
        <f>IFERROR(INDEX(MonName,MATCH(RptYear*100+1,MonKey,0)),"")</f>
        <v/>
      </c>
      <c r="Y5" s="85">
        <f>IF(MAX(tblSales[کلید فاکتور])=0,"",MAX(tblSales[کلید فاکتور]))</f>
        <v/>
      </c>
      <c r="Z5">
        <f>IF(Y5="","","R-"&amp;INT(Y5/1000)&amp;"-"&amp;TEXT(MOD(Y5,1000),"00"))</f>
        <v/>
      </c>
    </row>
    <row r="6">
      <c r="A6" s="84" t="inlineStr">
        <is>
          <t>کارت</t>
        </is>
      </c>
      <c r="B6" s="84" t="inlineStr">
        <is>
          <t>نهایی</t>
        </is>
      </c>
      <c r="C6" s="84" t="inlineStr">
        <is>
          <t>تایید شده</t>
        </is>
      </c>
      <c r="D6" s="84" t="inlineStr">
        <is>
          <t>خیر</t>
        </is>
      </c>
      <c r="E6" s="84" t="inlineStr">
        <is>
          <t>ضایعات</t>
        </is>
      </c>
      <c r="L6" s="85">
        <f>IF(ISNUMBER(RptFrom),RptFrom+1,"")</f>
        <v/>
      </c>
      <c r="M6" s="86">
        <f>IF(OR(L6="",L6&gt;RptTo),"",SUMIFS(tblSales[فروش خالص],tblSales[تاریخ میلادی],L6,tblSales[وضعیت مؤثر],"نهایی"))</f>
        <v/>
      </c>
      <c r="N6">
        <f>IF(OR(L6="",L6&gt;RptTo),"",IFERROR(VALUE(RIGHT(IFERROR(INDEX(CalText,MATCH(L6,CalSerial,0)),""),2)),""))</f>
        <v/>
      </c>
      <c r="O6">
        <f>IFERROR(INDEX(MenuCategories,2)&amp;"","")</f>
        <v/>
      </c>
      <c r="P6" s="86">
        <f>IF(O6="","",SUMIFS(tblSales[فروش خالص],tblSales[دسته],O6,tblSales[تاریخ میلادی],"&gt;="&amp;RptFrom,tblSales[تاریخ میلادی],"&lt;="&amp;RptTo,tblSales[وضعیت مؤثر],"نهایی"))</f>
        <v/>
      </c>
      <c r="U6" s="85">
        <f>IFERROR(INDEX(MonStart,MATCH(RptYear*100+2,MonKey,0)),"")</f>
        <v/>
      </c>
      <c r="V6" s="85">
        <f>IFERROR(INDEX(MonEnd,MATCH(RptYear*100+2,MonKey,0)),"")</f>
        <v/>
      </c>
      <c r="W6">
        <f>IFERROR(INDEX(MonName,MATCH(RptYear*100+2,MonKey,0)),"")</f>
        <v/>
      </c>
      <c r="Y6" s="85">
        <f>IF(N(Y5)=0,"",IF(_xlfn.MAXIFS(tblSales[کلید فاکتور],tblSales[کلید فاکتور],"&lt;"&amp;Y5)=0,"",_xlfn.MAXIFS(tblSales[کلید فاکتور],tblSales[کلید فاکتور],"&lt;"&amp;Y5)))</f>
        <v/>
      </c>
      <c r="Z6">
        <f>IF(Y6="","","R-"&amp;INT(Y6/1000)&amp;"-"&amp;TEXT(MOD(Y6,1000),"00"))</f>
        <v/>
      </c>
    </row>
    <row r="7">
      <c r="A7" s="84" t="inlineStr">
        <is>
          <t>انتقال</t>
        </is>
      </c>
      <c r="B7" s="84" t="inlineStr">
        <is>
          <t>ابطال</t>
        </is>
      </c>
      <c r="C7" s="84" t="inlineStr">
        <is>
          <t>ابطال</t>
        </is>
      </c>
      <c r="E7" s="84" t="inlineStr">
        <is>
          <t>اصلاح موجودی</t>
        </is>
      </c>
      <c r="L7" s="85">
        <f>IF(ISNUMBER(RptFrom),RptFrom+2,"")</f>
        <v/>
      </c>
      <c r="M7" s="86">
        <f>IF(OR(L7="",L7&gt;RptTo),"",SUMIFS(tblSales[فروش خالص],tblSales[تاریخ میلادی],L7,tblSales[وضعیت مؤثر],"نهایی"))</f>
        <v/>
      </c>
      <c r="N7">
        <f>IF(OR(L7="",L7&gt;RptTo),"",IFERROR(VALUE(RIGHT(IFERROR(INDEX(CalText,MATCH(L7,CalSerial,0)),""),2)),""))</f>
        <v/>
      </c>
      <c r="O7">
        <f>IFERROR(INDEX(MenuCategories,3)&amp;"","")</f>
        <v/>
      </c>
      <c r="P7" s="86">
        <f>IF(O7="","",SUMIFS(tblSales[فروش خالص],tblSales[دسته],O7,tblSales[تاریخ میلادی],"&gt;="&amp;RptFrom,tblSales[تاریخ میلادی],"&lt;="&amp;RptTo,tblSales[وضعیت مؤثر],"نهایی"))</f>
        <v/>
      </c>
      <c r="U7" s="85">
        <f>IFERROR(INDEX(MonStart,MATCH(RptYear*100+3,MonKey,0)),"")</f>
        <v/>
      </c>
      <c r="V7" s="85">
        <f>IFERROR(INDEX(MonEnd,MATCH(RptYear*100+3,MonKey,0)),"")</f>
        <v/>
      </c>
      <c r="W7">
        <f>IFERROR(INDEX(MonName,MATCH(RptYear*100+3,MonKey,0)),"")</f>
        <v/>
      </c>
      <c r="Y7" s="85">
        <f>IF(N(Y6)=0,"",IF(_xlfn.MAXIFS(tblSales[کلید فاکتور],tblSales[کلید فاکتور],"&lt;"&amp;Y6)=0,"",_xlfn.MAXIFS(tblSales[کلید فاکتور],tblSales[کلید فاکتور],"&lt;"&amp;Y6)))</f>
        <v/>
      </c>
      <c r="Z7">
        <f>IF(Y7="","","R-"&amp;INT(Y7/1000)&amp;"-"&amp;TEXT(MOD(Y7,1000),"00"))</f>
        <v/>
      </c>
    </row>
    <row r="8">
      <c r="A8" s="84" t="inlineStr">
        <is>
          <t>آنلاین</t>
        </is>
      </c>
      <c r="L8" s="85">
        <f>IF(ISNUMBER(RptFrom),RptFrom+3,"")</f>
        <v/>
      </c>
      <c r="M8" s="86">
        <f>IF(OR(L8="",L8&gt;RptTo),"",SUMIFS(tblSales[فروش خالص],tblSales[تاریخ میلادی],L8,tblSales[وضعیت مؤثر],"نهایی"))</f>
        <v/>
      </c>
      <c r="N8">
        <f>IF(OR(L8="",L8&gt;RptTo),"",IFERROR(VALUE(RIGHT(IFERROR(INDEX(CalText,MATCH(L8,CalSerial,0)),""),2)),""))</f>
        <v/>
      </c>
      <c r="O8">
        <f>IFERROR(INDEX(MenuCategories,4)&amp;"","")</f>
        <v/>
      </c>
      <c r="P8" s="86">
        <f>IF(O8="","",SUMIFS(tblSales[فروش خالص],tblSales[دسته],O8,tblSales[تاریخ میلادی],"&gt;="&amp;RptFrom,tblSales[تاریخ میلادی],"&lt;="&amp;RptTo,tblSales[وضعیت مؤثر],"نهایی"))</f>
        <v/>
      </c>
      <c r="U8" s="85">
        <f>IFERROR(INDEX(MonStart,MATCH(RptYear*100+4,MonKey,0)),"")</f>
        <v/>
      </c>
      <c r="V8" s="85">
        <f>IFERROR(INDEX(MonEnd,MATCH(RptYear*100+4,MonKey,0)),"")</f>
        <v/>
      </c>
      <c r="W8">
        <f>IFERROR(INDEX(MonName,MATCH(RptYear*100+4,MonKey,0)),"")</f>
        <v/>
      </c>
      <c r="Y8" s="85">
        <f>IF(N(Y7)=0,"",IF(_xlfn.MAXIFS(tblSales[کلید فاکتور],tblSales[کلید فاکتور],"&lt;"&amp;Y7)=0,"",_xlfn.MAXIFS(tblSales[کلید فاکتور],tblSales[کلید فاکتور],"&lt;"&amp;Y7)))</f>
        <v/>
      </c>
      <c r="Z8">
        <f>IF(Y8="","","R-"&amp;INT(Y8/1000)&amp;"-"&amp;TEXT(MOD(Y8,1000),"00"))</f>
        <v/>
      </c>
    </row>
    <row r="9">
      <c r="A9" s="84" t="inlineStr">
        <is>
          <t>نسیه</t>
        </is>
      </c>
      <c r="L9" s="85">
        <f>IF(ISNUMBER(RptFrom),RptFrom+4,"")</f>
        <v/>
      </c>
      <c r="M9" s="86">
        <f>IF(OR(L9="",L9&gt;RptTo),"",SUMIFS(tblSales[فروش خالص],tblSales[تاریخ میلادی],L9,tblSales[وضعیت مؤثر],"نهایی"))</f>
        <v/>
      </c>
      <c r="N9">
        <f>IF(OR(L9="",L9&gt;RptTo),"",IFERROR(VALUE(RIGHT(IFERROR(INDEX(CalText,MATCH(L9,CalSerial,0)),""),2)),""))</f>
        <v/>
      </c>
      <c r="O9">
        <f>IFERROR(INDEX(MenuCategories,5)&amp;"","")</f>
        <v/>
      </c>
      <c r="P9" s="86">
        <f>IF(O9="","",SUMIFS(tblSales[فروش خالص],tblSales[دسته],O9,tblSales[تاریخ میلادی],"&gt;="&amp;RptFrom,tblSales[تاریخ میلادی],"&lt;="&amp;RptTo,tblSales[وضعیت مؤثر],"نهایی"))</f>
        <v/>
      </c>
      <c r="U9" s="85">
        <f>IFERROR(INDEX(MonStart,MATCH(RptYear*100+5,MonKey,0)),"")</f>
        <v/>
      </c>
      <c r="V9" s="85">
        <f>IFERROR(INDEX(MonEnd,MATCH(RptYear*100+5,MonKey,0)),"")</f>
        <v/>
      </c>
      <c r="W9">
        <f>IFERROR(INDEX(MonName,MATCH(RptYear*100+5,MonKey,0)),"")</f>
        <v/>
      </c>
      <c r="Y9" s="85">
        <f>IF(N(Y8)=0,"",IF(_xlfn.MAXIFS(tblSales[کلید فاکتور],tblSales[کلید فاکتور],"&lt;"&amp;Y8)=0,"",_xlfn.MAXIFS(tblSales[کلید فاکتور],tblSales[کلید فاکتور],"&lt;"&amp;Y8)))</f>
        <v/>
      </c>
      <c r="Z9">
        <f>IF(Y9="","","R-"&amp;INT(Y9/1000)&amp;"-"&amp;TEXT(MOD(Y9,1000),"00"))</f>
        <v/>
      </c>
    </row>
    <row r="10">
      <c r="L10" s="85">
        <f>IF(ISNUMBER(RptFrom),RptFrom+5,"")</f>
        <v/>
      </c>
      <c r="M10" s="86">
        <f>IF(OR(L10="",L10&gt;RptTo),"",SUMIFS(tblSales[فروش خالص],tblSales[تاریخ میلادی],L10,tblSales[وضعیت مؤثر],"نهایی"))</f>
        <v/>
      </c>
      <c r="N10">
        <f>IF(OR(L10="",L10&gt;RptTo),"",IFERROR(VALUE(RIGHT(IFERROR(INDEX(CalText,MATCH(L10,CalSerial,0)),""),2)),""))</f>
        <v/>
      </c>
      <c r="O10">
        <f>IFERROR(INDEX(MenuCategories,6)&amp;"","")</f>
        <v/>
      </c>
      <c r="P10" s="86">
        <f>IF(O10="","",SUMIFS(tblSales[فروش خالص],tblSales[دسته],O10,tblSales[تاریخ میلادی],"&gt;="&amp;RptFrom,tblSales[تاریخ میلادی],"&lt;="&amp;RptTo,tblSales[وضعیت مؤثر],"نهایی"))</f>
        <v/>
      </c>
      <c r="U10" s="85">
        <f>IFERROR(INDEX(MonStart,MATCH(RptYear*100+6,MonKey,0)),"")</f>
        <v/>
      </c>
      <c r="V10" s="85">
        <f>IFERROR(INDEX(MonEnd,MATCH(RptYear*100+6,MonKey,0)),"")</f>
        <v/>
      </c>
      <c r="W10">
        <f>IFERROR(INDEX(MonName,MATCH(RptYear*100+6,MonKey,0)),"")</f>
        <v/>
      </c>
      <c r="Y10" s="85">
        <f>IF(N(Y9)=0,"",IF(_xlfn.MAXIFS(tblSales[کلید فاکتور],tblSales[کلید فاکتور],"&lt;"&amp;Y9)=0,"",_xlfn.MAXIFS(tblSales[کلید فاکتور],tblSales[کلید فاکتور],"&lt;"&amp;Y9)))</f>
        <v/>
      </c>
      <c r="Z10">
        <f>IF(Y10="","","R-"&amp;INT(Y10/1000)&amp;"-"&amp;TEXT(MOD(Y10,1000),"00"))</f>
        <v/>
      </c>
    </row>
    <row r="11">
      <c r="L11" s="85">
        <f>IF(ISNUMBER(RptFrom),RptFrom+6,"")</f>
        <v/>
      </c>
      <c r="M11" s="86">
        <f>IF(OR(L11="",L11&gt;RptTo),"",SUMIFS(tblSales[فروش خالص],tblSales[تاریخ میلادی],L11,tblSales[وضعیت مؤثر],"نهایی"))</f>
        <v/>
      </c>
      <c r="N11">
        <f>IF(OR(L11="",L11&gt;RptTo),"",IFERROR(VALUE(RIGHT(IFERROR(INDEX(CalText,MATCH(L11,CalSerial,0)),""),2)),""))</f>
        <v/>
      </c>
      <c r="O11">
        <f>IFERROR(INDEX(MenuCategories,7)&amp;"","")</f>
        <v/>
      </c>
      <c r="P11" s="86">
        <f>IF(O11="","",SUMIFS(tblSales[فروش خالص],tblSales[دسته],O11,tblSales[تاریخ میلادی],"&gt;="&amp;RptFrom,tblSales[تاریخ میلادی],"&lt;="&amp;RptTo,tblSales[وضعیت مؤثر],"نهایی"))</f>
        <v/>
      </c>
      <c r="U11" s="85">
        <f>IFERROR(INDEX(MonStart,MATCH(RptYear*100+7,MonKey,0)),"")</f>
        <v/>
      </c>
      <c r="V11" s="85">
        <f>IFERROR(INDEX(MonEnd,MATCH(RptYear*100+7,MonKey,0)),"")</f>
        <v/>
      </c>
      <c r="W11">
        <f>IFERROR(INDEX(MonName,MATCH(RptYear*100+7,MonKey,0)),"")</f>
        <v/>
      </c>
      <c r="Y11" s="85">
        <f>IF(N(Y10)=0,"",IF(_xlfn.MAXIFS(tblSales[کلید فاکتور],tblSales[کلید فاکتور],"&lt;"&amp;Y10)=0,"",_xlfn.MAXIFS(tblSales[کلید فاکتور],tblSales[کلید فاکتور],"&lt;"&amp;Y10)))</f>
        <v/>
      </c>
      <c r="Z11">
        <f>IF(Y11="","","R-"&amp;INT(Y11/1000)&amp;"-"&amp;TEXT(MOD(Y11,1000),"00"))</f>
        <v/>
      </c>
    </row>
    <row r="12">
      <c r="L12" s="85">
        <f>IF(ISNUMBER(RptFrom),RptFrom+7,"")</f>
        <v/>
      </c>
      <c r="M12" s="86">
        <f>IF(OR(L12="",L12&gt;RptTo),"",SUMIFS(tblSales[فروش خالص],tblSales[تاریخ میلادی],L12,tblSales[وضعیت مؤثر],"نهایی"))</f>
        <v/>
      </c>
      <c r="N12">
        <f>IF(OR(L12="",L12&gt;RptTo),"",IFERROR(VALUE(RIGHT(IFERROR(INDEX(CalText,MATCH(L12,CalSerial,0)),""),2)),""))</f>
        <v/>
      </c>
      <c r="O12">
        <f>IFERROR(INDEX(MenuCategories,8)&amp;"","")</f>
        <v/>
      </c>
      <c r="P12" s="86">
        <f>IF(O12="","",SUMIFS(tblSales[فروش خالص],tblSales[دسته],O12,tblSales[تاریخ میلادی],"&gt;="&amp;RptFrom,tblSales[تاریخ میلادی],"&lt;="&amp;RptTo,tblSales[وضعیت مؤثر],"نهایی"))</f>
        <v/>
      </c>
      <c r="U12" s="85">
        <f>IFERROR(INDEX(MonStart,MATCH(RptYear*100+8,MonKey,0)),"")</f>
        <v/>
      </c>
      <c r="V12" s="85">
        <f>IFERROR(INDEX(MonEnd,MATCH(RptYear*100+8,MonKey,0)),"")</f>
        <v/>
      </c>
      <c r="W12">
        <f>IFERROR(INDEX(MonName,MATCH(RptYear*100+8,MonKey,0)),"")</f>
        <v/>
      </c>
      <c r="Y12" s="85">
        <f>IF(N(Y11)=0,"",IF(_xlfn.MAXIFS(tblSales[کلید فاکتور],tblSales[کلید فاکتور],"&lt;"&amp;Y11)=0,"",_xlfn.MAXIFS(tblSales[کلید فاکتور],tblSales[کلید فاکتور],"&lt;"&amp;Y11)))</f>
        <v/>
      </c>
      <c r="Z12">
        <f>IF(Y12="","","R-"&amp;INT(Y12/1000)&amp;"-"&amp;TEXT(MOD(Y12,1000),"00"))</f>
        <v/>
      </c>
    </row>
    <row r="13">
      <c r="L13" s="85">
        <f>IF(ISNUMBER(RptFrom),RptFrom+8,"")</f>
        <v/>
      </c>
      <c r="M13" s="86">
        <f>IF(OR(L13="",L13&gt;RptTo),"",SUMIFS(tblSales[فروش خالص],tblSales[تاریخ میلادی],L13,tblSales[وضعیت مؤثر],"نهایی"))</f>
        <v/>
      </c>
      <c r="N13">
        <f>IF(OR(L13="",L13&gt;RptTo),"",IFERROR(VALUE(RIGHT(IFERROR(INDEX(CalText,MATCH(L13,CalSerial,0)),""),2)),""))</f>
        <v/>
      </c>
      <c r="O13">
        <f>IFERROR(INDEX(MenuCategories,9)&amp;"","")</f>
        <v/>
      </c>
      <c r="P13" s="86">
        <f>IF(O13="","",SUMIFS(tblSales[فروش خالص],tblSales[دسته],O13,tblSales[تاریخ میلادی],"&gt;="&amp;RptFrom,tblSales[تاریخ میلادی],"&lt;="&amp;RptTo,tblSales[وضعیت مؤثر],"نهایی"))</f>
        <v/>
      </c>
      <c r="U13" s="85">
        <f>IFERROR(INDEX(MonStart,MATCH(RptYear*100+9,MonKey,0)),"")</f>
        <v/>
      </c>
      <c r="V13" s="85">
        <f>IFERROR(INDEX(MonEnd,MATCH(RptYear*100+9,MonKey,0)),"")</f>
        <v/>
      </c>
      <c r="W13">
        <f>IFERROR(INDEX(MonName,MATCH(RptYear*100+9,MonKey,0)),"")</f>
        <v/>
      </c>
      <c r="Y13" s="85">
        <f>IF(N(Y12)=0,"",IF(_xlfn.MAXIFS(tblSales[کلید فاکتور],tblSales[کلید فاکتور],"&lt;"&amp;Y12)=0,"",_xlfn.MAXIFS(tblSales[کلید فاکتور],tblSales[کلید فاکتور],"&lt;"&amp;Y12)))</f>
        <v/>
      </c>
      <c r="Z13">
        <f>IF(Y13="","","R-"&amp;INT(Y13/1000)&amp;"-"&amp;TEXT(MOD(Y13,1000),"00"))</f>
        <v/>
      </c>
    </row>
    <row r="14">
      <c r="L14" s="85">
        <f>IF(ISNUMBER(RptFrom),RptFrom+9,"")</f>
        <v/>
      </c>
      <c r="M14" s="86">
        <f>IF(OR(L14="",L14&gt;RptTo),"",SUMIFS(tblSales[فروش خالص],tblSales[تاریخ میلادی],L14,tblSales[وضعیت مؤثر],"نهایی"))</f>
        <v/>
      </c>
      <c r="N14">
        <f>IF(OR(L14="",L14&gt;RptTo),"",IFERROR(VALUE(RIGHT(IFERROR(INDEX(CalText,MATCH(L14,CalSerial,0)),""),2)),""))</f>
        <v/>
      </c>
      <c r="O14">
        <f>IFERROR(INDEX(MenuCategories,10)&amp;"","")</f>
        <v/>
      </c>
      <c r="P14" s="86">
        <f>IF(O14="","",SUMIFS(tblSales[فروش خالص],tblSales[دسته],O14,tblSales[تاریخ میلادی],"&gt;="&amp;RptFrom,tblSales[تاریخ میلادی],"&lt;="&amp;RptTo,tblSales[وضعیت مؤثر],"نهایی"))</f>
        <v/>
      </c>
      <c r="U14" s="85">
        <f>IFERROR(INDEX(MonStart,MATCH(RptYear*100+10,MonKey,0)),"")</f>
        <v/>
      </c>
      <c r="V14" s="85">
        <f>IFERROR(INDEX(MonEnd,MATCH(RptYear*100+10,MonKey,0)),"")</f>
        <v/>
      </c>
      <c r="W14">
        <f>IFERROR(INDEX(MonName,MATCH(RptYear*100+10,MonKey,0)),"")</f>
        <v/>
      </c>
      <c r="Y14" s="85">
        <f>IF(N(Y13)=0,"",IF(_xlfn.MAXIFS(tblSales[کلید فاکتور],tblSales[کلید فاکتور],"&lt;"&amp;Y13)=0,"",_xlfn.MAXIFS(tblSales[کلید فاکتور],tblSales[کلید فاکتور],"&lt;"&amp;Y13)))</f>
        <v/>
      </c>
      <c r="Z14">
        <f>IF(Y14="","","R-"&amp;INT(Y14/1000)&amp;"-"&amp;TEXT(MOD(Y14,1000),"00"))</f>
        <v/>
      </c>
    </row>
    <row r="15">
      <c r="L15" s="85">
        <f>IF(ISNUMBER(RptFrom),RptFrom+10,"")</f>
        <v/>
      </c>
      <c r="M15" s="86">
        <f>IF(OR(L15="",L15&gt;RptTo),"",SUMIFS(tblSales[فروش خالص],tblSales[تاریخ میلادی],L15,tblSales[وضعیت مؤثر],"نهایی"))</f>
        <v/>
      </c>
      <c r="N15">
        <f>IF(OR(L15="",L15&gt;RptTo),"",IFERROR(VALUE(RIGHT(IFERROR(INDEX(CalText,MATCH(L15,CalSerial,0)),""),2)),""))</f>
        <v/>
      </c>
      <c r="O15" t="inlineStr">
        <is>
          <t>سایر</t>
        </is>
      </c>
      <c r="P15" s="86">
        <f>DashSales-SUM(P5:P14)</f>
        <v/>
      </c>
      <c r="U15" s="85">
        <f>IFERROR(INDEX(MonStart,MATCH(RptYear*100+11,MonKey,0)),"")</f>
        <v/>
      </c>
      <c r="V15" s="85">
        <f>IFERROR(INDEX(MonEnd,MATCH(RptYear*100+11,MonKey,0)),"")</f>
        <v/>
      </c>
      <c r="W15">
        <f>IFERROR(INDEX(MonName,MATCH(RptYear*100+11,MonKey,0)),"")</f>
        <v/>
      </c>
      <c r="Y15" s="85">
        <f>IF(N(Y14)=0,"",IF(_xlfn.MAXIFS(tblSales[کلید فاکتور],tblSales[کلید فاکتور],"&lt;"&amp;Y14)=0,"",_xlfn.MAXIFS(tblSales[کلید فاکتور],tblSales[کلید فاکتور],"&lt;"&amp;Y14)))</f>
        <v/>
      </c>
      <c r="Z15">
        <f>IF(Y15="","","R-"&amp;INT(Y15/1000)&amp;"-"&amp;TEXT(MOD(Y15,1000),"00"))</f>
        <v/>
      </c>
    </row>
    <row r="16">
      <c r="L16" s="85">
        <f>IF(ISNUMBER(RptFrom),RptFrom+11,"")</f>
        <v/>
      </c>
      <c r="M16" s="86">
        <f>IF(OR(L16="",L16&gt;RptTo),"",SUMIFS(tblSales[فروش خالص],tblSales[تاریخ میلادی],L16,tblSales[وضعیت مؤثر],"نهایی"))</f>
        <v/>
      </c>
      <c r="N16">
        <f>IF(OR(L16="",L16&gt;RptTo),"",IFERROR(VALUE(RIGHT(IFERROR(INDEX(CalText,MATCH(L16,CalSerial,0)),""),2)),""))</f>
        <v/>
      </c>
      <c r="U16" s="85">
        <f>IFERROR(INDEX(MonStart,MATCH(RptYear*100+12,MonKey,0)),"")</f>
        <v/>
      </c>
      <c r="V16" s="85">
        <f>IFERROR(INDEX(MonEnd,MATCH(RptYear*100+12,MonKey,0)),"")</f>
        <v/>
      </c>
      <c r="W16">
        <f>IFERROR(INDEX(MonName,MATCH(RptYear*100+12,MonKey,0)),"")</f>
        <v/>
      </c>
      <c r="Y16" s="85">
        <f>IF(N(Y15)=0,"",IF(_xlfn.MAXIFS(tblSales[کلید فاکتور],tblSales[کلید فاکتور],"&lt;"&amp;Y15)=0,"",_xlfn.MAXIFS(tblSales[کلید فاکتور],tblSales[کلید فاکتور],"&lt;"&amp;Y15)))</f>
        <v/>
      </c>
      <c r="Z16">
        <f>IF(Y16="","","R-"&amp;INT(Y16/1000)&amp;"-"&amp;TEXT(MOD(Y16,1000),"00"))</f>
        <v/>
      </c>
    </row>
    <row r="17">
      <c r="L17" s="85">
        <f>IF(ISNUMBER(RptFrom),RptFrom+12,"")</f>
        <v/>
      </c>
      <c r="M17" s="86">
        <f>IF(OR(L17="",L17&gt;RptTo),"",SUMIFS(tblSales[فروش خالص],tblSales[تاریخ میلادی],L17,tblSales[وضعیت مؤثر],"نهایی"))</f>
        <v/>
      </c>
      <c r="N17">
        <f>IF(OR(L17="",L17&gt;RptTo),"",IFERROR(VALUE(RIGHT(IFERROR(INDEX(CalText,MATCH(L17,CalSerial,0)),""),2)),""))</f>
        <v/>
      </c>
      <c r="Y17" s="85">
        <f>IF(N(Y16)=0,"",IF(_xlfn.MAXIFS(tblSales[کلید فاکتور],tblSales[کلید فاکتور],"&lt;"&amp;Y16)=0,"",_xlfn.MAXIFS(tblSales[کلید فاکتور],tblSales[کلید فاکتور],"&lt;"&amp;Y16)))</f>
        <v/>
      </c>
      <c r="Z17">
        <f>IF(Y17="","","R-"&amp;INT(Y17/1000)&amp;"-"&amp;TEXT(MOD(Y17,1000),"00"))</f>
        <v/>
      </c>
    </row>
    <row r="18">
      <c r="L18" s="85">
        <f>IF(ISNUMBER(RptFrom),RptFrom+13,"")</f>
        <v/>
      </c>
      <c r="M18" s="86">
        <f>IF(OR(L18="",L18&gt;RptTo),"",SUMIFS(tblSales[فروش خالص],tblSales[تاریخ میلادی],L18,tblSales[وضعیت مؤثر],"نهایی"))</f>
        <v/>
      </c>
      <c r="N18">
        <f>IF(OR(L18="",L18&gt;RptTo),"",IFERROR(VALUE(RIGHT(IFERROR(INDEX(CalText,MATCH(L18,CalSerial,0)),""),2)),""))</f>
        <v/>
      </c>
      <c r="Y18" s="85">
        <f>IF(N(Y17)=0,"",IF(_xlfn.MAXIFS(tblSales[کلید فاکتور],tblSales[کلید فاکتور],"&lt;"&amp;Y17)=0,"",_xlfn.MAXIFS(tblSales[کلید فاکتور],tblSales[کلید فاکتور],"&lt;"&amp;Y17)))</f>
        <v/>
      </c>
      <c r="Z18">
        <f>IF(Y18="","","R-"&amp;INT(Y18/1000)&amp;"-"&amp;TEXT(MOD(Y18,1000),"00"))</f>
        <v/>
      </c>
    </row>
    <row r="19">
      <c r="L19" s="85">
        <f>IF(ISNUMBER(RptFrom),RptFrom+14,"")</f>
        <v/>
      </c>
      <c r="M19" s="86">
        <f>IF(OR(L19="",L19&gt;RptTo),"",SUMIFS(tblSales[فروش خالص],tblSales[تاریخ میلادی],L19,tblSales[وضعیت مؤثر],"نهایی"))</f>
        <v/>
      </c>
      <c r="N19">
        <f>IF(OR(L19="",L19&gt;RptTo),"",IFERROR(VALUE(RIGHT(IFERROR(INDEX(CalText,MATCH(L19,CalSerial,0)),""),2)),""))</f>
        <v/>
      </c>
      <c r="Y19" s="85">
        <f>IF(N(Y18)=0,"",IF(_xlfn.MAXIFS(tblSales[کلید فاکتور],tblSales[کلید فاکتور],"&lt;"&amp;Y18)=0,"",_xlfn.MAXIFS(tblSales[کلید فاکتور],tblSales[کلید فاکتور],"&lt;"&amp;Y18)))</f>
        <v/>
      </c>
      <c r="Z19">
        <f>IF(Y19="","","R-"&amp;INT(Y19/1000)&amp;"-"&amp;TEXT(MOD(Y19,1000),"00"))</f>
        <v/>
      </c>
    </row>
    <row r="20">
      <c r="L20" s="85">
        <f>IF(ISNUMBER(RptFrom),RptFrom+15,"")</f>
        <v/>
      </c>
      <c r="M20" s="86">
        <f>IF(OR(L20="",L20&gt;RptTo),"",SUMIFS(tblSales[فروش خالص],tblSales[تاریخ میلادی],L20,tblSales[وضعیت مؤثر],"نهایی"))</f>
        <v/>
      </c>
      <c r="N20">
        <f>IF(OR(L20="",L20&gt;RptTo),"",IFERROR(VALUE(RIGHT(IFERROR(INDEX(CalText,MATCH(L20,CalSerial,0)),""),2)),""))</f>
        <v/>
      </c>
      <c r="Y20" s="85">
        <f>IF(N(Y19)=0,"",IF(_xlfn.MAXIFS(tblSales[کلید فاکتور],tblSales[کلید فاکتور],"&lt;"&amp;Y19)=0,"",_xlfn.MAXIFS(tblSales[کلید فاکتور],tblSales[کلید فاکتور],"&lt;"&amp;Y19)))</f>
        <v/>
      </c>
      <c r="Z20">
        <f>IF(Y20="","","R-"&amp;INT(Y20/1000)&amp;"-"&amp;TEXT(MOD(Y20,1000),"00"))</f>
        <v/>
      </c>
    </row>
    <row r="21">
      <c r="L21" s="85">
        <f>IF(ISNUMBER(RptFrom),RptFrom+16,"")</f>
        <v/>
      </c>
      <c r="M21" s="86">
        <f>IF(OR(L21="",L21&gt;RptTo),"",SUMIFS(tblSales[فروش خالص],tblSales[تاریخ میلادی],L21,tblSales[وضعیت مؤثر],"نهایی"))</f>
        <v/>
      </c>
      <c r="N21">
        <f>IF(OR(L21="",L21&gt;RptTo),"",IFERROR(VALUE(RIGHT(IFERROR(INDEX(CalText,MATCH(L21,CalSerial,0)),""),2)),""))</f>
        <v/>
      </c>
      <c r="Y21" s="85">
        <f>IF(N(Y20)=0,"",IF(_xlfn.MAXIFS(tblSales[کلید فاکتور],tblSales[کلید فاکتور],"&lt;"&amp;Y20)=0,"",_xlfn.MAXIFS(tblSales[کلید فاکتور],tblSales[کلید فاکتور],"&lt;"&amp;Y20)))</f>
        <v/>
      </c>
      <c r="Z21">
        <f>IF(Y21="","","R-"&amp;INT(Y21/1000)&amp;"-"&amp;TEXT(MOD(Y21,1000),"00"))</f>
        <v/>
      </c>
    </row>
    <row r="22">
      <c r="L22" s="85">
        <f>IF(ISNUMBER(RptFrom),RptFrom+17,"")</f>
        <v/>
      </c>
      <c r="M22" s="86">
        <f>IF(OR(L22="",L22&gt;RptTo),"",SUMIFS(tblSales[فروش خالص],tblSales[تاریخ میلادی],L22,tblSales[وضعیت مؤثر],"نهایی"))</f>
        <v/>
      </c>
      <c r="N22">
        <f>IF(OR(L22="",L22&gt;RptTo),"",IFERROR(VALUE(RIGHT(IFERROR(INDEX(CalText,MATCH(L22,CalSerial,0)),""),2)),""))</f>
        <v/>
      </c>
      <c r="Y22" s="85">
        <f>IF(N(Y21)=0,"",IF(_xlfn.MAXIFS(tblSales[کلید فاکتور],tblSales[کلید فاکتور],"&lt;"&amp;Y21)=0,"",_xlfn.MAXIFS(tblSales[کلید فاکتور],tblSales[کلید فاکتور],"&lt;"&amp;Y21)))</f>
        <v/>
      </c>
      <c r="Z22">
        <f>IF(Y22="","","R-"&amp;INT(Y22/1000)&amp;"-"&amp;TEXT(MOD(Y22,1000),"00"))</f>
        <v/>
      </c>
    </row>
    <row r="23">
      <c r="L23" s="85">
        <f>IF(ISNUMBER(RptFrom),RptFrom+18,"")</f>
        <v/>
      </c>
      <c r="M23" s="86">
        <f>IF(OR(L23="",L23&gt;RptTo),"",SUMIFS(tblSales[فروش خالص],tblSales[تاریخ میلادی],L23,tblSales[وضعیت مؤثر],"نهایی"))</f>
        <v/>
      </c>
      <c r="N23">
        <f>IF(OR(L23="",L23&gt;RptTo),"",IFERROR(VALUE(RIGHT(IFERROR(INDEX(CalText,MATCH(L23,CalSerial,0)),""),2)),""))</f>
        <v/>
      </c>
      <c r="Y23" s="85">
        <f>IF(N(Y22)=0,"",IF(_xlfn.MAXIFS(tblSales[کلید فاکتور],tblSales[کلید فاکتور],"&lt;"&amp;Y22)=0,"",_xlfn.MAXIFS(tblSales[کلید فاکتور],tblSales[کلید فاکتور],"&lt;"&amp;Y22)))</f>
        <v/>
      </c>
      <c r="Z23">
        <f>IF(Y23="","","R-"&amp;INT(Y23/1000)&amp;"-"&amp;TEXT(MOD(Y23,1000),"00"))</f>
        <v/>
      </c>
    </row>
    <row r="24">
      <c r="L24" s="85">
        <f>IF(ISNUMBER(RptFrom),RptFrom+19,"")</f>
        <v/>
      </c>
      <c r="M24" s="86">
        <f>IF(OR(L24="",L24&gt;RptTo),"",SUMIFS(tblSales[فروش خالص],tblSales[تاریخ میلادی],L24,tblSales[وضعیت مؤثر],"نهایی"))</f>
        <v/>
      </c>
      <c r="N24">
        <f>IF(OR(L24="",L24&gt;RptTo),"",IFERROR(VALUE(RIGHT(IFERROR(INDEX(CalText,MATCH(L24,CalSerial,0)),""),2)),""))</f>
        <v/>
      </c>
      <c r="Y24" s="85">
        <f>IF(N(Y23)=0,"",IF(_xlfn.MAXIFS(tblSales[کلید فاکتور],tblSales[کلید فاکتور],"&lt;"&amp;Y23)=0,"",_xlfn.MAXIFS(tblSales[کلید فاکتور],tblSales[کلید فاکتور],"&lt;"&amp;Y23)))</f>
        <v/>
      </c>
      <c r="Z24">
        <f>IF(Y24="","","R-"&amp;INT(Y24/1000)&amp;"-"&amp;TEXT(MOD(Y24,1000),"00"))</f>
        <v/>
      </c>
    </row>
    <row r="25">
      <c r="L25" s="85">
        <f>IF(ISNUMBER(RptFrom),RptFrom+20,"")</f>
        <v/>
      </c>
      <c r="M25" s="86">
        <f>IF(OR(L25="",L25&gt;RptTo),"",SUMIFS(tblSales[فروش خالص],tblSales[تاریخ میلادی],L25,tblSales[وضعیت مؤثر],"نهایی"))</f>
        <v/>
      </c>
      <c r="N25">
        <f>IF(OR(L25="",L25&gt;RptTo),"",IFERROR(VALUE(RIGHT(IFERROR(INDEX(CalText,MATCH(L25,CalSerial,0)),""),2)),""))</f>
        <v/>
      </c>
      <c r="Y25" s="85">
        <f>IF(N(Y24)=0,"",IF(_xlfn.MAXIFS(tblSales[کلید فاکتور],tblSales[کلید فاکتور],"&lt;"&amp;Y24)=0,"",_xlfn.MAXIFS(tblSales[کلید فاکتور],tblSales[کلید فاکتور],"&lt;"&amp;Y24)))</f>
        <v/>
      </c>
      <c r="Z25">
        <f>IF(Y25="","","R-"&amp;INT(Y25/1000)&amp;"-"&amp;TEXT(MOD(Y25,1000),"00"))</f>
        <v/>
      </c>
    </row>
    <row r="26">
      <c r="L26" s="85">
        <f>IF(ISNUMBER(RptFrom),RptFrom+21,"")</f>
        <v/>
      </c>
      <c r="M26" s="86">
        <f>IF(OR(L26="",L26&gt;RptTo),"",SUMIFS(tblSales[فروش خالص],tblSales[تاریخ میلادی],L26,tblSales[وضعیت مؤثر],"نهایی"))</f>
        <v/>
      </c>
      <c r="N26">
        <f>IF(OR(L26="",L26&gt;RptTo),"",IFERROR(VALUE(RIGHT(IFERROR(INDEX(CalText,MATCH(L26,CalSerial,0)),""),2)),""))</f>
        <v/>
      </c>
      <c r="Y26" s="85">
        <f>IF(N(Y25)=0,"",IF(_xlfn.MAXIFS(tblSales[کلید فاکتور],tblSales[کلید فاکتور],"&lt;"&amp;Y25)=0,"",_xlfn.MAXIFS(tblSales[کلید فاکتور],tblSales[کلید فاکتور],"&lt;"&amp;Y25)))</f>
        <v/>
      </c>
      <c r="Z26">
        <f>IF(Y26="","","R-"&amp;INT(Y26/1000)&amp;"-"&amp;TEXT(MOD(Y26,1000),"00"))</f>
        <v/>
      </c>
    </row>
    <row r="27">
      <c r="L27" s="85">
        <f>IF(ISNUMBER(RptFrom),RptFrom+22,"")</f>
        <v/>
      </c>
      <c r="M27" s="86">
        <f>IF(OR(L27="",L27&gt;RptTo),"",SUMIFS(tblSales[فروش خالص],tblSales[تاریخ میلادی],L27,tblSales[وضعیت مؤثر],"نهایی"))</f>
        <v/>
      </c>
      <c r="N27">
        <f>IF(OR(L27="",L27&gt;RptTo),"",IFERROR(VALUE(RIGHT(IFERROR(INDEX(CalText,MATCH(L27,CalSerial,0)),""),2)),""))</f>
        <v/>
      </c>
      <c r="Y27" s="85">
        <f>IF(N(Y26)=0,"",IF(_xlfn.MAXIFS(tblSales[کلید فاکتور],tblSales[کلید فاکتور],"&lt;"&amp;Y26)=0,"",_xlfn.MAXIFS(tblSales[کلید فاکتور],tblSales[کلید فاکتور],"&lt;"&amp;Y26)))</f>
        <v/>
      </c>
      <c r="Z27">
        <f>IF(Y27="","","R-"&amp;INT(Y27/1000)&amp;"-"&amp;TEXT(MOD(Y27,1000),"00"))</f>
        <v/>
      </c>
    </row>
    <row r="28">
      <c r="L28" s="85">
        <f>IF(ISNUMBER(RptFrom),RptFrom+23,"")</f>
        <v/>
      </c>
      <c r="M28" s="86">
        <f>IF(OR(L28="",L28&gt;RptTo),"",SUMIFS(tblSales[فروش خالص],tblSales[تاریخ میلادی],L28,tblSales[وضعیت مؤثر],"نهایی"))</f>
        <v/>
      </c>
      <c r="N28">
        <f>IF(OR(L28="",L28&gt;RptTo),"",IFERROR(VALUE(RIGHT(IFERROR(INDEX(CalText,MATCH(L28,CalSerial,0)),""),2)),""))</f>
        <v/>
      </c>
      <c r="Y28" s="85">
        <f>IF(N(Y27)=0,"",IF(_xlfn.MAXIFS(tblSales[کلید فاکتور],tblSales[کلید فاکتور],"&lt;"&amp;Y27)=0,"",_xlfn.MAXIFS(tblSales[کلید فاکتور],tblSales[کلید فاکتور],"&lt;"&amp;Y27)))</f>
        <v/>
      </c>
      <c r="Z28">
        <f>IF(Y28="","","R-"&amp;INT(Y28/1000)&amp;"-"&amp;TEXT(MOD(Y28,1000),"00"))</f>
        <v/>
      </c>
    </row>
    <row r="29">
      <c r="L29" s="85">
        <f>IF(ISNUMBER(RptFrom),RptFrom+24,"")</f>
        <v/>
      </c>
      <c r="M29" s="86">
        <f>IF(OR(L29="",L29&gt;RptTo),"",SUMIFS(tblSales[فروش خالص],tblSales[تاریخ میلادی],L29,tblSales[وضعیت مؤثر],"نهایی"))</f>
        <v/>
      </c>
      <c r="N29">
        <f>IF(OR(L29="",L29&gt;RptTo),"",IFERROR(VALUE(RIGHT(IFERROR(INDEX(CalText,MATCH(L29,CalSerial,0)),""),2)),""))</f>
        <v/>
      </c>
      <c r="Y29" s="85">
        <f>IF(N(Y28)=0,"",IF(_xlfn.MAXIFS(tblSales[کلید فاکتور],tblSales[کلید فاکتور],"&lt;"&amp;Y28)=0,"",_xlfn.MAXIFS(tblSales[کلید فاکتور],tblSales[کلید فاکتور],"&lt;"&amp;Y28)))</f>
        <v/>
      </c>
      <c r="Z29">
        <f>IF(Y29="","","R-"&amp;INT(Y29/1000)&amp;"-"&amp;TEXT(MOD(Y29,1000),"00"))</f>
        <v/>
      </c>
    </row>
    <row r="30">
      <c r="L30" s="85">
        <f>IF(ISNUMBER(RptFrom),RptFrom+25,"")</f>
        <v/>
      </c>
      <c r="M30" s="86">
        <f>IF(OR(L30="",L30&gt;RptTo),"",SUMIFS(tblSales[فروش خالص],tblSales[تاریخ میلادی],L30,tblSales[وضعیت مؤثر],"نهایی"))</f>
        <v/>
      </c>
      <c r="N30">
        <f>IF(OR(L30="",L30&gt;RptTo),"",IFERROR(VALUE(RIGHT(IFERROR(INDEX(CalText,MATCH(L30,CalSerial,0)),""),2)),""))</f>
        <v/>
      </c>
      <c r="Y30" s="85">
        <f>IF(N(Y29)=0,"",IF(_xlfn.MAXIFS(tblSales[کلید فاکتور],tblSales[کلید فاکتور],"&lt;"&amp;Y29)=0,"",_xlfn.MAXIFS(tblSales[کلید فاکتور],tblSales[کلید فاکتور],"&lt;"&amp;Y29)))</f>
        <v/>
      </c>
      <c r="Z30">
        <f>IF(Y30="","","R-"&amp;INT(Y30/1000)&amp;"-"&amp;TEXT(MOD(Y30,1000),"00"))</f>
        <v/>
      </c>
    </row>
    <row r="31">
      <c r="L31" s="85">
        <f>IF(ISNUMBER(RptFrom),RptFrom+26,"")</f>
        <v/>
      </c>
      <c r="M31" s="86">
        <f>IF(OR(L31="",L31&gt;RptTo),"",SUMIFS(tblSales[فروش خالص],tblSales[تاریخ میلادی],L31,tblSales[وضعیت مؤثر],"نهایی"))</f>
        <v/>
      </c>
      <c r="N31">
        <f>IF(OR(L31="",L31&gt;RptTo),"",IFERROR(VALUE(RIGHT(IFERROR(INDEX(CalText,MATCH(L31,CalSerial,0)),""),2)),""))</f>
        <v/>
      </c>
      <c r="Y31" s="85">
        <f>IF(N(Y30)=0,"",IF(_xlfn.MAXIFS(tblSales[کلید فاکتور],tblSales[کلید فاکتور],"&lt;"&amp;Y30)=0,"",_xlfn.MAXIFS(tblSales[کلید فاکتور],tblSales[کلید فاکتور],"&lt;"&amp;Y30)))</f>
        <v/>
      </c>
      <c r="Z31">
        <f>IF(Y31="","","R-"&amp;INT(Y31/1000)&amp;"-"&amp;TEXT(MOD(Y31,1000),"00"))</f>
        <v/>
      </c>
    </row>
    <row r="32">
      <c r="L32" s="85">
        <f>IF(ISNUMBER(RptFrom),RptFrom+27,"")</f>
        <v/>
      </c>
      <c r="M32" s="86">
        <f>IF(OR(L32="",L32&gt;RptTo),"",SUMIFS(tblSales[فروش خالص],tblSales[تاریخ میلادی],L32,tblSales[وضعیت مؤثر],"نهایی"))</f>
        <v/>
      </c>
      <c r="N32">
        <f>IF(OR(L32="",L32&gt;RptTo),"",IFERROR(VALUE(RIGHT(IFERROR(INDEX(CalText,MATCH(L32,CalSerial,0)),""),2)),""))</f>
        <v/>
      </c>
      <c r="Y32" s="85">
        <f>IF(N(Y31)=0,"",IF(_xlfn.MAXIFS(tblSales[کلید فاکتور],tblSales[کلید فاکتور],"&lt;"&amp;Y31)=0,"",_xlfn.MAXIFS(tblSales[کلید فاکتور],tblSales[کلید فاکتور],"&lt;"&amp;Y31)))</f>
        <v/>
      </c>
      <c r="Z32">
        <f>IF(Y32="","","R-"&amp;INT(Y32/1000)&amp;"-"&amp;TEXT(MOD(Y32,1000),"00"))</f>
        <v/>
      </c>
    </row>
    <row r="33">
      <c r="L33" s="85">
        <f>IF(ISNUMBER(RptFrom),RptFrom+28,"")</f>
        <v/>
      </c>
      <c r="M33" s="86">
        <f>IF(OR(L33="",L33&gt;RptTo),"",SUMIFS(tblSales[فروش خالص],tblSales[تاریخ میلادی],L33,tblSales[وضعیت مؤثر],"نهایی"))</f>
        <v/>
      </c>
      <c r="N33">
        <f>IF(OR(L33="",L33&gt;RptTo),"",IFERROR(VALUE(RIGHT(IFERROR(INDEX(CalText,MATCH(L33,CalSerial,0)),""),2)),""))</f>
        <v/>
      </c>
      <c r="Y33" s="85">
        <f>IF(N(Y32)=0,"",IF(_xlfn.MAXIFS(tblSales[کلید فاکتور],tblSales[کلید فاکتور],"&lt;"&amp;Y32)=0,"",_xlfn.MAXIFS(tblSales[کلید فاکتور],tblSales[کلید فاکتور],"&lt;"&amp;Y32)))</f>
        <v/>
      </c>
      <c r="Z33">
        <f>IF(Y33="","","R-"&amp;INT(Y33/1000)&amp;"-"&amp;TEXT(MOD(Y33,1000),"00"))</f>
        <v/>
      </c>
    </row>
    <row r="34">
      <c r="L34" s="85">
        <f>IF(ISNUMBER(RptFrom),RptFrom+29,"")</f>
        <v/>
      </c>
      <c r="M34" s="86">
        <f>IF(OR(L34="",L34&gt;RptTo),"",SUMIFS(tblSales[فروش خالص],tblSales[تاریخ میلادی],L34,tblSales[وضعیت مؤثر],"نهایی"))</f>
        <v/>
      </c>
      <c r="N34">
        <f>IF(OR(L34="",L34&gt;RptTo),"",IFERROR(VALUE(RIGHT(IFERROR(INDEX(CalText,MATCH(L34,CalSerial,0)),""),2)),""))</f>
        <v/>
      </c>
      <c r="Y34" s="85">
        <f>IF(N(Y33)=0,"",IF(_xlfn.MAXIFS(tblSales[کلید فاکتور],tblSales[کلید فاکتور],"&lt;"&amp;Y33)=0,"",_xlfn.MAXIFS(tblSales[کلید فاکتور],tblSales[کلید فاکتور],"&lt;"&amp;Y33)))</f>
        <v/>
      </c>
      <c r="Z34">
        <f>IF(Y34="","","R-"&amp;INT(Y34/1000)&amp;"-"&amp;TEXT(MOD(Y34,1000),"00"))</f>
        <v/>
      </c>
    </row>
    <row r="35">
      <c r="L35" s="85">
        <f>IF(ISNUMBER(RptFrom),RptFrom+30,"")</f>
        <v/>
      </c>
      <c r="M35" s="86">
        <f>IF(OR(L35="",L35&gt;RptTo),"",SUMIFS(tblSales[فروش خالص],tblSales[تاریخ میلادی],L35,tblSales[وضعیت مؤثر],"نهایی"))</f>
        <v/>
      </c>
      <c r="N35">
        <f>IF(OR(L35="",L35&gt;RptTo),"",IFERROR(VALUE(RIGHT(IFERROR(INDEX(CalText,MATCH(L35,CalSerial,0)),""),2)),""))</f>
        <v/>
      </c>
      <c r="Y35" s="85">
        <f>IF(N(Y34)=0,"",IF(_xlfn.MAXIFS(tblSales[کلید فاکتور],tblSales[کلید فاکتور],"&lt;"&amp;Y34)=0,"",_xlfn.MAXIFS(tblSales[کلید فاکتور],tblSales[کلید فاکتور],"&lt;"&amp;Y34)))</f>
        <v/>
      </c>
      <c r="Z35">
        <f>IF(Y35="","","R-"&amp;INT(Y35/1000)&amp;"-"&amp;TEXT(MOD(Y35,1000),"00"))</f>
        <v/>
      </c>
    </row>
    <row r="36">
      <c r="Y36" s="85">
        <f>IF(N(Y35)=0,"",IF(_xlfn.MAXIFS(tblSales[کلید فاکتور],tblSales[کلید فاکتور],"&lt;"&amp;Y35)=0,"",_xlfn.MAXIFS(tblSales[کلید فاکتور],tblSales[کلید فاکتور],"&lt;"&amp;Y35)))</f>
        <v/>
      </c>
      <c r="Z36">
        <f>IF(Y36="","","R-"&amp;INT(Y36/1000)&amp;"-"&amp;TEXT(MOD(Y36,1000),"00"))</f>
        <v/>
      </c>
    </row>
    <row r="37">
      <c r="Y37" s="85">
        <f>IF(N(Y36)=0,"",IF(_xlfn.MAXIFS(tblSales[کلید فاکتور],tblSales[کلید فاکتور],"&lt;"&amp;Y36)=0,"",_xlfn.MAXIFS(tblSales[کلید فاکتور],tblSales[کلید فاکتور],"&lt;"&amp;Y36)))</f>
        <v/>
      </c>
      <c r="Z37">
        <f>IF(Y37="","","R-"&amp;INT(Y37/1000)&amp;"-"&amp;TEXT(MOD(Y37,1000),"00"))</f>
        <v/>
      </c>
    </row>
    <row r="38">
      <c r="Y38" s="85">
        <f>IF(N(Y37)=0,"",IF(_xlfn.MAXIFS(tblSales[کلید فاکتور],tblSales[کلید فاکتور],"&lt;"&amp;Y37)=0,"",_xlfn.MAXIFS(tblSales[کلید فاکتور],tblSales[کلید فاکتور],"&lt;"&amp;Y37)))</f>
        <v/>
      </c>
      <c r="Z38">
        <f>IF(Y38="","","R-"&amp;INT(Y38/1000)&amp;"-"&amp;TEXT(MOD(Y38,1000),"00"))</f>
        <v/>
      </c>
    </row>
    <row r="39">
      <c r="Y39" s="85">
        <f>IF(N(Y38)=0,"",IF(_xlfn.MAXIFS(tblSales[کلید فاکتور],tblSales[کلید فاکتور],"&lt;"&amp;Y38)=0,"",_xlfn.MAXIFS(tblSales[کلید فاکتور],tblSales[کلید فاکتور],"&lt;"&amp;Y38)))</f>
        <v/>
      </c>
      <c r="Z39">
        <f>IF(Y39="","","R-"&amp;INT(Y39/1000)&amp;"-"&amp;TEXT(MOD(Y39,1000),"00"))</f>
        <v/>
      </c>
    </row>
    <row r="40">
      <c r="Y40" s="85">
        <f>IF(N(Y39)=0,"",IF(_xlfn.MAXIFS(tblSales[کلید فاکتور],tblSales[کلید فاکتور],"&lt;"&amp;Y39)=0,"",_xlfn.MAXIFS(tblSales[کلید فاکتور],tblSales[کلید فاکتور],"&lt;"&amp;Y39)))</f>
        <v/>
      </c>
      <c r="Z40">
        <f>IF(Y40="","","R-"&amp;INT(Y40/1000)&amp;"-"&amp;TEXT(MOD(Y40,1000),"00"))</f>
        <v/>
      </c>
    </row>
    <row r="41">
      <c r="Y41" s="85">
        <f>IF(N(Y40)=0,"",IF(_xlfn.MAXIFS(tblSales[کلید فاکتور],tblSales[کلید فاکتور],"&lt;"&amp;Y40)=0,"",_xlfn.MAXIFS(tblSales[کلید فاکتور],tblSales[کلید فاکتور],"&lt;"&amp;Y40)))</f>
        <v/>
      </c>
      <c r="Z41">
        <f>IF(Y41="","","R-"&amp;INT(Y41/1000)&amp;"-"&amp;TEXT(MOD(Y41,1000),"00"))</f>
        <v/>
      </c>
    </row>
    <row r="42">
      <c r="Y42" s="85">
        <f>IF(N(Y41)=0,"",IF(_xlfn.MAXIFS(tblSales[کلید فاکتور],tblSales[کلید فاکتور],"&lt;"&amp;Y41)=0,"",_xlfn.MAXIFS(tblSales[کلید فاکتور],tblSales[کلید فاکتور],"&lt;"&amp;Y41)))</f>
        <v/>
      </c>
      <c r="Z42">
        <f>IF(Y42="","","R-"&amp;INT(Y42/1000)&amp;"-"&amp;TEXT(MOD(Y42,1000),"00"))</f>
        <v/>
      </c>
    </row>
    <row r="43">
      <c r="Y43" s="85">
        <f>IF(N(Y42)=0,"",IF(_xlfn.MAXIFS(tblSales[کلید فاکتور],tblSales[کلید فاکتور],"&lt;"&amp;Y42)=0,"",_xlfn.MAXIFS(tblSales[کلید فاکتور],tblSales[کلید فاکتور],"&lt;"&amp;Y42)))</f>
        <v/>
      </c>
      <c r="Z43">
        <f>IF(Y43="","","R-"&amp;INT(Y43/1000)&amp;"-"&amp;TEXT(MOD(Y43,1000),"00"))</f>
        <v/>
      </c>
    </row>
    <row r="44">
      <c r="Y44" s="85">
        <f>IF(N(Y43)=0,"",IF(_xlfn.MAXIFS(tblSales[کلید فاکتور],tblSales[کلید فاکتور],"&lt;"&amp;Y43)=0,"",_xlfn.MAXIFS(tblSales[کلید فاکتور],tblSales[کلید فاکتور],"&lt;"&amp;Y43)))</f>
        <v/>
      </c>
      <c r="Z44">
        <f>IF(Y44="","","R-"&amp;INT(Y44/1000)&amp;"-"&amp;TEXT(MOD(Y44,1000),"00"))</f>
        <v/>
      </c>
    </row>
    <row r="45">
      <c r="Y45" s="85">
        <f>IF(N(Y44)=0,"",IF(_xlfn.MAXIFS(tblSales[کلید فاکتور],tblSales[کلید فاکتور],"&lt;"&amp;Y44)=0,"",_xlfn.MAXIFS(tblSales[کلید فاکتور],tblSales[کلید فاکتور],"&lt;"&amp;Y44)))</f>
        <v/>
      </c>
      <c r="Z45">
        <f>IF(Y45="","","R-"&amp;INT(Y45/1000)&amp;"-"&amp;TEXT(MOD(Y45,1000),"00"))</f>
        <v/>
      </c>
    </row>
    <row r="46">
      <c r="Y46" s="85">
        <f>IF(N(Y45)=0,"",IF(_xlfn.MAXIFS(tblSales[کلید فاکتور],tblSales[کلید فاکتور],"&lt;"&amp;Y45)=0,"",_xlfn.MAXIFS(tblSales[کلید فاکتور],tblSales[کلید فاکتور],"&lt;"&amp;Y45)))</f>
        <v/>
      </c>
      <c r="Z46">
        <f>IF(Y46="","","R-"&amp;INT(Y46/1000)&amp;"-"&amp;TEXT(MOD(Y46,1000),"00"))</f>
        <v/>
      </c>
    </row>
    <row r="47">
      <c r="Y47" s="85">
        <f>IF(N(Y46)=0,"",IF(_xlfn.MAXIFS(tblSales[کلید فاکتور],tblSales[کلید فاکتور],"&lt;"&amp;Y46)=0,"",_xlfn.MAXIFS(tblSales[کلید فاکتور],tblSales[کلید فاکتور],"&lt;"&amp;Y46)))</f>
        <v/>
      </c>
      <c r="Z47">
        <f>IF(Y47="","","R-"&amp;INT(Y47/1000)&amp;"-"&amp;TEXT(MOD(Y47,1000),"00"))</f>
        <v/>
      </c>
    </row>
    <row r="48">
      <c r="Y48" s="85">
        <f>IF(N(Y47)=0,"",IF(_xlfn.MAXIFS(tblSales[کلید فاکتور],tblSales[کلید فاکتور],"&lt;"&amp;Y47)=0,"",_xlfn.MAXIFS(tblSales[کلید فاکتور],tblSales[کلید فاکتور],"&lt;"&amp;Y47)))</f>
        <v/>
      </c>
      <c r="Z48">
        <f>IF(Y48="","","R-"&amp;INT(Y48/1000)&amp;"-"&amp;TEXT(MOD(Y48,1000),"00"))</f>
        <v/>
      </c>
    </row>
    <row r="49">
      <c r="Y49" s="85">
        <f>IF(N(Y48)=0,"",IF(_xlfn.MAXIFS(tblSales[کلید فاکتور],tblSales[کلید فاکتور],"&lt;"&amp;Y48)=0,"",_xlfn.MAXIFS(tblSales[کلید فاکتور],tblSales[کلید فاکتور],"&lt;"&amp;Y48)))</f>
        <v/>
      </c>
      <c r="Z49">
        <f>IF(Y49="","","R-"&amp;INT(Y49/1000)&amp;"-"&amp;TEXT(MOD(Y49,1000),"00"))</f>
        <v/>
      </c>
    </row>
    <row r="50">
      <c r="Y50" s="85">
        <f>IF(N(Y49)=0,"",IF(_xlfn.MAXIFS(tblSales[کلید فاکتور],tblSales[کلید فاکتور],"&lt;"&amp;Y49)=0,"",_xlfn.MAXIFS(tblSales[کلید فاکتور],tblSales[کلید فاکتور],"&lt;"&amp;Y49)))</f>
        <v/>
      </c>
      <c r="Z50">
        <f>IF(Y50="","","R-"&amp;INT(Y50/1000)&amp;"-"&amp;TEXT(MOD(Y50,1000),"00"))</f>
        <v/>
      </c>
    </row>
    <row r="51">
      <c r="Y51" s="85">
        <f>IF(N(Y50)=0,"",IF(_xlfn.MAXIFS(tblSales[کلید فاکتور],tblSales[کلید فاکتور],"&lt;"&amp;Y50)=0,"",_xlfn.MAXIFS(tblSales[کلید فاکتور],tblSales[کلید فاکتور],"&lt;"&amp;Y50)))</f>
        <v/>
      </c>
      <c r="Z51">
        <f>IF(Y51="","","R-"&amp;INT(Y51/1000)&amp;"-"&amp;TEXT(MOD(Y51,1000),"00"))</f>
        <v/>
      </c>
    </row>
    <row r="52">
      <c r="Y52" s="85">
        <f>IF(N(Y51)=0,"",IF(_xlfn.MAXIFS(tblSales[کلید فاکتور],tblSales[کلید فاکتور],"&lt;"&amp;Y51)=0,"",_xlfn.MAXIFS(tblSales[کلید فاکتور],tblSales[کلید فاکتور],"&lt;"&amp;Y51)))</f>
        <v/>
      </c>
      <c r="Z52">
        <f>IF(Y52="","","R-"&amp;INT(Y52/1000)&amp;"-"&amp;TEXT(MOD(Y52,1000),"00"))</f>
        <v/>
      </c>
    </row>
    <row r="53">
      <c r="Y53" s="85">
        <f>IF(N(Y52)=0,"",IF(_xlfn.MAXIFS(tblSales[کلید فاکتور],tblSales[کلید فاکتور],"&lt;"&amp;Y52)=0,"",_xlfn.MAXIFS(tblSales[کلید فاکتور],tblSales[کلید فاکتور],"&lt;"&amp;Y52)))</f>
        <v/>
      </c>
      <c r="Z53">
        <f>IF(Y53="","","R-"&amp;INT(Y53/1000)&amp;"-"&amp;TEXT(MOD(Y53,1000),"00"))</f>
        <v/>
      </c>
    </row>
    <row r="54">
      <c r="Y54" s="85">
        <f>IF(N(Y53)=0,"",IF(_xlfn.MAXIFS(tblSales[کلید فاکتور],tblSales[کلید فاکتور],"&lt;"&amp;Y53)=0,"",_xlfn.MAXIFS(tblSales[کلید فاکتور],tblSales[کلید فاکتور],"&lt;"&amp;Y53)))</f>
        <v/>
      </c>
      <c r="Z54">
        <f>IF(Y54="","","R-"&amp;INT(Y54/1000)&amp;"-"&amp;TEXT(MOD(Y54,1000),"00"))</f>
        <v/>
      </c>
    </row>
    <row r="55">
      <c r="Y55" s="85">
        <f>IF(N(Y54)=0,"",IF(_xlfn.MAXIFS(tblSales[کلید فاکتور],tblSales[کلید فاکتور],"&lt;"&amp;Y54)=0,"",_xlfn.MAXIFS(tblSales[کلید فاکتور],tblSales[کلید فاکتور],"&lt;"&amp;Y54)))</f>
        <v/>
      </c>
      <c r="Z55">
        <f>IF(Y55="","","R-"&amp;INT(Y55/1000)&amp;"-"&amp;TEXT(MOD(Y55,1000),"00"))</f>
        <v/>
      </c>
    </row>
    <row r="56">
      <c r="Y56" s="85">
        <f>IF(N(Y55)=0,"",IF(_xlfn.MAXIFS(tblSales[کلید فاکتور],tblSales[کلید فاکتور],"&lt;"&amp;Y55)=0,"",_xlfn.MAXIFS(tblSales[کلید فاکتور],tblSales[کلید فاکتور],"&lt;"&amp;Y55)))</f>
        <v/>
      </c>
      <c r="Z56">
        <f>IF(Y56="","","R-"&amp;INT(Y56/1000)&amp;"-"&amp;TEXT(MOD(Y56,1000),"00"))</f>
        <v/>
      </c>
    </row>
    <row r="57">
      <c r="Y57" s="85">
        <f>IF(N(Y56)=0,"",IF(_xlfn.MAXIFS(tblSales[کلید فاکتور],tblSales[کلید فاکتور],"&lt;"&amp;Y56)=0,"",_xlfn.MAXIFS(tblSales[کلید فاکتور],tblSales[کلید فاکتور],"&lt;"&amp;Y56)))</f>
        <v/>
      </c>
      <c r="Z57">
        <f>IF(Y57="","","R-"&amp;INT(Y57/1000)&amp;"-"&amp;TEXT(MOD(Y57,1000),"00"))</f>
        <v/>
      </c>
    </row>
    <row r="58">
      <c r="Y58" s="85">
        <f>IF(N(Y57)=0,"",IF(_xlfn.MAXIFS(tblSales[کلید فاکتور],tblSales[کلید فاکتور],"&lt;"&amp;Y57)=0,"",_xlfn.MAXIFS(tblSales[کلید فاکتور],tblSales[کلید فاکتور],"&lt;"&amp;Y57)))</f>
        <v/>
      </c>
      <c r="Z58">
        <f>IF(Y58="","","R-"&amp;INT(Y58/1000)&amp;"-"&amp;TEXT(MOD(Y58,1000),"00"))</f>
        <v/>
      </c>
    </row>
    <row r="59">
      <c r="Y59" s="85">
        <f>IF(N(Y58)=0,"",IF(_xlfn.MAXIFS(tblSales[کلید فاکتور],tblSales[کلید فاکتور],"&lt;"&amp;Y58)=0,"",_xlfn.MAXIFS(tblSales[کلید فاکتور],tblSales[کلید فاکتور],"&lt;"&amp;Y58)))</f>
        <v/>
      </c>
      <c r="Z59">
        <f>IF(Y59="","","R-"&amp;INT(Y59/1000)&amp;"-"&amp;TEXT(MOD(Y59,1000),"00"))</f>
        <v/>
      </c>
    </row>
    <row r="60">
      <c r="Y60" s="85">
        <f>IF(N(Y59)=0,"",IF(_xlfn.MAXIFS(tblSales[کلید فاکتور],tblSales[کلید فاکتور],"&lt;"&amp;Y59)=0,"",_xlfn.MAXIFS(tblSales[کلید فاکتور],tblSales[کلید فاکتور],"&lt;"&amp;Y59)))</f>
        <v/>
      </c>
      <c r="Z60">
        <f>IF(Y60="","","R-"&amp;INT(Y60/1000)&amp;"-"&amp;TEXT(MOD(Y60,1000),"00"))</f>
        <v/>
      </c>
    </row>
    <row r="61">
      <c r="Y61" s="85">
        <f>IF(N(Y60)=0,"",IF(_xlfn.MAXIFS(tblSales[کلید فاکتور],tblSales[کلید فاکتور],"&lt;"&amp;Y60)=0,"",_xlfn.MAXIFS(tblSales[کلید فاکتور],tblSales[کلید فاکتور],"&lt;"&amp;Y60)))</f>
        <v/>
      </c>
      <c r="Z61">
        <f>IF(Y61="","","R-"&amp;INT(Y61/1000)&amp;"-"&amp;TEXT(MOD(Y61,1000),"00"))</f>
        <v/>
      </c>
    </row>
    <row r="62">
      <c r="Y62" s="85">
        <f>IF(N(Y61)=0,"",IF(_xlfn.MAXIFS(tblSales[کلید فاکتور],tblSales[کلید فاکتور],"&lt;"&amp;Y61)=0,"",_xlfn.MAXIFS(tblSales[کلید فاکتور],tblSales[کلید فاکتور],"&lt;"&amp;Y61)))</f>
        <v/>
      </c>
      <c r="Z62">
        <f>IF(Y62="","","R-"&amp;INT(Y62/1000)&amp;"-"&amp;TEXT(MOD(Y62,1000),"00"))</f>
        <v/>
      </c>
    </row>
    <row r="63">
      <c r="Y63" s="85">
        <f>IF(N(Y62)=0,"",IF(_xlfn.MAXIFS(tblSales[کلید فاکتور],tblSales[کلید فاکتور],"&lt;"&amp;Y62)=0,"",_xlfn.MAXIFS(tblSales[کلید فاکتور],tblSales[کلید فاکتور],"&lt;"&amp;Y62)))</f>
        <v/>
      </c>
      <c r="Z63">
        <f>IF(Y63="","","R-"&amp;INT(Y63/1000)&amp;"-"&amp;TEXT(MOD(Y63,1000),"00"))</f>
        <v/>
      </c>
    </row>
    <row r="64">
      <c r="Y64" s="85">
        <f>IF(N(Y63)=0,"",IF(_xlfn.MAXIFS(tblSales[کلید فاکتور],tblSales[کلید فاکتور],"&lt;"&amp;Y63)=0,"",_xlfn.MAXIFS(tblSales[کلید فاکتور],tblSales[کلید فاکتور],"&lt;"&amp;Y63)))</f>
        <v/>
      </c>
      <c r="Z64">
        <f>IF(Y64="","","R-"&amp;INT(Y64/1000)&amp;"-"&amp;TEXT(MOD(Y64,1000),"00"))</f>
        <v/>
      </c>
    </row>
    <row r="65">
      <c r="Y65" s="85">
        <f>IF(N(Y64)=0,"",IF(_xlfn.MAXIFS(tblSales[کلید فاکتور],tblSales[کلید فاکتور],"&lt;"&amp;Y64)=0,"",_xlfn.MAXIFS(tblSales[کلید فاکتور],tblSales[کلید فاکتور],"&lt;"&amp;Y64)))</f>
        <v/>
      </c>
      <c r="Z65">
        <f>IF(Y65="","","R-"&amp;INT(Y65/1000)&amp;"-"&amp;TEXT(MOD(Y65,1000),"00"))</f>
        <v/>
      </c>
    </row>
    <row r="66">
      <c r="Y66" s="85">
        <f>IF(N(Y65)=0,"",IF(_xlfn.MAXIFS(tblSales[کلید فاکتور],tblSales[کلید فاکتور],"&lt;"&amp;Y65)=0,"",_xlfn.MAXIFS(tblSales[کلید فاکتور],tblSales[کلید فاکتور],"&lt;"&amp;Y65)))</f>
        <v/>
      </c>
      <c r="Z66">
        <f>IF(Y66="","","R-"&amp;INT(Y66/1000)&amp;"-"&amp;TEXT(MOD(Y66,1000),"00"))</f>
        <v/>
      </c>
    </row>
    <row r="67">
      <c r="Y67" s="85">
        <f>IF(N(Y66)=0,"",IF(_xlfn.MAXIFS(tblSales[کلید فاکتور],tblSales[کلید فاکتور],"&lt;"&amp;Y66)=0,"",_xlfn.MAXIFS(tblSales[کلید فاکتور],tblSales[کلید فاکتور],"&lt;"&amp;Y66)))</f>
        <v/>
      </c>
      <c r="Z67">
        <f>IF(Y67="","","R-"&amp;INT(Y67/1000)&amp;"-"&amp;TEXT(MOD(Y67,1000),"00"))</f>
        <v/>
      </c>
    </row>
    <row r="68">
      <c r="Y68" s="85">
        <f>IF(N(Y67)=0,"",IF(_xlfn.MAXIFS(tblSales[کلید فاکتور],tblSales[کلید فاکتور],"&lt;"&amp;Y67)=0,"",_xlfn.MAXIFS(tblSales[کلید فاکتور],tblSales[کلید فاکتور],"&lt;"&amp;Y67)))</f>
        <v/>
      </c>
      <c r="Z68">
        <f>IF(Y68="","","R-"&amp;INT(Y68/1000)&amp;"-"&amp;TEXT(MOD(Y68,1000),"00"))</f>
        <v/>
      </c>
    </row>
    <row r="69">
      <c r="Y69" s="85">
        <f>IF(N(Y68)=0,"",IF(_xlfn.MAXIFS(tblSales[کلید فاکتور],tblSales[کلید فاکتور],"&lt;"&amp;Y68)=0,"",_xlfn.MAXIFS(tblSales[کلید فاکتور],tblSales[کلید فاکتور],"&lt;"&amp;Y68)))</f>
        <v/>
      </c>
      <c r="Z69">
        <f>IF(Y69="","","R-"&amp;INT(Y69/1000)&amp;"-"&amp;TEXT(MOD(Y69,1000),"00"))</f>
        <v/>
      </c>
    </row>
    <row r="70">
      <c r="Y70" s="85">
        <f>IF(N(Y69)=0,"",IF(_xlfn.MAXIFS(tblSales[کلید فاکتور],tblSales[کلید فاکتور],"&lt;"&amp;Y69)=0,"",_xlfn.MAXIFS(tblSales[کلید فاکتور],tblSales[کلید فاکتور],"&lt;"&amp;Y69)))</f>
        <v/>
      </c>
      <c r="Z70">
        <f>IF(Y70="","","R-"&amp;INT(Y70/1000)&amp;"-"&amp;TEXT(MOD(Y70,1000),"00"))</f>
        <v/>
      </c>
    </row>
    <row r="71">
      <c r="Y71" s="85">
        <f>IF(N(Y70)=0,"",IF(_xlfn.MAXIFS(tblSales[کلید فاکتور],tblSales[کلید فاکتور],"&lt;"&amp;Y70)=0,"",_xlfn.MAXIFS(tblSales[کلید فاکتور],tblSales[کلید فاکتور],"&lt;"&amp;Y70)))</f>
        <v/>
      </c>
      <c r="Z71">
        <f>IF(Y71="","","R-"&amp;INT(Y71/1000)&amp;"-"&amp;TEXT(MOD(Y71,1000),"00"))</f>
        <v/>
      </c>
    </row>
    <row r="72">
      <c r="Y72" s="85">
        <f>IF(N(Y71)=0,"",IF(_xlfn.MAXIFS(tblSales[کلید فاکتور],tblSales[کلید فاکتور],"&lt;"&amp;Y71)=0,"",_xlfn.MAXIFS(tblSales[کلید فاکتور],tblSales[کلید فاکتور],"&lt;"&amp;Y71)))</f>
        <v/>
      </c>
      <c r="Z72">
        <f>IF(Y72="","","R-"&amp;INT(Y72/1000)&amp;"-"&amp;TEXT(MOD(Y72,1000),"00"))</f>
        <v/>
      </c>
    </row>
    <row r="73">
      <c r="Y73" s="85">
        <f>IF(N(Y72)=0,"",IF(_xlfn.MAXIFS(tblSales[کلید فاکتور],tblSales[کلید فاکتور],"&lt;"&amp;Y72)=0,"",_xlfn.MAXIFS(tblSales[کلید فاکتور],tblSales[کلید فاکتور],"&lt;"&amp;Y72)))</f>
        <v/>
      </c>
      <c r="Z73">
        <f>IF(Y73="","","R-"&amp;INT(Y73/1000)&amp;"-"&amp;TEXT(MOD(Y73,1000),"00"))</f>
        <v/>
      </c>
    </row>
    <row r="74">
      <c r="Y74" s="85">
        <f>IF(N(Y73)=0,"",IF(_xlfn.MAXIFS(tblSales[کلید فاکتور],tblSales[کلید فاکتور],"&lt;"&amp;Y73)=0,"",_xlfn.MAXIFS(tblSales[کلید فاکتور],tblSales[کلید فاکتور],"&lt;"&amp;Y73)))</f>
        <v/>
      </c>
      <c r="Z74">
        <f>IF(Y74="","","R-"&amp;INT(Y74/1000)&amp;"-"&amp;TEXT(MOD(Y74,1000),"00"))</f>
        <v/>
      </c>
    </row>
    <row r="75">
      <c r="Y75" s="85">
        <f>IF(N(Y74)=0,"",IF(_xlfn.MAXIFS(tblSales[کلید فاکتور],tblSales[کلید فاکتور],"&lt;"&amp;Y74)=0,"",_xlfn.MAXIFS(tblSales[کلید فاکتور],tblSales[کلید فاکتور],"&lt;"&amp;Y74)))</f>
        <v/>
      </c>
      <c r="Z75">
        <f>IF(Y75="","","R-"&amp;INT(Y75/1000)&amp;"-"&amp;TEXT(MOD(Y75,1000),"00"))</f>
        <v/>
      </c>
    </row>
    <row r="76">
      <c r="Y76" s="85">
        <f>IF(N(Y75)=0,"",IF(_xlfn.MAXIFS(tblSales[کلید فاکتور],tblSales[کلید فاکتور],"&lt;"&amp;Y75)=0,"",_xlfn.MAXIFS(tblSales[کلید فاکتور],tblSales[کلید فاکتور],"&lt;"&amp;Y75)))</f>
        <v/>
      </c>
      <c r="Z76">
        <f>IF(Y76="","","R-"&amp;INT(Y76/1000)&amp;"-"&amp;TEXT(MOD(Y76,1000),"00"))</f>
        <v/>
      </c>
    </row>
    <row r="77">
      <c r="Y77" s="85">
        <f>IF(N(Y76)=0,"",IF(_xlfn.MAXIFS(tblSales[کلید فاکتور],tblSales[کلید فاکتور],"&lt;"&amp;Y76)=0,"",_xlfn.MAXIFS(tblSales[کلید فاکتور],tblSales[کلید فاکتور],"&lt;"&amp;Y76)))</f>
        <v/>
      </c>
      <c r="Z77">
        <f>IF(Y77="","","R-"&amp;INT(Y77/1000)&amp;"-"&amp;TEXT(MOD(Y77,1000),"00"))</f>
        <v/>
      </c>
    </row>
    <row r="78">
      <c r="Y78" s="85">
        <f>IF(N(Y77)=0,"",IF(_xlfn.MAXIFS(tblSales[کلید فاکتور],tblSales[کلید فاکتور],"&lt;"&amp;Y77)=0,"",_xlfn.MAXIFS(tblSales[کلید فاکتور],tblSales[کلید فاکتور],"&lt;"&amp;Y77)))</f>
        <v/>
      </c>
      <c r="Z78">
        <f>IF(Y78="","","R-"&amp;INT(Y78/1000)&amp;"-"&amp;TEXT(MOD(Y78,1000),"00"))</f>
        <v/>
      </c>
    </row>
    <row r="79">
      <c r="Y79" s="85">
        <f>IF(N(Y78)=0,"",IF(_xlfn.MAXIFS(tblSales[کلید فاکتور],tblSales[کلید فاکتور],"&lt;"&amp;Y78)=0,"",_xlfn.MAXIFS(tblSales[کلید فاکتور],tblSales[کلید فاکتور],"&lt;"&amp;Y78)))</f>
        <v/>
      </c>
      <c r="Z79">
        <f>IF(Y79="","","R-"&amp;INT(Y79/1000)&amp;"-"&amp;TEXT(MOD(Y79,1000),"00"))</f>
        <v/>
      </c>
    </row>
    <row r="80">
      <c r="Y80" s="85">
        <f>IF(N(Y79)=0,"",IF(_xlfn.MAXIFS(tblSales[کلید فاکتور],tblSales[کلید فاکتور],"&lt;"&amp;Y79)=0,"",_xlfn.MAXIFS(tblSales[کلید فاکتور],tblSales[کلید فاکتور],"&lt;"&amp;Y79)))</f>
        <v/>
      </c>
      <c r="Z80">
        <f>IF(Y80="","","R-"&amp;INT(Y80/1000)&amp;"-"&amp;TEXT(MOD(Y80,1000),"00"))</f>
        <v/>
      </c>
    </row>
    <row r="81">
      <c r="Y81" s="85">
        <f>IF(N(Y80)=0,"",IF(_xlfn.MAXIFS(tblSales[کلید فاکتور],tblSales[کلید فاکتور],"&lt;"&amp;Y80)=0,"",_xlfn.MAXIFS(tblSales[کلید فاکتور],tblSales[کلید فاکتور],"&lt;"&amp;Y80)))</f>
        <v/>
      </c>
      <c r="Z81">
        <f>IF(Y81="","","R-"&amp;INT(Y81/1000)&amp;"-"&amp;TEXT(MOD(Y81,1000),"00"))</f>
        <v/>
      </c>
    </row>
    <row r="82">
      <c r="Y82" s="85">
        <f>IF(N(Y81)=0,"",IF(_xlfn.MAXIFS(tblSales[کلید فاکتور],tblSales[کلید فاکتور],"&lt;"&amp;Y81)=0,"",_xlfn.MAXIFS(tblSales[کلید فاکتور],tblSales[کلید فاکتور],"&lt;"&amp;Y81)))</f>
        <v/>
      </c>
      <c r="Z82">
        <f>IF(Y82="","","R-"&amp;INT(Y82/1000)&amp;"-"&amp;TEXT(MOD(Y82,1000),"00"))</f>
        <v/>
      </c>
    </row>
    <row r="83">
      <c r="Y83" s="85">
        <f>IF(N(Y82)=0,"",IF(_xlfn.MAXIFS(tblSales[کلید فاکتور],tblSales[کلید فاکتور],"&lt;"&amp;Y82)=0,"",_xlfn.MAXIFS(tblSales[کلید فاکتور],tblSales[کلید فاکتور],"&lt;"&amp;Y82)))</f>
        <v/>
      </c>
      <c r="Z83">
        <f>IF(Y83="","","R-"&amp;INT(Y83/1000)&amp;"-"&amp;TEXT(MOD(Y83,1000),"00"))</f>
        <v/>
      </c>
    </row>
    <row r="84">
      <c r="Y84" s="85">
        <f>IF(N(Y83)=0,"",IF(_xlfn.MAXIFS(tblSales[کلید فاکتور],tblSales[کلید فاکتور],"&lt;"&amp;Y83)=0,"",_xlfn.MAXIFS(tblSales[کلید فاکتور],tblSales[کلید فاکتور],"&lt;"&amp;Y83)))</f>
        <v/>
      </c>
      <c r="Z84">
        <f>IF(Y84="","","R-"&amp;INT(Y84/1000)&amp;"-"&amp;TEXT(MOD(Y84,1000),"00"))</f>
        <v/>
      </c>
    </row>
    <row r="85">
      <c r="Y85" s="85">
        <f>IF(N(Y84)=0,"",IF(_xlfn.MAXIFS(tblSales[کلید فاکتور],tblSales[کلید فاکتور],"&lt;"&amp;Y84)=0,"",_xlfn.MAXIFS(tblSales[کلید فاکتور],tblSales[کلید فاکتور],"&lt;"&amp;Y84)))</f>
        <v/>
      </c>
      <c r="Z85">
        <f>IF(Y85="","","R-"&amp;INT(Y85/1000)&amp;"-"&amp;TEXT(MOD(Y85,1000),"00"))</f>
        <v/>
      </c>
    </row>
    <row r="86">
      <c r="Y86" s="85">
        <f>IF(N(Y85)=0,"",IF(_xlfn.MAXIFS(tblSales[کلید فاکتور],tblSales[کلید فاکتور],"&lt;"&amp;Y85)=0,"",_xlfn.MAXIFS(tblSales[کلید فاکتور],tblSales[کلید فاکتور],"&lt;"&amp;Y85)))</f>
        <v/>
      </c>
      <c r="Z86">
        <f>IF(Y86="","","R-"&amp;INT(Y86/1000)&amp;"-"&amp;TEXT(MOD(Y86,1000),"00"))</f>
        <v/>
      </c>
    </row>
    <row r="87">
      <c r="Y87" s="85">
        <f>IF(N(Y86)=0,"",IF(_xlfn.MAXIFS(tblSales[کلید فاکتور],tblSales[کلید فاکتور],"&lt;"&amp;Y86)=0,"",_xlfn.MAXIFS(tblSales[کلید فاکتور],tblSales[کلید فاکتور],"&lt;"&amp;Y86)))</f>
        <v/>
      </c>
      <c r="Z87">
        <f>IF(Y87="","","R-"&amp;INT(Y87/1000)&amp;"-"&amp;TEXT(MOD(Y87,1000),"00"))</f>
        <v/>
      </c>
    </row>
    <row r="88">
      <c r="Y88" s="85">
        <f>IF(N(Y87)=0,"",IF(_xlfn.MAXIFS(tblSales[کلید فاکتور],tblSales[کلید فاکتور],"&lt;"&amp;Y87)=0,"",_xlfn.MAXIFS(tblSales[کلید فاکتور],tblSales[کلید فاکتور],"&lt;"&amp;Y87)))</f>
        <v/>
      </c>
      <c r="Z88">
        <f>IF(Y88="","","R-"&amp;INT(Y88/1000)&amp;"-"&amp;TEXT(MOD(Y88,1000),"00"))</f>
        <v/>
      </c>
    </row>
    <row r="89">
      <c r="Y89" s="85">
        <f>IF(N(Y88)=0,"",IF(_xlfn.MAXIFS(tblSales[کلید فاکتور],tblSales[کلید فاکتور],"&lt;"&amp;Y88)=0,"",_xlfn.MAXIFS(tblSales[کلید فاکتور],tblSales[کلید فاکتور],"&lt;"&amp;Y88)))</f>
        <v/>
      </c>
      <c r="Z89">
        <f>IF(Y89="","","R-"&amp;INT(Y89/1000)&amp;"-"&amp;TEXT(MOD(Y89,1000),"00"))</f>
        <v/>
      </c>
    </row>
    <row r="90">
      <c r="Y90" s="85">
        <f>IF(N(Y89)=0,"",IF(_xlfn.MAXIFS(tblSales[کلید فاکتور],tblSales[کلید فاکتور],"&lt;"&amp;Y89)=0,"",_xlfn.MAXIFS(tblSales[کلید فاکتور],tblSales[کلید فاکتور],"&lt;"&amp;Y89)))</f>
        <v/>
      </c>
      <c r="Z90">
        <f>IF(Y90="","","R-"&amp;INT(Y90/1000)&amp;"-"&amp;TEXT(MOD(Y90,1000),"00"))</f>
        <v/>
      </c>
    </row>
    <row r="91">
      <c r="Y91" s="85">
        <f>IF(N(Y90)=0,"",IF(_xlfn.MAXIFS(tblSales[کلید فاکتور],tblSales[کلید فاکتور],"&lt;"&amp;Y90)=0,"",_xlfn.MAXIFS(tblSales[کلید فاکتور],tblSales[کلید فاکتور],"&lt;"&amp;Y90)))</f>
        <v/>
      </c>
      <c r="Z91">
        <f>IF(Y91="","","R-"&amp;INT(Y91/1000)&amp;"-"&amp;TEXT(MOD(Y91,1000),"00"))</f>
        <v/>
      </c>
    </row>
    <row r="92">
      <c r="Y92" s="85">
        <f>IF(N(Y91)=0,"",IF(_xlfn.MAXIFS(tblSales[کلید فاکتور],tblSales[کلید فاکتور],"&lt;"&amp;Y91)=0,"",_xlfn.MAXIFS(tblSales[کلید فاکتور],tblSales[کلید فاکتور],"&lt;"&amp;Y91)))</f>
        <v/>
      </c>
      <c r="Z92">
        <f>IF(Y92="","","R-"&amp;INT(Y92/1000)&amp;"-"&amp;TEXT(MOD(Y92,1000),"00"))</f>
        <v/>
      </c>
    </row>
    <row r="93">
      <c r="Y93" s="85">
        <f>IF(N(Y92)=0,"",IF(_xlfn.MAXIFS(tblSales[کلید فاکتور],tblSales[کلید فاکتور],"&lt;"&amp;Y92)=0,"",_xlfn.MAXIFS(tblSales[کلید فاکتور],tblSales[کلید فاکتور],"&lt;"&amp;Y92)))</f>
        <v/>
      </c>
      <c r="Z93">
        <f>IF(Y93="","","R-"&amp;INT(Y93/1000)&amp;"-"&amp;TEXT(MOD(Y93,1000),"00"))</f>
        <v/>
      </c>
    </row>
    <row r="94">
      <c r="Y94" s="85">
        <f>IF(N(Y93)=0,"",IF(_xlfn.MAXIFS(tblSales[کلید فاکتور],tblSales[کلید فاکتور],"&lt;"&amp;Y93)=0,"",_xlfn.MAXIFS(tblSales[کلید فاکتور],tblSales[کلید فاکتور],"&lt;"&amp;Y93)))</f>
        <v/>
      </c>
      <c r="Z94">
        <f>IF(Y94="","","R-"&amp;INT(Y94/1000)&amp;"-"&amp;TEXT(MOD(Y94,1000),"00"))</f>
        <v/>
      </c>
    </row>
    <row r="95">
      <c r="Y95" s="85">
        <f>IF(N(Y94)=0,"",IF(_xlfn.MAXIFS(tblSales[کلید فاکتور],tblSales[کلید فاکتور],"&lt;"&amp;Y94)=0,"",_xlfn.MAXIFS(tblSales[کلید فاکتور],tblSales[کلید فاکتور],"&lt;"&amp;Y94)))</f>
        <v/>
      </c>
      <c r="Z95">
        <f>IF(Y95="","","R-"&amp;INT(Y95/1000)&amp;"-"&amp;TEXT(MOD(Y95,1000),"00"))</f>
        <v/>
      </c>
    </row>
    <row r="96">
      <c r="Y96" s="85">
        <f>IF(N(Y95)=0,"",IF(_xlfn.MAXIFS(tblSales[کلید فاکتور],tblSales[کلید فاکتور],"&lt;"&amp;Y95)=0,"",_xlfn.MAXIFS(tblSales[کلید فاکتور],tblSales[کلید فاکتور],"&lt;"&amp;Y95)))</f>
        <v/>
      </c>
      <c r="Z96">
        <f>IF(Y96="","","R-"&amp;INT(Y96/1000)&amp;"-"&amp;TEXT(MOD(Y96,1000),"00"))</f>
        <v/>
      </c>
    </row>
    <row r="97">
      <c r="Y97" s="85">
        <f>IF(N(Y96)=0,"",IF(_xlfn.MAXIFS(tblSales[کلید فاکتور],tblSales[کلید فاکتور],"&lt;"&amp;Y96)=0,"",_xlfn.MAXIFS(tblSales[کلید فاکتور],tblSales[کلید فاکتور],"&lt;"&amp;Y96)))</f>
        <v/>
      </c>
      <c r="Z97">
        <f>IF(Y97="","","R-"&amp;INT(Y97/1000)&amp;"-"&amp;TEXT(MOD(Y97,1000),"00"))</f>
        <v/>
      </c>
    </row>
    <row r="98">
      <c r="Y98" s="85">
        <f>IF(N(Y97)=0,"",IF(_xlfn.MAXIFS(tblSales[کلید فاکتور],tblSales[کلید فاکتور],"&lt;"&amp;Y97)=0,"",_xlfn.MAXIFS(tblSales[کلید فاکتور],tblSales[کلید فاکتور],"&lt;"&amp;Y97)))</f>
        <v/>
      </c>
      <c r="Z98">
        <f>IF(Y98="","","R-"&amp;INT(Y98/1000)&amp;"-"&amp;TEXT(MOD(Y98,1000),"00"))</f>
        <v/>
      </c>
    </row>
    <row r="99">
      <c r="Y99" s="85">
        <f>IF(N(Y98)=0,"",IF(_xlfn.MAXIFS(tblSales[کلید فاکتور],tblSales[کلید فاکتور],"&lt;"&amp;Y98)=0,"",_xlfn.MAXIFS(tblSales[کلید فاکتور],tblSales[کلید فاکتور],"&lt;"&amp;Y98)))</f>
        <v/>
      </c>
      <c r="Z99">
        <f>IF(Y99="","","R-"&amp;INT(Y99/1000)&amp;"-"&amp;TEXT(MOD(Y99,1000),"00"))</f>
        <v/>
      </c>
    </row>
    <row r="100">
      <c r="Y100" s="85">
        <f>IF(N(Y99)=0,"",IF(_xlfn.MAXIFS(tblSales[کلید فاکتور],tblSales[کلید فاکتور],"&lt;"&amp;Y99)=0,"",_xlfn.MAXIFS(tblSales[کلید فاکتور],tblSales[کلید فاکتور],"&lt;"&amp;Y99)))</f>
        <v/>
      </c>
      <c r="Z100">
        <f>IF(Y100="","","R-"&amp;INT(Y100/1000)&amp;"-"&amp;TEXT(MOD(Y100,1000),"00"))</f>
        <v/>
      </c>
    </row>
    <row r="101">
      <c r="Y101" s="85">
        <f>IF(N(Y100)=0,"",IF(_xlfn.MAXIFS(tblSales[کلید فاکتور],tblSales[کلید فاکتور],"&lt;"&amp;Y100)=0,"",_xlfn.MAXIFS(tblSales[کلید فاکتور],tblSales[کلید فاکتور],"&lt;"&amp;Y100)))</f>
        <v/>
      </c>
      <c r="Z101">
        <f>IF(Y101="","","R-"&amp;INT(Y101/1000)&amp;"-"&amp;TEXT(MOD(Y101,1000),"00"))</f>
        <v/>
      </c>
    </row>
    <row r="102">
      <c r="Y102" s="85">
        <f>IF(N(Y101)=0,"",IF(_xlfn.MAXIFS(tblSales[کلید فاکتور],tblSales[کلید فاکتور],"&lt;"&amp;Y101)=0,"",_xlfn.MAXIFS(tblSales[کلید فاکتور],tblSales[کلید فاکتور],"&lt;"&amp;Y101)))</f>
        <v/>
      </c>
      <c r="Z102">
        <f>IF(Y102="","","R-"&amp;INT(Y102/1000)&amp;"-"&amp;TEXT(MOD(Y102,1000),"00"))</f>
        <v/>
      </c>
    </row>
    <row r="103">
      <c r="Y103" s="85">
        <f>IF(N(Y102)=0,"",IF(_xlfn.MAXIFS(tblSales[کلید فاکتور],tblSales[کلید فاکتور],"&lt;"&amp;Y102)=0,"",_xlfn.MAXIFS(tblSales[کلید فاکتور],tblSales[کلید فاکتور],"&lt;"&amp;Y102)))</f>
        <v/>
      </c>
      <c r="Z103">
        <f>IF(Y103="","","R-"&amp;INT(Y103/1000)&amp;"-"&amp;TEXT(MOD(Y103,1000),"00"))</f>
        <v/>
      </c>
    </row>
    <row r="104">
      <c r="Y104" s="85">
        <f>IF(N(Y103)=0,"",IF(_xlfn.MAXIFS(tblSales[کلید فاکتور],tblSales[کلید فاکتور],"&lt;"&amp;Y103)=0,"",_xlfn.MAXIFS(tblSales[کلید فاکتور],tblSales[کلید فاکتور],"&lt;"&amp;Y103)))</f>
        <v/>
      </c>
      <c r="Z104">
        <f>IF(Y104="","","R-"&amp;INT(Y104/1000)&amp;"-"&amp;TEXT(MOD(Y104,1000),"00"))</f>
        <v/>
      </c>
    </row>
    <row r="105">
      <c r="Y105" s="85">
        <f>IF(N(Y104)=0,"",IF(_xlfn.MAXIFS(tblSales[کلید فاکتور],tblSales[کلید فاکتور],"&lt;"&amp;Y104)=0,"",_xlfn.MAXIFS(tblSales[کلید فاکتور],tblSales[کلید فاکتور],"&lt;"&amp;Y104)))</f>
        <v/>
      </c>
      <c r="Z105">
        <f>IF(Y105="","","R-"&amp;INT(Y105/1000)&amp;"-"&amp;TEXT(MOD(Y105,1000),"00"))</f>
        <v/>
      </c>
    </row>
    <row r="106">
      <c r="Y106" s="85">
        <f>IF(N(Y105)=0,"",IF(_xlfn.MAXIFS(tblSales[کلید فاکتور],tblSales[کلید فاکتور],"&lt;"&amp;Y105)=0,"",_xlfn.MAXIFS(tblSales[کلید فاکتور],tblSales[کلید فاکتور],"&lt;"&amp;Y105)))</f>
        <v/>
      </c>
      <c r="Z106">
        <f>IF(Y106="","","R-"&amp;INT(Y106/1000)&amp;"-"&amp;TEXT(MOD(Y106,1000),"00"))</f>
        <v/>
      </c>
    </row>
    <row r="107">
      <c r="Y107" s="85">
        <f>IF(N(Y106)=0,"",IF(_xlfn.MAXIFS(tblSales[کلید فاکتور],tblSales[کلید فاکتور],"&lt;"&amp;Y106)=0,"",_xlfn.MAXIFS(tblSales[کلید فاکتور],tblSales[کلید فاکتور],"&lt;"&amp;Y106)))</f>
        <v/>
      </c>
      <c r="Z107">
        <f>IF(Y107="","","R-"&amp;INT(Y107/1000)&amp;"-"&amp;TEXT(MOD(Y107,1000),"00"))</f>
        <v/>
      </c>
    </row>
    <row r="108">
      <c r="Y108" s="85">
        <f>IF(N(Y107)=0,"",IF(_xlfn.MAXIFS(tblSales[کلید فاکتور],tblSales[کلید فاکتور],"&lt;"&amp;Y107)=0,"",_xlfn.MAXIFS(tblSales[کلید فاکتور],tblSales[کلید فاکتور],"&lt;"&amp;Y107)))</f>
        <v/>
      </c>
      <c r="Z108">
        <f>IF(Y108="","","R-"&amp;INT(Y108/1000)&amp;"-"&amp;TEXT(MOD(Y108,1000),"00"))</f>
        <v/>
      </c>
    </row>
    <row r="109">
      <c r="Y109" s="85">
        <f>IF(N(Y108)=0,"",IF(_xlfn.MAXIFS(tblSales[کلید فاکتور],tblSales[کلید فاکتور],"&lt;"&amp;Y108)=0,"",_xlfn.MAXIFS(tblSales[کلید فاکتور],tblSales[کلید فاکتور],"&lt;"&amp;Y108)))</f>
        <v/>
      </c>
      <c r="Z109">
        <f>IF(Y109="","","R-"&amp;INT(Y109/1000)&amp;"-"&amp;TEXT(MOD(Y109,1000),"00"))</f>
        <v/>
      </c>
    </row>
    <row r="110">
      <c r="Y110" s="85">
        <f>IF(N(Y109)=0,"",IF(_xlfn.MAXIFS(tblSales[کلید فاکتور],tblSales[کلید فاکتور],"&lt;"&amp;Y109)=0,"",_xlfn.MAXIFS(tblSales[کلید فاکتور],tblSales[کلید فاکتور],"&lt;"&amp;Y109)))</f>
        <v/>
      </c>
      <c r="Z110">
        <f>IF(Y110="","","R-"&amp;INT(Y110/1000)&amp;"-"&amp;TEXT(MOD(Y110,1000),"00"))</f>
        <v/>
      </c>
    </row>
    <row r="111">
      <c r="Y111" s="85">
        <f>IF(N(Y110)=0,"",IF(_xlfn.MAXIFS(tblSales[کلید فاکتور],tblSales[کلید فاکتور],"&lt;"&amp;Y110)=0,"",_xlfn.MAXIFS(tblSales[کلید فاکتور],tblSales[کلید فاکتور],"&lt;"&amp;Y110)))</f>
        <v/>
      </c>
      <c r="Z111">
        <f>IF(Y111="","","R-"&amp;INT(Y111/1000)&amp;"-"&amp;TEXT(MOD(Y111,1000),"00"))</f>
        <v/>
      </c>
    </row>
    <row r="112">
      <c r="Y112" s="85">
        <f>IF(N(Y111)=0,"",IF(_xlfn.MAXIFS(tblSales[کلید فاکتور],tblSales[کلید فاکتور],"&lt;"&amp;Y111)=0,"",_xlfn.MAXIFS(tblSales[کلید فاکتور],tblSales[کلید فاکتور],"&lt;"&amp;Y111)))</f>
        <v/>
      </c>
      <c r="Z112">
        <f>IF(Y112="","","R-"&amp;INT(Y112/1000)&amp;"-"&amp;TEXT(MOD(Y112,1000),"00"))</f>
        <v/>
      </c>
    </row>
    <row r="113">
      <c r="Y113" s="85">
        <f>IF(N(Y112)=0,"",IF(_xlfn.MAXIFS(tblSales[کلید فاکتور],tblSales[کلید فاکتور],"&lt;"&amp;Y112)=0,"",_xlfn.MAXIFS(tblSales[کلید فاکتور],tblSales[کلید فاکتور],"&lt;"&amp;Y112)))</f>
        <v/>
      </c>
      <c r="Z113">
        <f>IF(Y113="","","R-"&amp;INT(Y113/1000)&amp;"-"&amp;TEXT(MOD(Y113,1000),"00"))</f>
        <v/>
      </c>
    </row>
    <row r="114">
      <c r="Y114" s="85">
        <f>IF(N(Y113)=0,"",IF(_xlfn.MAXIFS(tblSales[کلید فاکتور],tblSales[کلید فاکتور],"&lt;"&amp;Y113)=0,"",_xlfn.MAXIFS(tblSales[کلید فاکتور],tblSales[کلید فاکتور],"&lt;"&amp;Y113)))</f>
        <v/>
      </c>
      <c r="Z114">
        <f>IF(Y114="","","R-"&amp;INT(Y114/1000)&amp;"-"&amp;TEXT(MOD(Y114,1000),"00"))</f>
        <v/>
      </c>
    </row>
    <row r="115">
      <c r="Y115" s="85">
        <f>IF(N(Y114)=0,"",IF(_xlfn.MAXIFS(tblSales[کلید فاکتور],tblSales[کلید فاکتور],"&lt;"&amp;Y114)=0,"",_xlfn.MAXIFS(tblSales[کلید فاکتور],tblSales[کلید فاکتور],"&lt;"&amp;Y114)))</f>
        <v/>
      </c>
      <c r="Z115">
        <f>IF(Y115="","","R-"&amp;INT(Y115/1000)&amp;"-"&amp;TEXT(MOD(Y115,1000),"00"))</f>
        <v/>
      </c>
    </row>
    <row r="116">
      <c r="Y116" s="85">
        <f>IF(N(Y115)=0,"",IF(_xlfn.MAXIFS(tblSales[کلید فاکتور],tblSales[کلید فاکتور],"&lt;"&amp;Y115)=0,"",_xlfn.MAXIFS(tblSales[کلید فاکتور],tblSales[کلید فاکتور],"&lt;"&amp;Y115)))</f>
        <v/>
      </c>
      <c r="Z116">
        <f>IF(Y116="","","R-"&amp;INT(Y116/1000)&amp;"-"&amp;TEXT(MOD(Y116,1000),"00"))</f>
        <v/>
      </c>
    </row>
    <row r="117">
      <c r="Y117" s="85">
        <f>IF(N(Y116)=0,"",IF(_xlfn.MAXIFS(tblSales[کلید فاکتور],tblSales[کلید فاکتور],"&lt;"&amp;Y116)=0,"",_xlfn.MAXIFS(tblSales[کلید فاکتور],tblSales[کلید فاکتور],"&lt;"&amp;Y116)))</f>
        <v/>
      </c>
      <c r="Z117">
        <f>IF(Y117="","","R-"&amp;INT(Y117/1000)&amp;"-"&amp;TEXT(MOD(Y117,1000),"00"))</f>
        <v/>
      </c>
    </row>
    <row r="118">
      <c r="Y118" s="85">
        <f>IF(N(Y117)=0,"",IF(_xlfn.MAXIFS(tblSales[کلید فاکتور],tblSales[کلید فاکتور],"&lt;"&amp;Y117)=0,"",_xlfn.MAXIFS(tblSales[کلید فاکتور],tblSales[کلید فاکتور],"&lt;"&amp;Y117)))</f>
        <v/>
      </c>
      <c r="Z118">
        <f>IF(Y118="","","R-"&amp;INT(Y118/1000)&amp;"-"&amp;TEXT(MOD(Y118,1000),"00"))</f>
        <v/>
      </c>
    </row>
    <row r="119">
      <c r="Y119" s="85">
        <f>IF(N(Y118)=0,"",IF(_xlfn.MAXIFS(tblSales[کلید فاکتور],tblSales[کلید فاکتور],"&lt;"&amp;Y118)=0,"",_xlfn.MAXIFS(tblSales[کلید فاکتور],tblSales[کلید فاکتور],"&lt;"&amp;Y118)))</f>
        <v/>
      </c>
      <c r="Z119">
        <f>IF(Y119="","","R-"&amp;INT(Y119/1000)&amp;"-"&amp;TEXT(MOD(Y119,1000),"00"))</f>
        <v/>
      </c>
    </row>
    <row r="120">
      <c r="Y120" s="85">
        <f>IF(N(Y119)=0,"",IF(_xlfn.MAXIFS(tblSales[کلید فاکتور],tblSales[کلید فاکتور],"&lt;"&amp;Y119)=0,"",_xlfn.MAXIFS(tblSales[کلید فاکتور],tblSales[کلید فاکتور],"&lt;"&amp;Y119)))</f>
        <v/>
      </c>
      <c r="Z120">
        <f>IF(Y120="","","R-"&amp;INT(Y120/1000)&amp;"-"&amp;TEXT(MOD(Y120,1000),"00"))</f>
        <v/>
      </c>
    </row>
    <row r="121">
      <c r="Y121" s="85">
        <f>IF(N(Y120)=0,"",IF(_xlfn.MAXIFS(tblSales[کلید فاکتور],tblSales[کلید فاکتور],"&lt;"&amp;Y120)=0,"",_xlfn.MAXIFS(tblSales[کلید فاکتور],tblSales[کلید فاکتور],"&lt;"&amp;Y120)))</f>
        <v/>
      </c>
      <c r="Z121">
        <f>IF(Y121="","","R-"&amp;INT(Y121/1000)&amp;"-"&amp;TEXT(MOD(Y121,1000),"00"))</f>
        <v/>
      </c>
    </row>
    <row r="122">
      <c r="Y122" s="85">
        <f>IF(N(Y121)=0,"",IF(_xlfn.MAXIFS(tblSales[کلید فاکتور],tblSales[کلید فاکتور],"&lt;"&amp;Y121)=0,"",_xlfn.MAXIFS(tblSales[کلید فاکتور],tblSales[کلید فاکتور],"&lt;"&amp;Y121)))</f>
        <v/>
      </c>
      <c r="Z122">
        <f>IF(Y122="","","R-"&amp;INT(Y122/1000)&amp;"-"&amp;TEXT(MOD(Y122,1000),"00"))</f>
        <v/>
      </c>
    </row>
    <row r="123">
      <c r="Y123" s="85">
        <f>IF(N(Y122)=0,"",IF(_xlfn.MAXIFS(tblSales[کلید فاکتور],tblSales[کلید فاکتور],"&lt;"&amp;Y122)=0,"",_xlfn.MAXIFS(tblSales[کلید فاکتور],tblSales[کلید فاکتور],"&lt;"&amp;Y122)))</f>
        <v/>
      </c>
      <c r="Z123">
        <f>IF(Y123="","","R-"&amp;INT(Y123/1000)&amp;"-"&amp;TEXT(MOD(Y123,1000),"00"))</f>
        <v/>
      </c>
    </row>
    <row r="124">
      <c r="Y124" s="85">
        <f>IF(N(Y123)=0,"",IF(_xlfn.MAXIFS(tblSales[کلید فاکتور],tblSales[کلید فاکتور],"&lt;"&amp;Y123)=0,"",_xlfn.MAXIFS(tblSales[کلید فاکتور],tblSales[کلید فاکتور],"&lt;"&amp;Y123)))</f>
        <v/>
      </c>
      <c r="Z124">
        <f>IF(Y124="","","R-"&amp;INT(Y124/1000)&amp;"-"&amp;TEXT(MOD(Y124,1000),"00"))</f>
        <v/>
      </c>
    </row>
    <row r="125">
      <c r="Y125" s="85">
        <f>IF(N(Y124)=0,"",IF(_xlfn.MAXIFS(tblSales[کلید فاکتور],tblSales[کلید فاکتور],"&lt;"&amp;Y124)=0,"",_xlfn.MAXIFS(tblSales[کلید فاکتور],tblSales[کلید فاکتور],"&lt;"&amp;Y124)))</f>
        <v/>
      </c>
      <c r="Z125">
        <f>IF(Y125="","","R-"&amp;INT(Y125/1000)&amp;"-"&amp;TEXT(MOD(Y125,1000),"00"))</f>
        <v/>
      </c>
    </row>
    <row r="126">
      <c r="Y126" s="85">
        <f>IF(N(Y125)=0,"",IF(_xlfn.MAXIFS(tblSales[کلید فاکتور],tblSales[کلید فاکتور],"&lt;"&amp;Y125)=0,"",_xlfn.MAXIFS(tblSales[کلید فاکتور],tblSales[کلید فاکتور],"&lt;"&amp;Y125)))</f>
        <v/>
      </c>
      <c r="Z126">
        <f>IF(Y126="","","R-"&amp;INT(Y126/1000)&amp;"-"&amp;TEXT(MOD(Y126,1000),"00"))</f>
        <v/>
      </c>
    </row>
    <row r="127">
      <c r="Y127" s="85">
        <f>IF(N(Y126)=0,"",IF(_xlfn.MAXIFS(tblSales[کلید فاکتور],tblSales[کلید فاکتور],"&lt;"&amp;Y126)=0,"",_xlfn.MAXIFS(tblSales[کلید فاکتور],tblSales[کلید فاکتور],"&lt;"&amp;Y126)))</f>
        <v/>
      </c>
      <c r="Z127">
        <f>IF(Y127="","","R-"&amp;INT(Y127/1000)&amp;"-"&amp;TEXT(MOD(Y127,1000),"00"))</f>
        <v/>
      </c>
    </row>
    <row r="128">
      <c r="Y128" s="85">
        <f>IF(N(Y127)=0,"",IF(_xlfn.MAXIFS(tblSales[کلید فاکتور],tblSales[کلید فاکتور],"&lt;"&amp;Y127)=0,"",_xlfn.MAXIFS(tblSales[کلید فاکتور],tblSales[کلید فاکتور],"&lt;"&amp;Y127)))</f>
        <v/>
      </c>
      <c r="Z128">
        <f>IF(Y128="","","R-"&amp;INT(Y128/1000)&amp;"-"&amp;TEXT(MOD(Y128,1000),"00"))</f>
        <v/>
      </c>
    </row>
    <row r="129">
      <c r="Y129" s="85">
        <f>IF(N(Y128)=0,"",IF(_xlfn.MAXIFS(tblSales[کلید فاکتور],tblSales[کلید فاکتور],"&lt;"&amp;Y128)=0,"",_xlfn.MAXIFS(tblSales[کلید فاکتور],tblSales[کلید فاکتور],"&lt;"&amp;Y128)))</f>
        <v/>
      </c>
      <c r="Z129">
        <f>IF(Y129="","","R-"&amp;INT(Y129/1000)&amp;"-"&amp;TEXT(MOD(Y129,1000),"00"))</f>
        <v/>
      </c>
    </row>
    <row r="130">
      <c r="Y130" s="85">
        <f>IF(N(Y129)=0,"",IF(_xlfn.MAXIFS(tblSales[کلید فاکتور],tblSales[کلید فاکتور],"&lt;"&amp;Y129)=0,"",_xlfn.MAXIFS(tblSales[کلید فاکتور],tblSales[کلید فاکتور],"&lt;"&amp;Y129)))</f>
        <v/>
      </c>
      <c r="Z130">
        <f>IF(Y130="","","R-"&amp;INT(Y130/1000)&amp;"-"&amp;TEXT(MOD(Y130,1000),"00"))</f>
        <v/>
      </c>
    </row>
    <row r="131">
      <c r="Y131" s="85">
        <f>IF(N(Y130)=0,"",IF(_xlfn.MAXIFS(tblSales[کلید فاکتور],tblSales[کلید فاکتور],"&lt;"&amp;Y130)=0,"",_xlfn.MAXIFS(tblSales[کلید فاکتور],tblSales[کلید فاکتور],"&lt;"&amp;Y130)))</f>
        <v/>
      </c>
      <c r="Z131">
        <f>IF(Y131="","","R-"&amp;INT(Y131/1000)&amp;"-"&amp;TEXT(MOD(Y131,1000),"00"))</f>
        <v/>
      </c>
    </row>
    <row r="132">
      <c r="Y132" s="85">
        <f>IF(N(Y131)=0,"",IF(_xlfn.MAXIFS(tblSales[کلید فاکتور],tblSales[کلید فاکتور],"&lt;"&amp;Y131)=0,"",_xlfn.MAXIFS(tblSales[کلید فاکتور],tblSales[کلید فاکتور],"&lt;"&amp;Y131)))</f>
        <v/>
      </c>
      <c r="Z132">
        <f>IF(Y132="","","R-"&amp;INT(Y132/1000)&amp;"-"&amp;TEXT(MOD(Y132,1000),"00"))</f>
        <v/>
      </c>
    </row>
    <row r="133">
      <c r="Y133" s="85">
        <f>IF(N(Y132)=0,"",IF(_xlfn.MAXIFS(tblSales[کلید فاکتور],tblSales[کلید فاکتور],"&lt;"&amp;Y132)=0,"",_xlfn.MAXIFS(tblSales[کلید فاکتور],tblSales[کلید فاکتور],"&lt;"&amp;Y132)))</f>
        <v/>
      </c>
      <c r="Z133">
        <f>IF(Y133="","","R-"&amp;INT(Y133/1000)&amp;"-"&amp;TEXT(MOD(Y133,1000),"00"))</f>
        <v/>
      </c>
    </row>
    <row r="134">
      <c r="Y134" s="85">
        <f>IF(N(Y133)=0,"",IF(_xlfn.MAXIFS(tblSales[کلید فاکتور],tblSales[کلید فاکتور],"&lt;"&amp;Y133)=0,"",_xlfn.MAXIFS(tblSales[کلید فاکتور],tblSales[کلید فاکتور],"&lt;"&amp;Y133)))</f>
        <v/>
      </c>
      <c r="Z134">
        <f>IF(Y134="","","R-"&amp;INT(Y134/1000)&amp;"-"&amp;TEXT(MOD(Y134,1000),"00"))</f>
        <v/>
      </c>
    </row>
    <row r="135">
      <c r="Y135" s="85">
        <f>IF(N(Y134)=0,"",IF(_xlfn.MAXIFS(tblSales[کلید فاکتور],tblSales[کلید فاکتور],"&lt;"&amp;Y134)=0,"",_xlfn.MAXIFS(tblSales[کلید فاکتور],tblSales[کلید فاکتور],"&lt;"&amp;Y134)))</f>
        <v/>
      </c>
      <c r="Z135">
        <f>IF(Y135="","","R-"&amp;INT(Y135/1000)&amp;"-"&amp;TEXT(MOD(Y135,1000),"00"))</f>
        <v/>
      </c>
    </row>
    <row r="136">
      <c r="Y136" s="85">
        <f>IF(N(Y135)=0,"",IF(_xlfn.MAXIFS(tblSales[کلید فاکتور],tblSales[کلید فاکتور],"&lt;"&amp;Y135)=0,"",_xlfn.MAXIFS(tblSales[کلید فاکتور],tblSales[کلید فاکتور],"&lt;"&amp;Y135)))</f>
        <v/>
      </c>
      <c r="Z136">
        <f>IF(Y136="","","R-"&amp;INT(Y136/1000)&amp;"-"&amp;TEXT(MOD(Y136,1000),"00"))</f>
        <v/>
      </c>
    </row>
    <row r="137">
      <c r="Y137" s="85">
        <f>IF(N(Y136)=0,"",IF(_xlfn.MAXIFS(tblSales[کلید فاکتور],tblSales[کلید فاکتور],"&lt;"&amp;Y136)=0,"",_xlfn.MAXIFS(tblSales[کلید فاکتور],tblSales[کلید فاکتور],"&lt;"&amp;Y136)))</f>
        <v/>
      </c>
      <c r="Z137">
        <f>IF(Y137="","","R-"&amp;INT(Y137/1000)&amp;"-"&amp;TEXT(MOD(Y137,1000),"00"))</f>
        <v/>
      </c>
    </row>
    <row r="138">
      <c r="Y138" s="85">
        <f>IF(N(Y137)=0,"",IF(_xlfn.MAXIFS(tblSales[کلید فاکتور],tblSales[کلید فاکتور],"&lt;"&amp;Y137)=0,"",_xlfn.MAXIFS(tblSales[کلید فاکتور],tblSales[کلید فاکتور],"&lt;"&amp;Y137)))</f>
        <v/>
      </c>
      <c r="Z138">
        <f>IF(Y138="","","R-"&amp;INT(Y138/1000)&amp;"-"&amp;TEXT(MOD(Y138,1000),"00"))</f>
        <v/>
      </c>
    </row>
    <row r="139">
      <c r="Y139" s="85">
        <f>IF(N(Y138)=0,"",IF(_xlfn.MAXIFS(tblSales[کلید فاکتور],tblSales[کلید فاکتور],"&lt;"&amp;Y138)=0,"",_xlfn.MAXIFS(tblSales[کلید فاکتور],tblSales[کلید فاکتور],"&lt;"&amp;Y138)))</f>
        <v/>
      </c>
      <c r="Z139">
        <f>IF(Y139="","","R-"&amp;INT(Y139/1000)&amp;"-"&amp;TEXT(MOD(Y139,1000),"00"))</f>
        <v/>
      </c>
    </row>
    <row r="140">
      <c r="Y140" s="85">
        <f>IF(N(Y139)=0,"",IF(_xlfn.MAXIFS(tblSales[کلید فاکتور],tblSales[کلید فاکتور],"&lt;"&amp;Y139)=0,"",_xlfn.MAXIFS(tblSales[کلید فاکتور],tblSales[کلید فاکتور],"&lt;"&amp;Y139)))</f>
        <v/>
      </c>
      <c r="Z140">
        <f>IF(Y140="","","R-"&amp;INT(Y140/1000)&amp;"-"&amp;TEXT(MOD(Y140,1000),"00"))</f>
        <v/>
      </c>
    </row>
    <row r="141">
      <c r="Y141" s="85">
        <f>IF(N(Y140)=0,"",IF(_xlfn.MAXIFS(tblSales[کلید فاکتور],tblSales[کلید فاکتور],"&lt;"&amp;Y140)=0,"",_xlfn.MAXIFS(tblSales[کلید فاکتور],tblSales[کلید فاکتور],"&lt;"&amp;Y140)))</f>
        <v/>
      </c>
      <c r="Z141">
        <f>IF(Y141="","","R-"&amp;INT(Y141/1000)&amp;"-"&amp;TEXT(MOD(Y141,1000),"00"))</f>
        <v/>
      </c>
    </row>
    <row r="142">
      <c r="Y142" s="85">
        <f>IF(N(Y141)=0,"",IF(_xlfn.MAXIFS(tblSales[کلید فاکتور],tblSales[کلید فاکتور],"&lt;"&amp;Y141)=0,"",_xlfn.MAXIFS(tblSales[کلید فاکتور],tblSales[کلید فاکتور],"&lt;"&amp;Y141)))</f>
        <v/>
      </c>
      <c r="Z142">
        <f>IF(Y142="","","R-"&amp;INT(Y142/1000)&amp;"-"&amp;TEXT(MOD(Y142,1000),"00"))</f>
        <v/>
      </c>
    </row>
    <row r="143">
      <c r="Y143" s="85">
        <f>IF(N(Y142)=0,"",IF(_xlfn.MAXIFS(tblSales[کلید فاکتور],tblSales[کلید فاکتور],"&lt;"&amp;Y142)=0,"",_xlfn.MAXIFS(tblSales[کلید فاکتور],tblSales[کلید فاکتور],"&lt;"&amp;Y142)))</f>
        <v/>
      </c>
      <c r="Z143">
        <f>IF(Y143="","","R-"&amp;INT(Y143/1000)&amp;"-"&amp;TEXT(MOD(Y143,1000),"00"))</f>
        <v/>
      </c>
    </row>
    <row r="144">
      <c r="Y144" s="85">
        <f>IF(N(Y143)=0,"",IF(_xlfn.MAXIFS(tblSales[کلید فاکتور],tblSales[کلید فاکتور],"&lt;"&amp;Y143)=0,"",_xlfn.MAXIFS(tblSales[کلید فاکتور],tblSales[کلید فاکتور],"&lt;"&amp;Y143)))</f>
        <v/>
      </c>
      <c r="Z144">
        <f>IF(Y144="","","R-"&amp;INT(Y144/1000)&amp;"-"&amp;TEXT(MOD(Y144,1000),"00"))</f>
        <v/>
      </c>
    </row>
    <row r="145">
      <c r="Y145" s="85">
        <f>IF(N(Y144)=0,"",IF(_xlfn.MAXIFS(tblSales[کلید فاکتور],tblSales[کلید فاکتور],"&lt;"&amp;Y144)=0,"",_xlfn.MAXIFS(tblSales[کلید فاکتور],tblSales[کلید فاکتور],"&lt;"&amp;Y144)))</f>
        <v/>
      </c>
      <c r="Z145">
        <f>IF(Y145="","","R-"&amp;INT(Y145/1000)&amp;"-"&amp;TEXT(MOD(Y145,1000),"00"))</f>
        <v/>
      </c>
    </row>
    <row r="146">
      <c r="Y146" s="85">
        <f>IF(N(Y145)=0,"",IF(_xlfn.MAXIFS(tblSales[کلید فاکتور],tblSales[کلید فاکتور],"&lt;"&amp;Y145)=0,"",_xlfn.MAXIFS(tblSales[کلید فاکتور],tblSales[کلید فاکتور],"&lt;"&amp;Y145)))</f>
        <v/>
      </c>
      <c r="Z146">
        <f>IF(Y146="","","R-"&amp;INT(Y146/1000)&amp;"-"&amp;TEXT(MOD(Y146,1000),"00"))</f>
        <v/>
      </c>
    </row>
    <row r="147">
      <c r="Y147" s="85">
        <f>IF(N(Y146)=0,"",IF(_xlfn.MAXIFS(tblSales[کلید فاکتور],tblSales[کلید فاکتور],"&lt;"&amp;Y146)=0,"",_xlfn.MAXIFS(tblSales[کلید فاکتور],tblSales[کلید فاکتور],"&lt;"&amp;Y146)))</f>
        <v/>
      </c>
      <c r="Z147">
        <f>IF(Y147="","","R-"&amp;INT(Y147/1000)&amp;"-"&amp;TEXT(MOD(Y147,1000),"00"))</f>
        <v/>
      </c>
    </row>
    <row r="148">
      <c r="Y148" s="85">
        <f>IF(N(Y147)=0,"",IF(_xlfn.MAXIFS(tblSales[کلید فاکتور],tblSales[کلید فاکتور],"&lt;"&amp;Y147)=0,"",_xlfn.MAXIFS(tblSales[کلید فاکتور],tblSales[کلید فاکتور],"&lt;"&amp;Y147)))</f>
        <v/>
      </c>
      <c r="Z148">
        <f>IF(Y148="","","R-"&amp;INT(Y148/1000)&amp;"-"&amp;TEXT(MOD(Y148,1000),"00"))</f>
        <v/>
      </c>
    </row>
    <row r="149">
      <c r="Y149" s="85">
        <f>IF(N(Y148)=0,"",IF(_xlfn.MAXIFS(tblSales[کلید فاکتور],tblSales[کلید فاکتور],"&lt;"&amp;Y148)=0,"",_xlfn.MAXIFS(tblSales[کلید فاکتور],tblSales[کلید فاکتور],"&lt;"&amp;Y148)))</f>
        <v/>
      </c>
      <c r="Z149">
        <f>IF(Y149="","","R-"&amp;INT(Y149/1000)&amp;"-"&amp;TEXT(MOD(Y149,1000),"00"))</f>
        <v/>
      </c>
    </row>
    <row r="150">
      <c r="Y150" s="85">
        <f>IF(N(Y149)=0,"",IF(_xlfn.MAXIFS(tblSales[کلید فاکتور],tblSales[کلید فاکتور],"&lt;"&amp;Y149)=0,"",_xlfn.MAXIFS(tblSales[کلید فاکتور],tblSales[کلید فاکتور],"&lt;"&amp;Y149)))</f>
        <v/>
      </c>
      <c r="Z150">
        <f>IF(Y150="","","R-"&amp;INT(Y150/1000)&amp;"-"&amp;TEXT(MOD(Y150,1000),"00"))</f>
        <v/>
      </c>
    </row>
    <row r="151">
      <c r="Y151" s="85">
        <f>IF(N(Y150)=0,"",IF(_xlfn.MAXIFS(tblSales[کلید فاکتور],tblSales[کلید فاکتور],"&lt;"&amp;Y150)=0,"",_xlfn.MAXIFS(tblSales[کلید فاکتور],tblSales[کلید فاکتور],"&lt;"&amp;Y150)))</f>
        <v/>
      </c>
      <c r="Z151">
        <f>IF(Y151="","","R-"&amp;INT(Y151/1000)&amp;"-"&amp;TEXT(MOD(Y151,1000),"00"))</f>
        <v/>
      </c>
    </row>
    <row r="152">
      <c r="Y152" s="85">
        <f>IF(N(Y151)=0,"",IF(_xlfn.MAXIFS(tblSales[کلید فاکتور],tblSales[کلید فاکتور],"&lt;"&amp;Y151)=0,"",_xlfn.MAXIFS(tblSales[کلید فاکتور],tblSales[کلید فاکتور],"&lt;"&amp;Y151)))</f>
        <v/>
      </c>
      <c r="Z152">
        <f>IF(Y152="","","R-"&amp;INT(Y152/1000)&amp;"-"&amp;TEXT(MOD(Y152,1000),"00"))</f>
        <v/>
      </c>
    </row>
    <row r="153">
      <c r="Y153" s="85">
        <f>IF(N(Y152)=0,"",IF(_xlfn.MAXIFS(tblSales[کلید فاکتور],tblSales[کلید فاکتور],"&lt;"&amp;Y152)=0,"",_xlfn.MAXIFS(tblSales[کلید فاکتور],tblSales[کلید فاکتور],"&lt;"&amp;Y152)))</f>
        <v/>
      </c>
      <c r="Z153">
        <f>IF(Y153="","","R-"&amp;INT(Y153/1000)&amp;"-"&amp;TEXT(MOD(Y153,1000),"00"))</f>
        <v/>
      </c>
    </row>
    <row r="154">
      <c r="Y154" s="85">
        <f>IF(N(Y153)=0,"",IF(_xlfn.MAXIFS(tblSales[کلید فاکتور],tblSales[کلید فاکتور],"&lt;"&amp;Y153)=0,"",_xlfn.MAXIFS(tblSales[کلید فاکتور],tblSales[کلید فاکتور],"&lt;"&amp;Y153)))</f>
        <v/>
      </c>
      <c r="Z154">
        <f>IF(Y154="","","R-"&amp;INT(Y154/1000)&amp;"-"&amp;TEXT(MOD(Y154,1000),"00"))</f>
        <v/>
      </c>
    </row>
    <row r="155">
      <c r="Y155" s="85">
        <f>IF(N(Y154)=0,"",IF(_xlfn.MAXIFS(tblSales[کلید فاکتور],tblSales[کلید فاکتور],"&lt;"&amp;Y154)=0,"",_xlfn.MAXIFS(tblSales[کلید فاکتور],tblSales[کلید فاکتور],"&lt;"&amp;Y154)))</f>
        <v/>
      </c>
      <c r="Z155">
        <f>IF(Y155="","","R-"&amp;INT(Y155/1000)&amp;"-"&amp;TEXT(MOD(Y155,1000),"00"))</f>
        <v/>
      </c>
    </row>
    <row r="156">
      <c r="Y156" s="85">
        <f>IF(N(Y155)=0,"",IF(_xlfn.MAXIFS(tblSales[کلید فاکتور],tblSales[کلید فاکتور],"&lt;"&amp;Y155)=0,"",_xlfn.MAXIFS(tblSales[کلید فاکتور],tblSales[کلید فاکتور],"&lt;"&amp;Y155)))</f>
        <v/>
      </c>
      <c r="Z156">
        <f>IF(Y156="","","R-"&amp;INT(Y156/1000)&amp;"-"&amp;TEXT(MOD(Y156,1000),"00"))</f>
        <v/>
      </c>
    </row>
    <row r="157">
      <c r="Y157" s="85">
        <f>IF(N(Y156)=0,"",IF(_xlfn.MAXIFS(tblSales[کلید فاکتور],tblSales[کلید فاکتور],"&lt;"&amp;Y156)=0,"",_xlfn.MAXIFS(tblSales[کلید فاکتور],tblSales[کلید فاکتور],"&lt;"&amp;Y156)))</f>
        <v/>
      </c>
      <c r="Z157">
        <f>IF(Y157="","","R-"&amp;INT(Y157/1000)&amp;"-"&amp;TEXT(MOD(Y157,1000),"00"))</f>
        <v/>
      </c>
    </row>
    <row r="158">
      <c r="Y158" s="85">
        <f>IF(N(Y157)=0,"",IF(_xlfn.MAXIFS(tblSales[کلید فاکتور],tblSales[کلید فاکتور],"&lt;"&amp;Y157)=0,"",_xlfn.MAXIFS(tblSales[کلید فاکتور],tblSales[کلید فاکتور],"&lt;"&amp;Y157)))</f>
        <v/>
      </c>
      <c r="Z158">
        <f>IF(Y158="","","R-"&amp;INT(Y158/1000)&amp;"-"&amp;TEXT(MOD(Y158,1000),"00"))</f>
        <v/>
      </c>
    </row>
    <row r="159">
      <c r="Y159" s="85">
        <f>IF(N(Y158)=0,"",IF(_xlfn.MAXIFS(tblSales[کلید فاکتور],tblSales[کلید فاکتور],"&lt;"&amp;Y158)=0,"",_xlfn.MAXIFS(tblSales[کلید فاکتور],tblSales[کلید فاکتور],"&lt;"&amp;Y158)))</f>
        <v/>
      </c>
      <c r="Z159">
        <f>IF(Y159="","","R-"&amp;INT(Y159/1000)&amp;"-"&amp;TEXT(MOD(Y159,1000),"00"))</f>
        <v/>
      </c>
    </row>
    <row r="160">
      <c r="Y160" s="85">
        <f>IF(N(Y159)=0,"",IF(_xlfn.MAXIFS(tblSales[کلید فاکتور],tblSales[کلید فاکتور],"&lt;"&amp;Y159)=0,"",_xlfn.MAXIFS(tblSales[کلید فاکتور],tblSales[کلید فاکتور],"&lt;"&amp;Y159)))</f>
        <v/>
      </c>
      <c r="Z160">
        <f>IF(Y160="","","R-"&amp;INT(Y160/1000)&amp;"-"&amp;TEXT(MOD(Y160,1000),"00"))</f>
        <v/>
      </c>
    </row>
    <row r="161">
      <c r="Y161" s="85">
        <f>IF(N(Y160)=0,"",IF(_xlfn.MAXIFS(tblSales[کلید فاکتور],tblSales[کلید فاکتور],"&lt;"&amp;Y160)=0,"",_xlfn.MAXIFS(tblSales[کلید فاکتور],tblSales[کلید فاکتور],"&lt;"&amp;Y160)))</f>
        <v/>
      </c>
      <c r="Z161">
        <f>IF(Y161="","","R-"&amp;INT(Y161/1000)&amp;"-"&amp;TEXT(MOD(Y161,1000),"00"))</f>
        <v/>
      </c>
    </row>
    <row r="162">
      <c r="Y162" s="85">
        <f>IF(N(Y161)=0,"",IF(_xlfn.MAXIFS(tblSales[کلید فاکتور],tblSales[کلید فاکتور],"&lt;"&amp;Y161)=0,"",_xlfn.MAXIFS(tblSales[کلید فاکتور],tblSales[کلید فاکتور],"&lt;"&amp;Y161)))</f>
        <v/>
      </c>
      <c r="Z162">
        <f>IF(Y162="","","R-"&amp;INT(Y162/1000)&amp;"-"&amp;TEXT(MOD(Y162,1000),"00"))</f>
        <v/>
      </c>
    </row>
    <row r="163">
      <c r="Y163" s="85">
        <f>IF(N(Y162)=0,"",IF(_xlfn.MAXIFS(tblSales[کلید فاکتور],tblSales[کلید فاکتور],"&lt;"&amp;Y162)=0,"",_xlfn.MAXIFS(tblSales[کلید فاکتور],tblSales[کلید فاکتور],"&lt;"&amp;Y162)))</f>
        <v/>
      </c>
      <c r="Z163">
        <f>IF(Y163="","","R-"&amp;INT(Y163/1000)&amp;"-"&amp;TEXT(MOD(Y163,1000),"00"))</f>
        <v/>
      </c>
    </row>
    <row r="164">
      <c r="Y164" s="85">
        <f>IF(N(Y163)=0,"",IF(_xlfn.MAXIFS(tblSales[کلید فاکتور],tblSales[کلید فاکتور],"&lt;"&amp;Y163)=0,"",_xlfn.MAXIFS(tblSales[کلید فاکتور],tblSales[کلید فاکتور],"&lt;"&amp;Y163)))</f>
        <v/>
      </c>
      <c r="Z164">
        <f>IF(Y164="","","R-"&amp;INT(Y164/1000)&amp;"-"&amp;TEXT(MOD(Y164,1000),"00"))</f>
        <v/>
      </c>
    </row>
    <row r="165">
      <c r="Y165" s="85">
        <f>IF(N(Y164)=0,"",IF(_xlfn.MAXIFS(tblSales[کلید فاکتور],tblSales[کلید فاکتور],"&lt;"&amp;Y164)=0,"",_xlfn.MAXIFS(tblSales[کلید فاکتور],tblSales[کلید فاکتور],"&lt;"&amp;Y164)))</f>
        <v/>
      </c>
      <c r="Z165">
        <f>IF(Y165="","","R-"&amp;INT(Y165/1000)&amp;"-"&amp;TEXT(MOD(Y165,1000),"00"))</f>
        <v/>
      </c>
    </row>
    <row r="166">
      <c r="Y166" s="85">
        <f>IF(N(Y165)=0,"",IF(_xlfn.MAXIFS(tblSales[کلید فاکتور],tblSales[کلید فاکتور],"&lt;"&amp;Y165)=0,"",_xlfn.MAXIFS(tblSales[کلید فاکتور],tblSales[کلید فاکتور],"&lt;"&amp;Y165)))</f>
        <v/>
      </c>
      <c r="Z166">
        <f>IF(Y166="","","R-"&amp;INT(Y166/1000)&amp;"-"&amp;TEXT(MOD(Y166,1000),"00"))</f>
        <v/>
      </c>
    </row>
    <row r="167">
      <c r="Y167" s="85">
        <f>IF(N(Y166)=0,"",IF(_xlfn.MAXIFS(tblSales[کلید فاکتور],tblSales[کلید فاکتور],"&lt;"&amp;Y166)=0,"",_xlfn.MAXIFS(tblSales[کلید فاکتور],tblSales[کلید فاکتور],"&lt;"&amp;Y166)))</f>
        <v/>
      </c>
      <c r="Z167">
        <f>IF(Y167="","","R-"&amp;INT(Y167/1000)&amp;"-"&amp;TEXT(MOD(Y167,1000),"00"))</f>
        <v/>
      </c>
    </row>
    <row r="168">
      <c r="Y168" s="85">
        <f>IF(N(Y167)=0,"",IF(_xlfn.MAXIFS(tblSales[کلید فاکتور],tblSales[کلید فاکتور],"&lt;"&amp;Y167)=0,"",_xlfn.MAXIFS(tblSales[کلید فاکتور],tblSales[کلید فاکتور],"&lt;"&amp;Y167)))</f>
        <v/>
      </c>
      <c r="Z168">
        <f>IF(Y168="","","R-"&amp;INT(Y168/1000)&amp;"-"&amp;TEXT(MOD(Y168,1000),"00"))</f>
        <v/>
      </c>
    </row>
    <row r="169">
      <c r="Y169" s="85">
        <f>IF(N(Y168)=0,"",IF(_xlfn.MAXIFS(tblSales[کلید فاکتور],tblSales[کلید فاکتور],"&lt;"&amp;Y168)=0,"",_xlfn.MAXIFS(tblSales[کلید فاکتور],tblSales[کلید فاکتور],"&lt;"&amp;Y168)))</f>
        <v/>
      </c>
      <c r="Z169">
        <f>IF(Y169="","","R-"&amp;INT(Y169/1000)&amp;"-"&amp;TEXT(MOD(Y169,1000),"00"))</f>
        <v/>
      </c>
    </row>
    <row r="170">
      <c r="Y170" s="85">
        <f>IF(N(Y169)=0,"",IF(_xlfn.MAXIFS(tblSales[کلید فاکتور],tblSales[کلید فاکتور],"&lt;"&amp;Y169)=0,"",_xlfn.MAXIFS(tblSales[کلید فاکتور],tblSales[کلید فاکتور],"&lt;"&amp;Y169)))</f>
        <v/>
      </c>
      <c r="Z170">
        <f>IF(Y170="","","R-"&amp;INT(Y170/1000)&amp;"-"&amp;TEXT(MOD(Y170,1000),"00"))</f>
        <v/>
      </c>
    </row>
    <row r="171">
      <c r="Y171" s="85">
        <f>IF(N(Y170)=0,"",IF(_xlfn.MAXIFS(tblSales[کلید فاکتور],tblSales[کلید فاکتور],"&lt;"&amp;Y170)=0,"",_xlfn.MAXIFS(tblSales[کلید فاکتور],tblSales[کلید فاکتور],"&lt;"&amp;Y170)))</f>
        <v/>
      </c>
      <c r="Z171">
        <f>IF(Y171="","","R-"&amp;INT(Y171/1000)&amp;"-"&amp;TEXT(MOD(Y171,1000),"00"))</f>
        <v/>
      </c>
    </row>
    <row r="172">
      <c r="Y172" s="85">
        <f>IF(N(Y171)=0,"",IF(_xlfn.MAXIFS(tblSales[کلید فاکتور],tblSales[کلید فاکتور],"&lt;"&amp;Y171)=0,"",_xlfn.MAXIFS(tblSales[کلید فاکتور],tblSales[کلید فاکتور],"&lt;"&amp;Y171)))</f>
        <v/>
      </c>
      <c r="Z172">
        <f>IF(Y172="","","R-"&amp;INT(Y172/1000)&amp;"-"&amp;TEXT(MOD(Y172,1000),"00"))</f>
        <v/>
      </c>
    </row>
    <row r="173">
      <c r="Y173" s="85">
        <f>IF(N(Y172)=0,"",IF(_xlfn.MAXIFS(tblSales[کلید فاکتور],tblSales[کلید فاکتور],"&lt;"&amp;Y172)=0,"",_xlfn.MAXIFS(tblSales[کلید فاکتور],tblSales[کلید فاکتور],"&lt;"&amp;Y172)))</f>
        <v/>
      </c>
      <c r="Z173">
        <f>IF(Y173="","","R-"&amp;INT(Y173/1000)&amp;"-"&amp;TEXT(MOD(Y173,1000),"00"))</f>
        <v/>
      </c>
    </row>
    <row r="174">
      <c r="Y174" s="85">
        <f>IF(N(Y173)=0,"",IF(_xlfn.MAXIFS(tblSales[کلید فاکتور],tblSales[کلید فاکتور],"&lt;"&amp;Y173)=0,"",_xlfn.MAXIFS(tblSales[کلید فاکتور],tblSales[کلید فاکتور],"&lt;"&amp;Y173)))</f>
        <v/>
      </c>
      <c r="Z174">
        <f>IF(Y174="","","R-"&amp;INT(Y174/1000)&amp;"-"&amp;TEXT(MOD(Y174,1000),"00"))</f>
        <v/>
      </c>
    </row>
    <row r="175">
      <c r="Y175" s="85">
        <f>IF(N(Y174)=0,"",IF(_xlfn.MAXIFS(tblSales[کلید فاکتور],tblSales[کلید فاکتور],"&lt;"&amp;Y174)=0,"",_xlfn.MAXIFS(tblSales[کلید فاکتور],tblSales[کلید فاکتور],"&lt;"&amp;Y174)))</f>
        <v/>
      </c>
      <c r="Z175">
        <f>IF(Y175="","","R-"&amp;INT(Y175/1000)&amp;"-"&amp;TEXT(MOD(Y175,1000),"00"))</f>
        <v/>
      </c>
    </row>
    <row r="176">
      <c r="Y176" s="85">
        <f>IF(N(Y175)=0,"",IF(_xlfn.MAXIFS(tblSales[کلید فاکتور],tblSales[کلید فاکتور],"&lt;"&amp;Y175)=0,"",_xlfn.MAXIFS(tblSales[کلید فاکتور],tblSales[کلید فاکتور],"&lt;"&amp;Y175)))</f>
        <v/>
      </c>
      <c r="Z176">
        <f>IF(Y176="","","R-"&amp;INT(Y176/1000)&amp;"-"&amp;TEXT(MOD(Y176,1000),"00"))</f>
        <v/>
      </c>
    </row>
    <row r="177">
      <c r="Y177" s="85">
        <f>IF(N(Y176)=0,"",IF(_xlfn.MAXIFS(tblSales[کلید فاکتور],tblSales[کلید فاکتور],"&lt;"&amp;Y176)=0,"",_xlfn.MAXIFS(tblSales[کلید فاکتور],tblSales[کلید فاکتور],"&lt;"&amp;Y176)))</f>
        <v/>
      </c>
      <c r="Z177">
        <f>IF(Y177="","","R-"&amp;INT(Y177/1000)&amp;"-"&amp;TEXT(MOD(Y177,1000),"00"))</f>
        <v/>
      </c>
    </row>
    <row r="178">
      <c r="Y178" s="85">
        <f>IF(N(Y177)=0,"",IF(_xlfn.MAXIFS(tblSales[کلید فاکتور],tblSales[کلید فاکتور],"&lt;"&amp;Y177)=0,"",_xlfn.MAXIFS(tblSales[کلید فاکتور],tblSales[کلید فاکتور],"&lt;"&amp;Y177)))</f>
        <v/>
      </c>
      <c r="Z178">
        <f>IF(Y178="","","R-"&amp;INT(Y178/1000)&amp;"-"&amp;TEXT(MOD(Y178,1000),"00"))</f>
        <v/>
      </c>
    </row>
    <row r="179">
      <c r="Y179" s="85">
        <f>IF(N(Y178)=0,"",IF(_xlfn.MAXIFS(tblSales[کلید فاکتور],tblSales[کلید فاکتور],"&lt;"&amp;Y178)=0,"",_xlfn.MAXIFS(tblSales[کلید فاکتور],tblSales[کلید فاکتور],"&lt;"&amp;Y178)))</f>
        <v/>
      </c>
      <c r="Z179">
        <f>IF(Y179="","","R-"&amp;INT(Y179/1000)&amp;"-"&amp;TEXT(MOD(Y179,1000),"00"))</f>
        <v/>
      </c>
    </row>
    <row r="180">
      <c r="Y180" s="85">
        <f>IF(N(Y179)=0,"",IF(_xlfn.MAXIFS(tblSales[کلید فاکتور],tblSales[کلید فاکتور],"&lt;"&amp;Y179)=0,"",_xlfn.MAXIFS(tblSales[کلید فاکتور],tblSales[کلید فاکتور],"&lt;"&amp;Y179)))</f>
        <v/>
      </c>
      <c r="Z180">
        <f>IF(Y180="","","R-"&amp;INT(Y180/1000)&amp;"-"&amp;TEXT(MOD(Y180,1000),"00"))</f>
        <v/>
      </c>
    </row>
    <row r="181">
      <c r="Y181" s="85">
        <f>IF(N(Y180)=0,"",IF(_xlfn.MAXIFS(tblSales[کلید فاکتور],tblSales[کلید فاکتور],"&lt;"&amp;Y180)=0,"",_xlfn.MAXIFS(tblSales[کلید فاکتور],tblSales[کلید فاکتور],"&lt;"&amp;Y180)))</f>
        <v/>
      </c>
      <c r="Z181">
        <f>IF(Y181="","","R-"&amp;INT(Y181/1000)&amp;"-"&amp;TEXT(MOD(Y181,1000),"00"))</f>
        <v/>
      </c>
    </row>
    <row r="182">
      <c r="Y182" s="85">
        <f>IF(N(Y181)=0,"",IF(_xlfn.MAXIFS(tblSales[کلید فاکتور],tblSales[کلید فاکتور],"&lt;"&amp;Y181)=0,"",_xlfn.MAXIFS(tblSales[کلید فاکتور],tblSales[کلید فاکتور],"&lt;"&amp;Y181)))</f>
        <v/>
      </c>
      <c r="Z182">
        <f>IF(Y182="","","R-"&amp;INT(Y182/1000)&amp;"-"&amp;TEXT(MOD(Y182,1000),"00"))</f>
        <v/>
      </c>
    </row>
    <row r="183">
      <c r="Y183" s="85">
        <f>IF(N(Y182)=0,"",IF(_xlfn.MAXIFS(tblSales[کلید فاکتور],tblSales[کلید فاکتور],"&lt;"&amp;Y182)=0,"",_xlfn.MAXIFS(tblSales[کلید فاکتور],tblSales[کلید فاکتور],"&lt;"&amp;Y182)))</f>
        <v/>
      </c>
      <c r="Z183">
        <f>IF(Y183="","","R-"&amp;INT(Y183/1000)&amp;"-"&amp;TEXT(MOD(Y183,1000),"00"))</f>
        <v/>
      </c>
    </row>
    <row r="184">
      <c r="Y184" s="85">
        <f>IF(N(Y183)=0,"",IF(_xlfn.MAXIFS(tblSales[کلید فاکتور],tblSales[کلید فاکتور],"&lt;"&amp;Y183)=0,"",_xlfn.MAXIFS(tblSales[کلید فاکتور],tblSales[کلید فاکتور],"&lt;"&amp;Y183)))</f>
        <v/>
      </c>
      <c r="Z184">
        <f>IF(Y184="","","R-"&amp;INT(Y184/1000)&amp;"-"&amp;TEXT(MOD(Y184,1000),"00"))</f>
        <v/>
      </c>
    </row>
    <row r="185">
      <c r="Y185" s="85">
        <f>IF(N(Y184)=0,"",IF(_xlfn.MAXIFS(tblSales[کلید فاکتور],tblSales[کلید فاکتور],"&lt;"&amp;Y184)=0,"",_xlfn.MAXIFS(tblSales[کلید فاکتور],tblSales[کلید فاکتور],"&lt;"&amp;Y184)))</f>
        <v/>
      </c>
      <c r="Z185">
        <f>IF(Y185="","","R-"&amp;INT(Y185/1000)&amp;"-"&amp;TEXT(MOD(Y185,1000),"00"))</f>
        <v/>
      </c>
    </row>
    <row r="186">
      <c r="Y186" s="85">
        <f>IF(N(Y185)=0,"",IF(_xlfn.MAXIFS(tblSales[کلید فاکتور],tblSales[کلید فاکتور],"&lt;"&amp;Y185)=0,"",_xlfn.MAXIFS(tblSales[کلید فاکتور],tblSales[کلید فاکتور],"&lt;"&amp;Y185)))</f>
        <v/>
      </c>
      <c r="Z186">
        <f>IF(Y186="","","R-"&amp;INT(Y186/1000)&amp;"-"&amp;TEXT(MOD(Y186,1000),"00"))</f>
        <v/>
      </c>
    </row>
    <row r="187">
      <c r="Y187" s="85">
        <f>IF(N(Y186)=0,"",IF(_xlfn.MAXIFS(tblSales[کلید فاکتور],tblSales[کلید فاکتور],"&lt;"&amp;Y186)=0,"",_xlfn.MAXIFS(tblSales[کلید فاکتور],tblSales[کلید فاکتور],"&lt;"&amp;Y186)))</f>
        <v/>
      </c>
      <c r="Z187">
        <f>IF(Y187="","","R-"&amp;INT(Y187/1000)&amp;"-"&amp;TEXT(MOD(Y187,1000),"00"))</f>
        <v/>
      </c>
    </row>
    <row r="188">
      <c r="Y188" s="85">
        <f>IF(N(Y187)=0,"",IF(_xlfn.MAXIFS(tblSales[کلید فاکتور],tblSales[کلید فاکتور],"&lt;"&amp;Y187)=0,"",_xlfn.MAXIFS(tblSales[کلید فاکتور],tblSales[کلید فاکتور],"&lt;"&amp;Y187)))</f>
        <v/>
      </c>
      <c r="Z188">
        <f>IF(Y188="","","R-"&amp;INT(Y188/1000)&amp;"-"&amp;TEXT(MOD(Y188,1000),"00"))</f>
        <v/>
      </c>
    </row>
    <row r="189">
      <c r="Y189" s="85">
        <f>IF(N(Y188)=0,"",IF(_xlfn.MAXIFS(tblSales[کلید فاکتور],tblSales[کلید فاکتور],"&lt;"&amp;Y188)=0,"",_xlfn.MAXIFS(tblSales[کلید فاکتور],tblSales[کلید فاکتور],"&lt;"&amp;Y188)))</f>
        <v/>
      </c>
      <c r="Z189">
        <f>IF(Y189="","","R-"&amp;INT(Y189/1000)&amp;"-"&amp;TEXT(MOD(Y189,1000),"00"))</f>
        <v/>
      </c>
    </row>
    <row r="190">
      <c r="Y190" s="85">
        <f>IF(N(Y189)=0,"",IF(_xlfn.MAXIFS(tblSales[کلید فاکتور],tblSales[کلید فاکتور],"&lt;"&amp;Y189)=0,"",_xlfn.MAXIFS(tblSales[کلید فاکتور],tblSales[کلید فاکتور],"&lt;"&amp;Y189)))</f>
        <v/>
      </c>
      <c r="Z190">
        <f>IF(Y190="","","R-"&amp;INT(Y190/1000)&amp;"-"&amp;TEXT(MOD(Y190,1000),"00"))</f>
        <v/>
      </c>
    </row>
    <row r="191">
      <c r="Y191" s="85">
        <f>IF(N(Y190)=0,"",IF(_xlfn.MAXIFS(tblSales[کلید فاکتور],tblSales[کلید فاکتور],"&lt;"&amp;Y190)=0,"",_xlfn.MAXIFS(tblSales[کلید فاکتور],tblSales[کلید فاکتور],"&lt;"&amp;Y190)))</f>
        <v/>
      </c>
      <c r="Z191">
        <f>IF(Y191="","","R-"&amp;INT(Y191/1000)&amp;"-"&amp;TEXT(MOD(Y191,1000),"00"))</f>
        <v/>
      </c>
    </row>
    <row r="192">
      <c r="Y192" s="85">
        <f>IF(N(Y191)=0,"",IF(_xlfn.MAXIFS(tblSales[کلید فاکتور],tblSales[کلید فاکتور],"&lt;"&amp;Y191)=0,"",_xlfn.MAXIFS(tblSales[کلید فاکتور],tblSales[کلید فاکتور],"&lt;"&amp;Y191)))</f>
        <v/>
      </c>
      <c r="Z192">
        <f>IF(Y192="","","R-"&amp;INT(Y192/1000)&amp;"-"&amp;TEXT(MOD(Y192,1000),"00"))</f>
        <v/>
      </c>
    </row>
    <row r="193">
      <c r="Y193" s="85">
        <f>IF(N(Y192)=0,"",IF(_xlfn.MAXIFS(tblSales[کلید فاکتور],tblSales[کلید فاکتور],"&lt;"&amp;Y192)=0,"",_xlfn.MAXIFS(tblSales[کلید فاکتور],tblSales[کلید فاکتور],"&lt;"&amp;Y192)))</f>
        <v/>
      </c>
      <c r="Z193">
        <f>IF(Y193="","","R-"&amp;INT(Y193/1000)&amp;"-"&amp;TEXT(MOD(Y193,1000),"00"))</f>
        <v/>
      </c>
    </row>
    <row r="194">
      <c r="Y194" s="85">
        <f>IF(N(Y193)=0,"",IF(_xlfn.MAXIFS(tblSales[کلید فاکتور],tblSales[کلید فاکتور],"&lt;"&amp;Y193)=0,"",_xlfn.MAXIFS(tblSales[کلید فاکتور],tblSales[کلید فاکتور],"&lt;"&amp;Y193)))</f>
        <v/>
      </c>
      <c r="Z194">
        <f>IF(Y194="","","R-"&amp;INT(Y194/1000)&amp;"-"&amp;TEXT(MOD(Y194,1000),"00"))</f>
        <v/>
      </c>
    </row>
    <row r="195">
      <c r="Y195" s="85">
        <f>IF(N(Y194)=0,"",IF(_xlfn.MAXIFS(tblSales[کلید فاکتور],tblSales[کلید فاکتور],"&lt;"&amp;Y194)=0,"",_xlfn.MAXIFS(tblSales[کلید فاکتور],tblSales[کلید فاکتور],"&lt;"&amp;Y194)))</f>
        <v/>
      </c>
      <c r="Z195">
        <f>IF(Y195="","","R-"&amp;INT(Y195/1000)&amp;"-"&amp;TEXT(MOD(Y195,1000),"00"))</f>
        <v/>
      </c>
    </row>
    <row r="196">
      <c r="Y196" s="85">
        <f>IF(N(Y195)=0,"",IF(_xlfn.MAXIFS(tblSales[کلید فاکتور],tblSales[کلید فاکتور],"&lt;"&amp;Y195)=0,"",_xlfn.MAXIFS(tblSales[کلید فاکتور],tblSales[کلید فاکتور],"&lt;"&amp;Y195)))</f>
        <v/>
      </c>
      <c r="Z196">
        <f>IF(Y196="","","R-"&amp;INT(Y196/1000)&amp;"-"&amp;TEXT(MOD(Y196,1000),"00"))</f>
        <v/>
      </c>
    </row>
    <row r="197">
      <c r="Y197" s="85">
        <f>IF(N(Y196)=0,"",IF(_xlfn.MAXIFS(tblSales[کلید فاکتور],tblSales[کلید فاکتور],"&lt;"&amp;Y196)=0,"",_xlfn.MAXIFS(tblSales[کلید فاکتور],tblSales[کلید فاکتور],"&lt;"&amp;Y196)))</f>
        <v/>
      </c>
      <c r="Z197">
        <f>IF(Y197="","","R-"&amp;INT(Y197/1000)&amp;"-"&amp;TEXT(MOD(Y197,1000),"00"))</f>
        <v/>
      </c>
    </row>
    <row r="198">
      <c r="Y198" s="85">
        <f>IF(N(Y197)=0,"",IF(_xlfn.MAXIFS(tblSales[کلید فاکتور],tblSales[کلید فاکتور],"&lt;"&amp;Y197)=0,"",_xlfn.MAXIFS(tblSales[کلید فاکتور],tblSales[کلید فاکتور],"&lt;"&amp;Y197)))</f>
        <v/>
      </c>
      <c r="Z198">
        <f>IF(Y198="","","R-"&amp;INT(Y198/1000)&amp;"-"&amp;TEXT(MOD(Y198,1000),"00"))</f>
        <v/>
      </c>
    </row>
    <row r="199">
      <c r="Y199" s="85">
        <f>IF(N(Y198)=0,"",IF(_xlfn.MAXIFS(tblSales[کلید فاکتور],tblSales[کلید فاکتور],"&lt;"&amp;Y198)=0,"",_xlfn.MAXIFS(tblSales[کلید فاکتور],tblSales[کلید فاکتور],"&lt;"&amp;Y198)))</f>
        <v/>
      </c>
      <c r="Z199">
        <f>IF(Y199="","","R-"&amp;INT(Y199/1000)&amp;"-"&amp;TEXT(MOD(Y199,1000),"00"))</f>
        <v/>
      </c>
    </row>
    <row r="200">
      <c r="Y200" s="85">
        <f>IF(N(Y199)=0,"",IF(_xlfn.MAXIFS(tblSales[کلید فاکتور],tblSales[کلید فاکتور],"&lt;"&amp;Y199)=0,"",_xlfn.MAXIFS(tblSales[کلید فاکتور],tblSales[کلید فاکتور],"&lt;"&amp;Y199)))</f>
        <v/>
      </c>
      <c r="Z200">
        <f>IF(Y200="","","R-"&amp;INT(Y200/1000)&amp;"-"&amp;TEXT(MOD(Y200,1000),"00"))</f>
        <v/>
      </c>
    </row>
    <row r="201">
      <c r="Y201" s="85">
        <f>IF(N(Y200)=0,"",IF(_xlfn.MAXIFS(tblSales[کلید فاکتور],tblSales[کلید فاکتور],"&lt;"&amp;Y200)=0,"",_xlfn.MAXIFS(tblSales[کلید فاکتور],tblSales[کلید فاکتور],"&lt;"&amp;Y200)))</f>
        <v/>
      </c>
      <c r="Z201">
        <f>IF(Y201="","","R-"&amp;INT(Y201/1000)&amp;"-"&amp;TEXT(MOD(Y201,1000),"00"))</f>
        <v/>
      </c>
    </row>
    <row r="202">
      <c r="Y202" s="85">
        <f>IF(N(Y201)=0,"",IF(_xlfn.MAXIFS(tblSales[کلید فاکتور],tblSales[کلید فاکتور],"&lt;"&amp;Y201)=0,"",_xlfn.MAXIFS(tblSales[کلید فاکتور],tblSales[کلید فاکتور],"&lt;"&amp;Y201)))</f>
        <v/>
      </c>
      <c r="Z202">
        <f>IF(Y202="","","R-"&amp;INT(Y202/1000)&amp;"-"&amp;TEXT(MOD(Y202,1000),"00"))</f>
        <v/>
      </c>
    </row>
    <row r="203">
      <c r="Y203" s="85">
        <f>IF(N(Y202)=0,"",IF(_xlfn.MAXIFS(tblSales[کلید فاکتور],tblSales[کلید فاکتور],"&lt;"&amp;Y202)=0,"",_xlfn.MAXIFS(tblSales[کلید فاکتور],tblSales[کلید فاکتور],"&lt;"&amp;Y202)))</f>
        <v/>
      </c>
      <c r="Z203">
        <f>IF(Y203="","","R-"&amp;INT(Y203/1000)&amp;"-"&amp;TEXT(MOD(Y203,1000),"00"))</f>
        <v/>
      </c>
    </row>
    <row r="204">
      <c r="Y204" s="85">
        <f>IF(N(Y203)=0,"",IF(_xlfn.MAXIFS(tblSales[کلید فاکتور],tblSales[کلید فاکتور],"&lt;"&amp;Y203)=0,"",_xlfn.MAXIFS(tblSales[کلید فاکتور],tblSales[کلید فاکتور],"&lt;"&amp;Y203)))</f>
        <v/>
      </c>
      <c r="Z204">
        <f>IF(Y204="","","R-"&amp;INT(Y204/1000)&amp;"-"&amp;TEXT(MOD(Y204,1000),"00"))</f>
        <v/>
      </c>
    </row>
    <row r="205">
      <c r="Y205" s="85">
        <f>IF(N(Y204)=0,"",IF(_xlfn.MAXIFS(tblSales[کلید فاکتور],tblSales[کلید فاکتور],"&lt;"&amp;Y204)=0,"",_xlfn.MAXIFS(tblSales[کلید فاکتور],tblSales[کلید فاکتور],"&lt;"&amp;Y204)))</f>
        <v/>
      </c>
      <c r="Z205">
        <f>IF(Y205="","","R-"&amp;INT(Y205/1000)&amp;"-"&amp;TEXT(MOD(Y205,1000),"00"))</f>
        <v/>
      </c>
    </row>
    <row r="206">
      <c r="Y206" s="85">
        <f>IF(N(Y205)=0,"",IF(_xlfn.MAXIFS(tblSales[کلید فاکتور],tblSales[کلید فاکتور],"&lt;"&amp;Y205)=0,"",_xlfn.MAXIFS(tblSales[کلید فاکتور],tblSales[کلید فاکتور],"&lt;"&amp;Y205)))</f>
        <v/>
      </c>
      <c r="Z206">
        <f>IF(Y206="","","R-"&amp;INT(Y206/1000)&amp;"-"&amp;TEXT(MOD(Y206,1000),"00"))</f>
        <v/>
      </c>
    </row>
    <row r="207">
      <c r="Y207" s="85">
        <f>IF(N(Y206)=0,"",IF(_xlfn.MAXIFS(tblSales[کلید فاکتور],tblSales[کلید فاکتور],"&lt;"&amp;Y206)=0,"",_xlfn.MAXIFS(tblSales[کلید فاکتور],tblSales[کلید فاکتور],"&lt;"&amp;Y206)))</f>
        <v/>
      </c>
      <c r="Z207">
        <f>IF(Y207="","","R-"&amp;INT(Y207/1000)&amp;"-"&amp;TEXT(MOD(Y207,1000),"00"))</f>
        <v/>
      </c>
    </row>
    <row r="208">
      <c r="Y208" s="85">
        <f>IF(N(Y207)=0,"",IF(_xlfn.MAXIFS(tblSales[کلید فاکتور],tblSales[کلید فاکتور],"&lt;"&amp;Y207)=0,"",_xlfn.MAXIFS(tblSales[کلید فاکتور],tblSales[کلید فاکتور],"&lt;"&amp;Y207)))</f>
        <v/>
      </c>
      <c r="Z208">
        <f>IF(Y208="","","R-"&amp;INT(Y208/1000)&amp;"-"&amp;TEXT(MOD(Y208,1000),"00"))</f>
        <v/>
      </c>
    </row>
    <row r="209">
      <c r="Y209" s="85">
        <f>IF(N(Y208)=0,"",IF(_xlfn.MAXIFS(tblSales[کلید فاکتور],tblSales[کلید فاکتور],"&lt;"&amp;Y208)=0,"",_xlfn.MAXIFS(tblSales[کلید فاکتور],tblSales[کلید فاکتور],"&lt;"&amp;Y208)))</f>
        <v/>
      </c>
      <c r="Z209">
        <f>IF(Y209="","","R-"&amp;INT(Y209/1000)&amp;"-"&amp;TEXT(MOD(Y209,1000),"00"))</f>
        <v/>
      </c>
    </row>
    <row r="210">
      <c r="Y210" s="85">
        <f>IF(N(Y209)=0,"",IF(_xlfn.MAXIFS(tblSales[کلید فاکتور],tblSales[کلید فاکتور],"&lt;"&amp;Y209)=0,"",_xlfn.MAXIFS(tblSales[کلید فاکتور],tblSales[کلید فاکتور],"&lt;"&amp;Y209)))</f>
        <v/>
      </c>
      <c r="Z210">
        <f>IF(Y210="","","R-"&amp;INT(Y210/1000)&amp;"-"&amp;TEXT(MOD(Y210,1000),"00"))</f>
        <v/>
      </c>
    </row>
    <row r="211">
      <c r="Y211" s="85">
        <f>IF(N(Y210)=0,"",IF(_xlfn.MAXIFS(tblSales[کلید فاکتور],tblSales[کلید فاکتور],"&lt;"&amp;Y210)=0,"",_xlfn.MAXIFS(tblSales[کلید فاکتور],tblSales[کلید فاکتور],"&lt;"&amp;Y210)))</f>
        <v/>
      </c>
      <c r="Z211">
        <f>IF(Y211="","","R-"&amp;INT(Y211/1000)&amp;"-"&amp;TEXT(MOD(Y211,1000),"00"))</f>
        <v/>
      </c>
    </row>
    <row r="212">
      <c r="Y212" s="85">
        <f>IF(N(Y211)=0,"",IF(_xlfn.MAXIFS(tblSales[کلید فاکتور],tblSales[کلید فاکتور],"&lt;"&amp;Y211)=0,"",_xlfn.MAXIFS(tblSales[کلید فاکتور],tblSales[کلید فاکتور],"&lt;"&amp;Y211)))</f>
        <v/>
      </c>
      <c r="Z212">
        <f>IF(Y212="","","R-"&amp;INT(Y212/1000)&amp;"-"&amp;TEXT(MOD(Y212,1000),"00"))</f>
        <v/>
      </c>
    </row>
    <row r="213">
      <c r="Y213" s="85">
        <f>IF(N(Y212)=0,"",IF(_xlfn.MAXIFS(tblSales[کلید فاکتور],tblSales[کلید فاکتور],"&lt;"&amp;Y212)=0,"",_xlfn.MAXIFS(tblSales[کلید فاکتور],tblSales[کلید فاکتور],"&lt;"&amp;Y212)))</f>
        <v/>
      </c>
      <c r="Z213">
        <f>IF(Y213="","","R-"&amp;INT(Y213/1000)&amp;"-"&amp;TEXT(MOD(Y213,1000),"00"))</f>
        <v/>
      </c>
    </row>
    <row r="214">
      <c r="Y214" s="85">
        <f>IF(N(Y213)=0,"",IF(_xlfn.MAXIFS(tblSales[کلید فاکتور],tblSales[کلید فاکتور],"&lt;"&amp;Y213)=0,"",_xlfn.MAXIFS(tblSales[کلید فاکتور],tblSales[کلید فاکتور],"&lt;"&amp;Y213)))</f>
        <v/>
      </c>
      <c r="Z214">
        <f>IF(Y214="","","R-"&amp;INT(Y214/1000)&amp;"-"&amp;TEXT(MOD(Y214,1000),"00"))</f>
        <v/>
      </c>
    </row>
    <row r="215">
      <c r="Y215" s="85">
        <f>IF(N(Y214)=0,"",IF(_xlfn.MAXIFS(tblSales[کلید فاکتور],tblSales[کلید فاکتور],"&lt;"&amp;Y214)=0,"",_xlfn.MAXIFS(tblSales[کلید فاکتور],tblSales[کلید فاکتور],"&lt;"&amp;Y214)))</f>
        <v/>
      </c>
      <c r="Z215">
        <f>IF(Y215="","","R-"&amp;INT(Y215/1000)&amp;"-"&amp;TEXT(MOD(Y215,1000),"00"))</f>
        <v/>
      </c>
    </row>
    <row r="216">
      <c r="Y216" s="85">
        <f>IF(N(Y215)=0,"",IF(_xlfn.MAXIFS(tblSales[کلید فاکتور],tblSales[کلید فاکتور],"&lt;"&amp;Y215)=0,"",_xlfn.MAXIFS(tblSales[کلید فاکتور],tblSales[کلید فاکتور],"&lt;"&amp;Y215)))</f>
        <v/>
      </c>
      <c r="Z216">
        <f>IF(Y216="","","R-"&amp;INT(Y216/1000)&amp;"-"&amp;TEXT(MOD(Y216,1000),"00"))</f>
        <v/>
      </c>
    </row>
    <row r="217">
      <c r="Y217" s="85">
        <f>IF(N(Y216)=0,"",IF(_xlfn.MAXIFS(tblSales[کلید فاکتور],tblSales[کلید فاکتور],"&lt;"&amp;Y216)=0,"",_xlfn.MAXIFS(tblSales[کلید فاکتور],tblSales[کلید فاکتور],"&lt;"&amp;Y216)))</f>
        <v/>
      </c>
      <c r="Z217">
        <f>IF(Y217="","","R-"&amp;INT(Y217/1000)&amp;"-"&amp;TEXT(MOD(Y217,1000),"00"))</f>
        <v/>
      </c>
    </row>
    <row r="218">
      <c r="Y218" s="85">
        <f>IF(N(Y217)=0,"",IF(_xlfn.MAXIFS(tblSales[کلید فاکتور],tblSales[کلید فاکتور],"&lt;"&amp;Y217)=0,"",_xlfn.MAXIFS(tblSales[کلید فاکتور],tblSales[کلید فاکتور],"&lt;"&amp;Y217)))</f>
        <v/>
      </c>
      <c r="Z218">
        <f>IF(Y218="","","R-"&amp;INT(Y218/1000)&amp;"-"&amp;TEXT(MOD(Y218,1000),"00"))</f>
        <v/>
      </c>
    </row>
    <row r="219">
      <c r="Y219" s="85">
        <f>IF(N(Y218)=0,"",IF(_xlfn.MAXIFS(tblSales[کلید فاکتور],tblSales[کلید فاکتور],"&lt;"&amp;Y218)=0,"",_xlfn.MAXIFS(tblSales[کلید فاکتور],tblSales[کلید فاکتور],"&lt;"&amp;Y218)))</f>
        <v/>
      </c>
      <c r="Z219">
        <f>IF(Y219="","","R-"&amp;INT(Y219/1000)&amp;"-"&amp;TEXT(MOD(Y219,1000),"00"))</f>
        <v/>
      </c>
    </row>
    <row r="220">
      <c r="Y220" s="85">
        <f>IF(N(Y219)=0,"",IF(_xlfn.MAXIFS(tblSales[کلید فاکتور],tblSales[کلید فاکتور],"&lt;"&amp;Y219)=0,"",_xlfn.MAXIFS(tblSales[کلید فاکتور],tblSales[کلید فاکتور],"&lt;"&amp;Y219)))</f>
        <v/>
      </c>
      <c r="Z220">
        <f>IF(Y220="","","R-"&amp;INT(Y220/1000)&amp;"-"&amp;TEXT(MOD(Y220,1000),"00"))</f>
        <v/>
      </c>
    </row>
    <row r="221">
      <c r="Y221" s="85">
        <f>IF(N(Y220)=0,"",IF(_xlfn.MAXIFS(tblSales[کلید فاکتور],tblSales[کلید فاکتور],"&lt;"&amp;Y220)=0,"",_xlfn.MAXIFS(tblSales[کلید فاکتور],tblSales[کلید فاکتور],"&lt;"&amp;Y220)))</f>
        <v/>
      </c>
      <c r="Z221">
        <f>IF(Y221="","","R-"&amp;INT(Y221/1000)&amp;"-"&amp;TEXT(MOD(Y221,1000),"00"))</f>
        <v/>
      </c>
    </row>
    <row r="222">
      <c r="Y222" s="85">
        <f>IF(N(Y221)=0,"",IF(_xlfn.MAXIFS(tblSales[کلید فاکتور],tblSales[کلید فاکتور],"&lt;"&amp;Y221)=0,"",_xlfn.MAXIFS(tblSales[کلید فاکتور],tblSales[کلید فاکتور],"&lt;"&amp;Y221)))</f>
        <v/>
      </c>
      <c r="Z222">
        <f>IF(Y222="","","R-"&amp;INT(Y222/1000)&amp;"-"&amp;TEXT(MOD(Y222,1000),"00"))</f>
        <v/>
      </c>
    </row>
    <row r="223">
      <c r="Y223" s="85">
        <f>IF(N(Y222)=0,"",IF(_xlfn.MAXIFS(tblSales[کلید فاکتور],tblSales[کلید فاکتور],"&lt;"&amp;Y222)=0,"",_xlfn.MAXIFS(tblSales[کلید فاکتور],tblSales[کلید فاکتور],"&lt;"&amp;Y222)))</f>
        <v/>
      </c>
      <c r="Z223">
        <f>IF(Y223="","","R-"&amp;INT(Y223/1000)&amp;"-"&amp;TEXT(MOD(Y223,1000),"00"))</f>
        <v/>
      </c>
    </row>
    <row r="224">
      <c r="Y224" s="85">
        <f>IF(N(Y223)=0,"",IF(_xlfn.MAXIFS(tblSales[کلید فاکتور],tblSales[کلید فاکتور],"&lt;"&amp;Y223)=0,"",_xlfn.MAXIFS(tblSales[کلید فاکتور],tblSales[کلید فاکتور],"&lt;"&amp;Y223)))</f>
        <v/>
      </c>
      <c r="Z224">
        <f>IF(Y224="","","R-"&amp;INT(Y224/1000)&amp;"-"&amp;TEXT(MOD(Y224,1000),"00"))</f>
        <v/>
      </c>
    </row>
    <row r="225">
      <c r="Y225" s="85">
        <f>IF(N(Y224)=0,"",IF(_xlfn.MAXIFS(tblSales[کلید فاکتور],tblSales[کلید فاکتور],"&lt;"&amp;Y224)=0,"",_xlfn.MAXIFS(tblSales[کلید فاکتور],tblSales[کلید فاکتور],"&lt;"&amp;Y224)))</f>
        <v/>
      </c>
      <c r="Z225">
        <f>IF(Y225="","","R-"&amp;INT(Y225/1000)&amp;"-"&amp;TEXT(MOD(Y225,1000),"00"))</f>
        <v/>
      </c>
    </row>
    <row r="226">
      <c r="Y226" s="85">
        <f>IF(N(Y225)=0,"",IF(_xlfn.MAXIFS(tblSales[کلید فاکتور],tblSales[کلید فاکتور],"&lt;"&amp;Y225)=0,"",_xlfn.MAXIFS(tblSales[کلید فاکتور],tblSales[کلید فاکتور],"&lt;"&amp;Y225)))</f>
        <v/>
      </c>
      <c r="Z226">
        <f>IF(Y226="","","R-"&amp;INT(Y226/1000)&amp;"-"&amp;TEXT(MOD(Y226,1000),"00"))</f>
        <v/>
      </c>
    </row>
    <row r="227">
      <c r="Y227" s="85">
        <f>IF(N(Y226)=0,"",IF(_xlfn.MAXIFS(tblSales[کلید فاکتور],tblSales[کلید فاکتور],"&lt;"&amp;Y226)=0,"",_xlfn.MAXIFS(tblSales[کلید فاکتور],tblSales[کلید فاکتور],"&lt;"&amp;Y226)))</f>
        <v/>
      </c>
      <c r="Z227">
        <f>IF(Y227="","","R-"&amp;INT(Y227/1000)&amp;"-"&amp;TEXT(MOD(Y227,1000),"00"))</f>
        <v/>
      </c>
    </row>
    <row r="228">
      <c r="Y228" s="85">
        <f>IF(N(Y227)=0,"",IF(_xlfn.MAXIFS(tblSales[کلید فاکتور],tblSales[کلید فاکتور],"&lt;"&amp;Y227)=0,"",_xlfn.MAXIFS(tblSales[کلید فاکتور],tblSales[کلید فاکتور],"&lt;"&amp;Y227)))</f>
        <v/>
      </c>
      <c r="Z228">
        <f>IF(Y228="","","R-"&amp;INT(Y228/1000)&amp;"-"&amp;TEXT(MOD(Y228,1000),"00"))</f>
        <v/>
      </c>
    </row>
    <row r="229">
      <c r="Y229" s="85">
        <f>IF(N(Y228)=0,"",IF(_xlfn.MAXIFS(tblSales[کلید فاکتور],tblSales[کلید فاکتور],"&lt;"&amp;Y228)=0,"",_xlfn.MAXIFS(tblSales[کلید فاکتور],tblSales[کلید فاکتور],"&lt;"&amp;Y228)))</f>
        <v/>
      </c>
      <c r="Z229">
        <f>IF(Y229="","","R-"&amp;INT(Y229/1000)&amp;"-"&amp;TEXT(MOD(Y229,1000),"00"))</f>
        <v/>
      </c>
    </row>
    <row r="230">
      <c r="Y230" s="85">
        <f>IF(N(Y229)=0,"",IF(_xlfn.MAXIFS(tblSales[کلید فاکتور],tblSales[کلید فاکتور],"&lt;"&amp;Y229)=0,"",_xlfn.MAXIFS(tblSales[کلید فاکتور],tblSales[کلید فاکتور],"&lt;"&amp;Y229)))</f>
        <v/>
      </c>
      <c r="Z230">
        <f>IF(Y230="","","R-"&amp;INT(Y230/1000)&amp;"-"&amp;TEXT(MOD(Y230,1000),"00"))</f>
        <v/>
      </c>
    </row>
    <row r="231">
      <c r="Y231" s="85">
        <f>IF(N(Y230)=0,"",IF(_xlfn.MAXIFS(tblSales[کلید فاکتور],tblSales[کلید فاکتور],"&lt;"&amp;Y230)=0,"",_xlfn.MAXIFS(tblSales[کلید فاکتور],tblSales[کلید فاکتور],"&lt;"&amp;Y230)))</f>
        <v/>
      </c>
      <c r="Z231">
        <f>IF(Y231="","","R-"&amp;INT(Y231/1000)&amp;"-"&amp;TEXT(MOD(Y231,1000),"00"))</f>
        <v/>
      </c>
    </row>
    <row r="232">
      <c r="Y232" s="85">
        <f>IF(N(Y231)=0,"",IF(_xlfn.MAXIFS(tblSales[کلید فاکتور],tblSales[کلید فاکتور],"&lt;"&amp;Y231)=0,"",_xlfn.MAXIFS(tblSales[کلید فاکتور],tblSales[کلید فاکتور],"&lt;"&amp;Y231)))</f>
        <v/>
      </c>
      <c r="Z232">
        <f>IF(Y232="","","R-"&amp;INT(Y232/1000)&amp;"-"&amp;TEXT(MOD(Y232,1000),"00"))</f>
        <v/>
      </c>
    </row>
    <row r="233">
      <c r="Y233" s="85">
        <f>IF(N(Y232)=0,"",IF(_xlfn.MAXIFS(tblSales[کلید فاکتور],tblSales[کلید فاکتور],"&lt;"&amp;Y232)=0,"",_xlfn.MAXIFS(tblSales[کلید فاکتور],tblSales[کلید فاکتور],"&lt;"&amp;Y232)))</f>
        <v/>
      </c>
      <c r="Z233">
        <f>IF(Y233="","","R-"&amp;INT(Y233/1000)&amp;"-"&amp;TEXT(MOD(Y233,1000),"00"))</f>
        <v/>
      </c>
    </row>
    <row r="234">
      <c r="Y234" s="85">
        <f>IF(N(Y233)=0,"",IF(_xlfn.MAXIFS(tblSales[کلید فاکتور],tblSales[کلید فاکتور],"&lt;"&amp;Y233)=0,"",_xlfn.MAXIFS(tblSales[کلید فاکتور],tblSales[کلید فاکتور],"&lt;"&amp;Y233)))</f>
        <v/>
      </c>
      <c r="Z234">
        <f>IF(Y234="","","R-"&amp;INT(Y234/1000)&amp;"-"&amp;TEXT(MOD(Y234,1000),"00"))</f>
        <v/>
      </c>
    </row>
    <row r="235">
      <c r="Y235" s="85">
        <f>IF(N(Y234)=0,"",IF(_xlfn.MAXIFS(tblSales[کلید فاکتور],tblSales[کلید فاکتور],"&lt;"&amp;Y234)=0,"",_xlfn.MAXIFS(tblSales[کلید فاکتور],tblSales[کلید فاکتور],"&lt;"&amp;Y234)))</f>
        <v/>
      </c>
      <c r="Z235">
        <f>IF(Y235="","","R-"&amp;INT(Y235/1000)&amp;"-"&amp;TEXT(MOD(Y235,1000),"00"))</f>
        <v/>
      </c>
    </row>
    <row r="236">
      <c r="Y236" s="85">
        <f>IF(N(Y235)=0,"",IF(_xlfn.MAXIFS(tblSales[کلید فاکتور],tblSales[کلید فاکتور],"&lt;"&amp;Y235)=0,"",_xlfn.MAXIFS(tblSales[کلید فاکتور],tblSales[کلید فاکتور],"&lt;"&amp;Y235)))</f>
        <v/>
      </c>
      <c r="Z236">
        <f>IF(Y236="","","R-"&amp;INT(Y236/1000)&amp;"-"&amp;TEXT(MOD(Y236,1000),"00"))</f>
        <v/>
      </c>
    </row>
    <row r="237">
      <c r="Y237" s="85">
        <f>IF(N(Y236)=0,"",IF(_xlfn.MAXIFS(tblSales[کلید فاکتور],tblSales[کلید فاکتور],"&lt;"&amp;Y236)=0,"",_xlfn.MAXIFS(tblSales[کلید فاکتور],tblSales[کلید فاکتور],"&lt;"&amp;Y236)))</f>
        <v/>
      </c>
      <c r="Z237">
        <f>IF(Y237="","","R-"&amp;INT(Y237/1000)&amp;"-"&amp;TEXT(MOD(Y237,1000),"00"))</f>
        <v/>
      </c>
    </row>
    <row r="238">
      <c r="Y238" s="85">
        <f>IF(N(Y237)=0,"",IF(_xlfn.MAXIFS(tblSales[کلید فاکتور],tblSales[کلید فاکتور],"&lt;"&amp;Y237)=0,"",_xlfn.MAXIFS(tblSales[کلید فاکتور],tblSales[کلید فاکتور],"&lt;"&amp;Y237)))</f>
        <v/>
      </c>
      <c r="Z238">
        <f>IF(Y238="","","R-"&amp;INT(Y238/1000)&amp;"-"&amp;TEXT(MOD(Y238,1000),"00"))</f>
        <v/>
      </c>
    </row>
    <row r="239">
      <c r="Y239" s="85">
        <f>IF(N(Y238)=0,"",IF(_xlfn.MAXIFS(tblSales[کلید فاکتور],tblSales[کلید فاکتور],"&lt;"&amp;Y238)=0,"",_xlfn.MAXIFS(tblSales[کلید فاکتور],tblSales[کلید فاکتور],"&lt;"&amp;Y238)))</f>
        <v/>
      </c>
      <c r="Z239">
        <f>IF(Y239="","","R-"&amp;INT(Y239/1000)&amp;"-"&amp;TEXT(MOD(Y239,1000),"00"))</f>
        <v/>
      </c>
    </row>
    <row r="240">
      <c r="Y240" s="85">
        <f>IF(N(Y239)=0,"",IF(_xlfn.MAXIFS(tblSales[کلید فاکتور],tblSales[کلید فاکتور],"&lt;"&amp;Y239)=0,"",_xlfn.MAXIFS(tblSales[کلید فاکتور],tblSales[کلید فاکتور],"&lt;"&amp;Y239)))</f>
        <v/>
      </c>
      <c r="Z240">
        <f>IF(Y240="","","R-"&amp;INT(Y240/1000)&amp;"-"&amp;TEXT(MOD(Y240,1000),"00"))</f>
        <v/>
      </c>
    </row>
    <row r="241">
      <c r="Y241" s="85">
        <f>IF(N(Y240)=0,"",IF(_xlfn.MAXIFS(tblSales[کلید فاکتور],tblSales[کلید فاکتور],"&lt;"&amp;Y240)=0,"",_xlfn.MAXIFS(tblSales[کلید فاکتور],tblSales[کلید فاکتور],"&lt;"&amp;Y240)))</f>
        <v/>
      </c>
      <c r="Z241">
        <f>IF(Y241="","","R-"&amp;INT(Y241/1000)&amp;"-"&amp;TEXT(MOD(Y241,1000),"00"))</f>
        <v/>
      </c>
    </row>
    <row r="242">
      <c r="Y242" s="85">
        <f>IF(N(Y241)=0,"",IF(_xlfn.MAXIFS(tblSales[کلید فاکتور],tblSales[کلید فاکتور],"&lt;"&amp;Y241)=0,"",_xlfn.MAXIFS(tblSales[کلید فاکتور],tblSales[کلید فاکتور],"&lt;"&amp;Y241)))</f>
        <v/>
      </c>
      <c r="Z242">
        <f>IF(Y242="","","R-"&amp;INT(Y242/1000)&amp;"-"&amp;TEXT(MOD(Y242,1000),"00"))</f>
        <v/>
      </c>
    </row>
    <row r="243">
      <c r="Y243" s="85">
        <f>IF(N(Y242)=0,"",IF(_xlfn.MAXIFS(tblSales[کلید فاکتور],tblSales[کلید فاکتور],"&lt;"&amp;Y242)=0,"",_xlfn.MAXIFS(tblSales[کلید فاکتور],tblSales[کلید فاکتور],"&lt;"&amp;Y242)))</f>
        <v/>
      </c>
      <c r="Z243">
        <f>IF(Y243="","","R-"&amp;INT(Y243/1000)&amp;"-"&amp;TEXT(MOD(Y243,1000),"00"))</f>
        <v/>
      </c>
    </row>
    <row r="244">
      <c r="Y244" s="85">
        <f>IF(N(Y243)=0,"",IF(_xlfn.MAXIFS(tblSales[کلید فاکتور],tblSales[کلید فاکتور],"&lt;"&amp;Y243)=0,"",_xlfn.MAXIFS(tblSales[کلید فاکتور],tblSales[کلید فاکتور],"&lt;"&amp;Y243)))</f>
        <v/>
      </c>
      <c r="Z244">
        <f>IF(Y244="","","R-"&amp;INT(Y244/1000)&amp;"-"&amp;TEXT(MOD(Y244,1000),"00"))</f>
        <v/>
      </c>
    </row>
    <row r="245">
      <c r="Y245" s="85">
        <f>IF(N(Y244)=0,"",IF(_xlfn.MAXIFS(tblSales[کلید فاکتور],tblSales[کلید فاکتور],"&lt;"&amp;Y244)=0,"",_xlfn.MAXIFS(tblSales[کلید فاکتور],tblSales[کلید فاکتور],"&lt;"&amp;Y244)))</f>
        <v/>
      </c>
      <c r="Z245">
        <f>IF(Y245="","","R-"&amp;INT(Y245/1000)&amp;"-"&amp;TEXT(MOD(Y245,1000),"00"))</f>
        <v/>
      </c>
    </row>
    <row r="246">
      <c r="Y246" s="85">
        <f>IF(N(Y245)=0,"",IF(_xlfn.MAXIFS(tblSales[کلید فاکتور],tblSales[کلید فاکتور],"&lt;"&amp;Y245)=0,"",_xlfn.MAXIFS(tblSales[کلید فاکتور],tblSales[کلید فاکتور],"&lt;"&amp;Y245)))</f>
        <v/>
      </c>
      <c r="Z246">
        <f>IF(Y246="","","R-"&amp;INT(Y246/1000)&amp;"-"&amp;TEXT(MOD(Y246,1000),"00"))</f>
        <v/>
      </c>
    </row>
    <row r="247">
      <c r="Y247" s="85">
        <f>IF(N(Y246)=0,"",IF(_xlfn.MAXIFS(tblSales[کلید فاکتور],tblSales[کلید فاکتور],"&lt;"&amp;Y246)=0,"",_xlfn.MAXIFS(tblSales[کلید فاکتور],tblSales[کلید فاکتور],"&lt;"&amp;Y246)))</f>
        <v/>
      </c>
      <c r="Z247">
        <f>IF(Y247="","","R-"&amp;INT(Y247/1000)&amp;"-"&amp;TEXT(MOD(Y247,1000),"00"))</f>
        <v/>
      </c>
    </row>
    <row r="248">
      <c r="Y248" s="85">
        <f>IF(N(Y247)=0,"",IF(_xlfn.MAXIFS(tblSales[کلید فاکتور],tblSales[کلید فاکتور],"&lt;"&amp;Y247)=0,"",_xlfn.MAXIFS(tblSales[کلید فاکتور],tblSales[کلید فاکتور],"&lt;"&amp;Y247)))</f>
        <v/>
      </c>
      <c r="Z248">
        <f>IF(Y248="","","R-"&amp;INT(Y248/1000)&amp;"-"&amp;TEXT(MOD(Y248,1000),"00"))</f>
        <v/>
      </c>
    </row>
    <row r="249">
      <c r="Y249" s="85">
        <f>IF(N(Y248)=0,"",IF(_xlfn.MAXIFS(tblSales[کلید فاکتور],tblSales[کلید فاکتور],"&lt;"&amp;Y248)=0,"",_xlfn.MAXIFS(tblSales[کلید فاکتور],tblSales[کلید فاکتور],"&lt;"&amp;Y248)))</f>
        <v/>
      </c>
      <c r="Z249">
        <f>IF(Y249="","","R-"&amp;INT(Y249/1000)&amp;"-"&amp;TEXT(MOD(Y249,1000),"00"))</f>
        <v/>
      </c>
    </row>
    <row r="250">
      <c r="Y250" s="85">
        <f>IF(N(Y249)=0,"",IF(_xlfn.MAXIFS(tblSales[کلید فاکتور],tblSales[کلید فاکتور],"&lt;"&amp;Y249)=0,"",_xlfn.MAXIFS(tblSales[کلید فاکتور],tblSales[کلید فاکتور],"&lt;"&amp;Y249)))</f>
        <v/>
      </c>
      <c r="Z250">
        <f>IF(Y250="","","R-"&amp;INT(Y250/1000)&amp;"-"&amp;TEXT(MOD(Y250,1000),"00"))</f>
        <v/>
      </c>
    </row>
    <row r="251">
      <c r="Y251" s="85">
        <f>IF(N(Y250)=0,"",IF(_xlfn.MAXIFS(tblSales[کلید فاکتور],tblSales[کلید فاکتور],"&lt;"&amp;Y250)=0,"",_xlfn.MAXIFS(tblSales[کلید فاکتور],tblSales[کلید فاکتور],"&lt;"&amp;Y250)))</f>
        <v/>
      </c>
      <c r="Z251">
        <f>IF(Y251="","","R-"&amp;INT(Y251/1000)&amp;"-"&amp;TEXT(MOD(Y251,1000),"00"))</f>
        <v/>
      </c>
    </row>
    <row r="252">
      <c r="Y252" s="85">
        <f>IF(N(Y251)=0,"",IF(_xlfn.MAXIFS(tblSales[کلید فاکتور],tblSales[کلید فاکتور],"&lt;"&amp;Y251)=0,"",_xlfn.MAXIFS(tblSales[کلید فاکتور],tblSales[کلید فاکتور],"&lt;"&amp;Y251)))</f>
        <v/>
      </c>
      <c r="Z252">
        <f>IF(Y252="","","R-"&amp;INT(Y252/1000)&amp;"-"&amp;TEXT(MOD(Y252,1000),"00"))</f>
        <v/>
      </c>
    </row>
    <row r="253">
      <c r="Y253" s="85">
        <f>IF(N(Y252)=0,"",IF(_xlfn.MAXIFS(tblSales[کلید فاکتور],tblSales[کلید فاکتور],"&lt;"&amp;Y252)=0,"",_xlfn.MAXIFS(tblSales[کلید فاکتور],tblSales[کلید فاکتور],"&lt;"&amp;Y252)))</f>
        <v/>
      </c>
      <c r="Z253">
        <f>IF(Y253="","","R-"&amp;INT(Y253/1000)&amp;"-"&amp;TEXT(MOD(Y253,1000),"00"))</f>
        <v/>
      </c>
    </row>
    <row r="254">
      <c r="Y254" s="85">
        <f>IF(N(Y253)=0,"",IF(_xlfn.MAXIFS(tblSales[کلید فاکتور],tblSales[کلید فاکتور],"&lt;"&amp;Y253)=0,"",_xlfn.MAXIFS(tblSales[کلید فاکتور],tblSales[کلید فاکتور],"&lt;"&amp;Y253)))</f>
        <v/>
      </c>
      <c r="Z254">
        <f>IF(Y254="","","R-"&amp;INT(Y254/1000)&amp;"-"&amp;TEXT(MOD(Y254,1000),"00"))</f>
        <v/>
      </c>
    </row>
    <row r="255">
      <c r="Y255" s="85">
        <f>IF(N(Y254)=0,"",IF(_xlfn.MAXIFS(tblSales[کلید فاکتور],tblSales[کلید فاکتور],"&lt;"&amp;Y254)=0,"",_xlfn.MAXIFS(tblSales[کلید فاکتور],tblSales[کلید فاکتور],"&lt;"&amp;Y254)))</f>
        <v/>
      </c>
      <c r="Z255">
        <f>IF(Y255="","","R-"&amp;INT(Y255/1000)&amp;"-"&amp;TEXT(MOD(Y255,1000),"00"))</f>
        <v/>
      </c>
    </row>
    <row r="256">
      <c r="Y256" s="85">
        <f>IF(N(Y255)=0,"",IF(_xlfn.MAXIFS(tblSales[کلید فاکتور],tblSales[کلید فاکتور],"&lt;"&amp;Y255)=0,"",_xlfn.MAXIFS(tblSales[کلید فاکتور],tblSales[کلید فاکتور],"&lt;"&amp;Y255)))</f>
        <v/>
      </c>
      <c r="Z256">
        <f>IF(Y256="","","R-"&amp;INT(Y256/1000)&amp;"-"&amp;TEXT(MOD(Y256,1000),"00"))</f>
        <v/>
      </c>
    </row>
    <row r="257">
      <c r="Y257" s="85">
        <f>IF(N(Y256)=0,"",IF(_xlfn.MAXIFS(tblSales[کلید فاکتور],tblSales[کلید فاکتور],"&lt;"&amp;Y256)=0,"",_xlfn.MAXIFS(tblSales[کلید فاکتور],tblSales[کلید فاکتور],"&lt;"&amp;Y256)))</f>
        <v/>
      </c>
      <c r="Z257">
        <f>IF(Y257="","","R-"&amp;INT(Y257/1000)&amp;"-"&amp;TEXT(MOD(Y257,1000),"00"))</f>
        <v/>
      </c>
    </row>
    <row r="258">
      <c r="Y258" s="85">
        <f>IF(N(Y257)=0,"",IF(_xlfn.MAXIFS(tblSales[کلید فاکتور],tblSales[کلید فاکتور],"&lt;"&amp;Y257)=0,"",_xlfn.MAXIFS(tblSales[کلید فاکتور],tblSales[کلید فاکتور],"&lt;"&amp;Y257)))</f>
        <v/>
      </c>
      <c r="Z258">
        <f>IF(Y258="","","R-"&amp;INT(Y258/1000)&amp;"-"&amp;TEXT(MOD(Y258,1000),"00"))</f>
        <v/>
      </c>
    </row>
    <row r="259">
      <c r="Y259" s="85">
        <f>IF(N(Y258)=0,"",IF(_xlfn.MAXIFS(tblSales[کلید فاکتور],tblSales[کلید فاکتور],"&lt;"&amp;Y258)=0,"",_xlfn.MAXIFS(tblSales[کلید فاکتور],tblSales[کلید فاکتور],"&lt;"&amp;Y258)))</f>
        <v/>
      </c>
      <c r="Z259">
        <f>IF(Y259="","","R-"&amp;INT(Y259/1000)&amp;"-"&amp;TEXT(MOD(Y259,1000),"00"))</f>
        <v/>
      </c>
    </row>
    <row r="260">
      <c r="Y260" s="85">
        <f>IF(N(Y259)=0,"",IF(_xlfn.MAXIFS(tblSales[کلید فاکتور],tblSales[کلید فاکتور],"&lt;"&amp;Y259)=0,"",_xlfn.MAXIFS(tblSales[کلید فاکتور],tblSales[کلید فاکتور],"&lt;"&amp;Y259)))</f>
        <v/>
      </c>
      <c r="Z260">
        <f>IF(Y260="","","R-"&amp;INT(Y260/1000)&amp;"-"&amp;TEXT(MOD(Y260,1000),"00"))</f>
        <v/>
      </c>
    </row>
    <row r="261">
      <c r="Y261" s="85">
        <f>IF(N(Y260)=0,"",IF(_xlfn.MAXIFS(tblSales[کلید فاکتور],tblSales[کلید فاکتور],"&lt;"&amp;Y260)=0,"",_xlfn.MAXIFS(tblSales[کلید فاکتور],tblSales[کلید فاکتور],"&lt;"&amp;Y260)))</f>
        <v/>
      </c>
      <c r="Z261">
        <f>IF(Y261="","","R-"&amp;INT(Y261/1000)&amp;"-"&amp;TEXT(MOD(Y261,1000),"00"))</f>
        <v/>
      </c>
    </row>
    <row r="262">
      <c r="Y262" s="85">
        <f>IF(N(Y261)=0,"",IF(_xlfn.MAXIFS(tblSales[کلید فاکتور],tblSales[کلید فاکتور],"&lt;"&amp;Y261)=0,"",_xlfn.MAXIFS(tblSales[کلید فاکتور],tblSales[کلید فاکتور],"&lt;"&amp;Y261)))</f>
        <v/>
      </c>
      <c r="Z262">
        <f>IF(Y262="","","R-"&amp;INT(Y262/1000)&amp;"-"&amp;TEXT(MOD(Y262,1000),"00"))</f>
        <v/>
      </c>
    </row>
    <row r="263">
      <c r="Y263" s="85">
        <f>IF(N(Y262)=0,"",IF(_xlfn.MAXIFS(tblSales[کلید فاکتور],tblSales[کلید فاکتور],"&lt;"&amp;Y262)=0,"",_xlfn.MAXIFS(tblSales[کلید فاکتور],tblSales[کلید فاکتور],"&lt;"&amp;Y262)))</f>
        <v/>
      </c>
      <c r="Z263">
        <f>IF(Y263="","","R-"&amp;INT(Y263/1000)&amp;"-"&amp;TEXT(MOD(Y263,1000),"00"))</f>
        <v/>
      </c>
    </row>
    <row r="264">
      <c r="Y264" s="85">
        <f>IF(N(Y263)=0,"",IF(_xlfn.MAXIFS(tblSales[کلید فاکتور],tblSales[کلید فاکتور],"&lt;"&amp;Y263)=0,"",_xlfn.MAXIFS(tblSales[کلید فاکتور],tblSales[کلید فاکتور],"&lt;"&amp;Y263)))</f>
        <v/>
      </c>
      <c r="Z264">
        <f>IF(Y264="","","R-"&amp;INT(Y264/1000)&amp;"-"&amp;TEXT(MOD(Y264,1000),"00"))</f>
        <v/>
      </c>
    </row>
    <row r="265">
      <c r="Y265" s="85">
        <f>IF(N(Y264)=0,"",IF(_xlfn.MAXIFS(tblSales[کلید فاکتور],tblSales[کلید فاکتور],"&lt;"&amp;Y264)=0,"",_xlfn.MAXIFS(tblSales[کلید فاکتور],tblSales[کلید فاکتور],"&lt;"&amp;Y264)))</f>
        <v/>
      </c>
      <c r="Z265">
        <f>IF(Y265="","","R-"&amp;INT(Y265/1000)&amp;"-"&amp;TEXT(MOD(Y265,1000),"00"))</f>
        <v/>
      </c>
    </row>
    <row r="266">
      <c r="Y266" s="85">
        <f>IF(N(Y265)=0,"",IF(_xlfn.MAXIFS(tblSales[کلید فاکتور],tblSales[کلید فاکتور],"&lt;"&amp;Y265)=0,"",_xlfn.MAXIFS(tblSales[کلید فاکتور],tblSales[کلید فاکتور],"&lt;"&amp;Y265)))</f>
        <v/>
      </c>
      <c r="Z266">
        <f>IF(Y266="","","R-"&amp;INT(Y266/1000)&amp;"-"&amp;TEXT(MOD(Y266,1000),"00"))</f>
        <v/>
      </c>
    </row>
    <row r="267">
      <c r="Y267" s="85">
        <f>IF(N(Y266)=0,"",IF(_xlfn.MAXIFS(tblSales[کلید فاکتور],tblSales[کلید فاکتور],"&lt;"&amp;Y266)=0,"",_xlfn.MAXIFS(tblSales[کلید فاکتور],tblSales[کلید فاکتور],"&lt;"&amp;Y266)))</f>
        <v/>
      </c>
      <c r="Z267">
        <f>IF(Y267="","","R-"&amp;INT(Y267/1000)&amp;"-"&amp;TEXT(MOD(Y267,1000),"00"))</f>
        <v/>
      </c>
    </row>
    <row r="268">
      <c r="Y268" s="85">
        <f>IF(N(Y267)=0,"",IF(_xlfn.MAXIFS(tblSales[کلید فاکتور],tblSales[کلید فاکتور],"&lt;"&amp;Y267)=0,"",_xlfn.MAXIFS(tblSales[کلید فاکتور],tblSales[کلید فاکتور],"&lt;"&amp;Y267)))</f>
        <v/>
      </c>
      <c r="Z268">
        <f>IF(Y268="","","R-"&amp;INT(Y268/1000)&amp;"-"&amp;TEXT(MOD(Y268,1000),"00"))</f>
        <v/>
      </c>
    </row>
    <row r="269">
      <c r="Y269" s="85">
        <f>IF(N(Y268)=0,"",IF(_xlfn.MAXIFS(tblSales[کلید فاکتور],tblSales[کلید فاکتور],"&lt;"&amp;Y268)=0,"",_xlfn.MAXIFS(tblSales[کلید فاکتور],tblSales[کلید فاکتور],"&lt;"&amp;Y268)))</f>
        <v/>
      </c>
      <c r="Z269">
        <f>IF(Y269="","","R-"&amp;INT(Y269/1000)&amp;"-"&amp;TEXT(MOD(Y269,1000),"00"))</f>
        <v/>
      </c>
    </row>
    <row r="270">
      <c r="Y270" s="85">
        <f>IF(N(Y269)=0,"",IF(_xlfn.MAXIFS(tblSales[کلید فاکتور],tblSales[کلید فاکتور],"&lt;"&amp;Y269)=0,"",_xlfn.MAXIFS(tblSales[کلید فاکتور],tblSales[کلید فاکتور],"&lt;"&amp;Y269)))</f>
        <v/>
      </c>
      <c r="Z270">
        <f>IF(Y270="","","R-"&amp;INT(Y270/1000)&amp;"-"&amp;TEXT(MOD(Y270,1000),"00"))</f>
        <v/>
      </c>
    </row>
    <row r="271">
      <c r="Y271" s="85">
        <f>IF(N(Y270)=0,"",IF(_xlfn.MAXIFS(tblSales[کلید فاکتور],tblSales[کلید فاکتور],"&lt;"&amp;Y270)=0,"",_xlfn.MAXIFS(tblSales[کلید فاکتور],tblSales[کلید فاکتور],"&lt;"&amp;Y270)))</f>
        <v/>
      </c>
      <c r="Z271">
        <f>IF(Y271="","","R-"&amp;INT(Y271/1000)&amp;"-"&amp;TEXT(MOD(Y271,1000),"00"))</f>
        <v/>
      </c>
    </row>
    <row r="272">
      <c r="Y272" s="85">
        <f>IF(N(Y271)=0,"",IF(_xlfn.MAXIFS(tblSales[کلید فاکتور],tblSales[کلید فاکتور],"&lt;"&amp;Y271)=0,"",_xlfn.MAXIFS(tblSales[کلید فاکتور],tblSales[کلید فاکتور],"&lt;"&amp;Y271)))</f>
        <v/>
      </c>
      <c r="Z272">
        <f>IF(Y272="","","R-"&amp;INT(Y272/1000)&amp;"-"&amp;TEXT(MOD(Y272,1000),"00"))</f>
        <v/>
      </c>
    </row>
    <row r="273">
      <c r="Y273" s="85">
        <f>IF(N(Y272)=0,"",IF(_xlfn.MAXIFS(tblSales[کلید فاکتور],tblSales[کلید فاکتور],"&lt;"&amp;Y272)=0,"",_xlfn.MAXIFS(tblSales[کلید فاکتور],tblSales[کلید فاکتور],"&lt;"&amp;Y272)))</f>
        <v/>
      </c>
      <c r="Z273">
        <f>IF(Y273="","","R-"&amp;INT(Y273/1000)&amp;"-"&amp;TEXT(MOD(Y273,1000),"00"))</f>
        <v/>
      </c>
    </row>
    <row r="274">
      <c r="Y274" s="85">
        <f>IF(N(Y273)=0,"",IF(_xlfn.MAXIFS(tblSales[کلید فاکتور],tblSales[کلید فاکتور],"&lt;"&amp;Y273)=0,"",_xlfn.MAXIFS(tblSales[کلید فاکتور],tblSales[کلید فاکتور],"&lt;"&amp;Y273)))</f>
        <v/>
      </c>
      <c r="Z274">
        <f>IF(Y274="","","R-"&amp;INT(Y274/1000)&amp;"-"&amp;TEXT(MOD(Y274,1000),"00"))</f>
        <v/>
      </c>
    </row>
    <row r="275">
      <c r="Y275" s="85">
        <f>IF(N(Y274)=0,"",IF(_xlfn.MAXIFS(tblSales[کلید فاکتور],tblSales[کلید فاکتور],"&lt;"&amp;Y274)=0,"",_xlfn.MAXIFS(tblSales[کلید فاکتور],tblSales[کلید فاکتور],"&lt;"&amp;Y274)))</f>
        <v/>
      </c>
      <c r="Z275">
        <f>IF(Y275="","","R-"&amp;INT(Y275/1000)&amp;"-"&amp;TEXT(MOD(Y275,1000),"00"))</f>
        <v/>
      </c>
    </row>
    <row r="276">
      <c r="Y276" s="85">
        <f>IF(N(Y275)=0,"",IF(_xlfn.MAXIFS(tblSales[کلید فاکتور],tblSales[کلید فاکتور],"&lt;"&amp;Y275)=0,"",_xlfn.MAXIFS(tblSales[کلید فاکتور],tblSales[کلید فاکتور],"&lt;"&amp;Y275)))</f>
        <v/>
      </c>
      <c r="Z276">
        <f>IF(Y276="","","R-"&amp;INT(Y276/1000)&amp;"-"&amp;TEXT(MOD(Y276,1000),"00"))</f>
        <v/>
      </c>
    </row>
    <row r="277">
      <c r="Y277" s="85">
        <f>IF(N(Y276)=0,"",IF(_xlfn.MAXIFS(tblSales[کلید فاکتور],tblSales[کلید فاکتور],"&lt;"&amp;Y276)=0,"",_xlfn.MAXIFS(tblSales[کلید فاکتور],tblSales[کلید فاکتور],"&lt;"&amp;Y276)))</f>
        <v/>
      </c>
      <c r="Z277">
        <f>IF(Y277="","","R-"&amp;INT(Y277/1000)&amp;"-"&amp;TEXT(MOD(Y277,1000),"00"))</f>
        <v/>
      </c>
    </row>
    <row r="278">
      <c r="Y278" s="85">
        <f>IF(N(Y277)=0,"",IF(_xlfn.MAXIFS(tblSales[کلید فاکتور],tblSales[کلید فاکتور],"&lt;"&amp;Y277)=0,"",_xlfn.MAXIFS(tblSales[کلید فاکتور],tblSales[کلید فاکتور],"&lt;"&amp;Y277)))</f>
        <v/>
      </c>
      <c r="Z278">
        <f>IF(Y278="","","R-"&amp;INT(Y278/1000)&amp;"-"&amp;TEXT(MOD(Y278,1000),"00"))</f>
        <v/>
      </c>
    </row>
    <row r="279">
      <c r="Y279" s="85">
        <f>IF(N(Y278)=0,"",IF(_xlfn.MAXIFS(tblSales[کلید فاکتور],tblSales[کلید فاکتور],"&lt;"&amp;Y278)=0,"",_xlfn.MAXIFS(tblSales[کلید فاکتور],tblSales[کلید فاکتور],"&lt;"&amp;Y278)))</f>
        <v/>
      </c>
      <c r="Z279">
        <f>IF(Y279="","","R-"&amp;INT(Y279/1000)&amp;"-"&amp;TEXT(MOD(Y279,1000),"00"))</f>
        <v/>
      </c>
    </row>
    <row r="280">
      <c r="Y280" s="85">
        <f>IF(N(Y279)=0,"",IF(_xlfn.MAXIFS(tblSales[کلید فاکتور],tblSales[کلید فاکتور],"&lt;"&amp;Y279)=0,"",_xlfn.MAXIFS(tblSales[کلید فاکتور],tblSales[کلید فاکتور],"&lt;"&amp;Y279)))</f>
        <v/>
      </c>
      <c r="Z280">
        <f>IF(Y280="","","R-"&amp;INT(Y280/1000)&amp;"-"&amp;TEXT(MOD(Y280,1000),"00"))</f>
        <v/>
      </c>
    </row>
    <row r="281">
      <c r="Y281" s="85">
        <f>IF(N(Y280)=0,"",IF(_xlfn.MAXIFS(tblSales[کلید فاکتور],tblSales[کلید فاکتور],"&lt;"&amp;Y280)=0,"",_xlfn.MAXIFS(tblSales[کلید فاکتور],tblSales[کلید فاکتور],"&lt;"&amp;Y280)))</f>
        <v/>
      </c>
      <c r="Z281">
        <f>IF(Y281="","","R-"&amp;INT(Y281/1000)&amp;"-"&amp;TEXT(MOD(Y281,1000),"00"))</f>
        <v/>
      </c>
    </row>
    <row r="282">
      <c r="Y282" s="85">
        <f>IF(N(Y281)=0,"",IF(_xlfn.MAXIFS(tblSales[کلید فاکتور],tblSales[کلید فاکتور],"&lt;"&amp;Y281)=0,"",_xlfn.MAXIFS(tblSales[کلید فاکتور],tblSales[کلید فاکتور],"&lt;"&amp;Y281)))</f>
        <v/>
      </c>
      <c r="Z282">
        <f>IF(Y282="","","R-"&amp;INT(Y282/1000)&amp;"-"&amp;TEXT(MOD(Y282,1000),"00"))</f>
        <v/>
      </c>
    </row>
    <row r="283">
      <c r="Y283" s="85">
        <f>IF(N(Y282)=0,"",IF(_xlfn.MAXIFS(tblSales[کلید فاکتور],tblSales[کلید فاکتور],"&lt;"&amp;Y282)=0,"",_xlfn.MAXIFS(tblSales[کلید فاکتور],tblSales[کلید فاکتور],"&lt;"&amp;Y282)))</f>
        <v/>
      </c>
      <c r="Z283">
        <f>IF(Y283="","","R-"&amp;INT(Y283/1000)&amp;"-"&amp;TEXT(MOD(Y283,1000),"00"))</f>
        <v/>
      </c>
    </row>
    <row r="284">
      <c r="Y284" s="85">
        <f>IF(N(Y283)=0,"",IF(_xlfn.MAXIFS(tblSales[کلید فاکتور],tblSales[کلید فاکتور],"&lt;"&amp;Y283)=0,"",_xlfn.MAXIFS(tblSales[کلید فاکتور],tblSales[کلید فاکتور],"&lt;"&amp;Y283)))</f>
        <v/>
      </c>
      <c r="Z284">
        <f>IF(Y284="","","R-"&amp;INT(Y284/1000)&amp;"-"&amp;TEXT(MOD(Y284,1000),"00"))</f>
        <v/>
      </c>
    </row>
    <row r="285">
      <c r="Y285" s="85">
        <f>IF(N(Y284)=0,"",IF(_xlfn.MAXIFS(tblSales[کلید فاکتور],tblSales[کلید فاکتور],"&lt;"&amp;Y284)=0,"",_xlfn.MAXIFS(tblSales[کلید فاکتور],tblSales[کلید فاکتور],"&lt;"&amp;Y284)))</f>
        <v/>
      </c>
      <c r="Z285">
        <f>IF(Y285="","","R-"&amp;INT(Y285/1000)&amp;"-"&amp;TEXT(MOD(Y285,1000),"00"))</f>
        <v/>
      </c>
    </row>
    <row r="286">
      <c r="Y286" s="85">
        <f>IF(N(Y285)=0,"",IF(_xlfn.MAXIFS(tblSales[کلید فاکتور],tblSales[کلید فاکتور],"&lt;"&amp;Y285)=0,"",_xlfn.MAXIFS(tblSales[کلید فاکتور],tblSales[کلید فاکتور],"&lt;"&amp;Y285)))</f>
        <v/>
      </c>
      <c r="Z286">
        <f>IF(Y286="","","R-"&amp;INT(Y286/1000)&amp;"-"&amp;TEXT(MOD(Y286,1000),"00"))</f>
        <v/>
      </c>
    </row>
    <row r="287">
      <c r="Y287" s="85">
        <f>IF(N(Y286)=0,"",IF(_xlfn.MAXIFS(tblSales[کلید فاکتور],tblSales[کلید فاکتور],"&lt;"&amp;Y286)=0,"",_xlfn.MAXIFS(tblSales[کلید فاکتور],tblSales[کلید فاکتور],"&lt;"&amp;Y286)))</f>
        <v/>
      </c>
      <c r="Z287">
        <f>IF(Y287="","","R-"&amp;INT(Y287/1000)&amp;"-"&amp;TEXT(MOD(Y287,1000),"00"))</f>
        <v/>
      </c>
    </row>
    <row r="288">
      <c r="Y288" s="85">
        <f>IF(N(Y287)=0,"",IF(_xlfn.MAXIFS(tblSales[کلید فاکتور],tblSales[کلید فاکتور],"&lt;"&amp;Y287)=0,"",_xlfn.MAXIFS(tblSales[کلید فاکتور],tblSales[کلید فاکتور],"&lt;"&amp;Y287)))</f>
        <v/>
      </c>
      <c r="Z288">
        <f>IF(Y288="","","R-"&amp;INT(Y288/1000)&amp;"-"&amp;TEXT(MOD(Y288,1000),"00"))</f>
        <v/>
      </c>
    </row>
    <row r="289">
      <c r="Y289" s="85">
        <f>IF(N(Y288)=0,"",IF(_xlfn.MAXIFS(tblSales[کلید فاکتور],tblSales[کلید فاکتور],"&lt;"&amp;Y288)=0,"",_xlfn.MAXIFS(tblSales[کلید فاکتور],tblSales[کلید فاکتور],"&lt;"&amp;Y288)))</f>
        <v/>
      </c>
      <c r="Z289">
        <f>IF(Y289="","","R-"&amp;INT(Y289/1000)&amp;"-"&amp;TEXT(MOD(Y289,1000),"00"))</f>
        <v/>
      </c>
    </row>
    <row r="290">
      <c r="Y290" s="85">
        <f>IF(N(Y289)=0,"",IF(_xlfn.MAXIFS(tblSales[کلید فاکتور],tblSales[کلید فاکتور],"&lt;"&amp;Y289)=0,"",_xlfn.MAXIFS(tblSales[کلید فاکتور],tblSales[کلید فاکتور],"&lt;"&amp;Y289)))</f>
        <v/>
      </c>
      <c r="Z290">
        <f>IF(Y290="","","R-"&amp;INT(Y290/1000)&amp;"-"&amp;TEXT(MOD(Y290,1000),"00"))</f>
        <v/>
      </c>
    </row>
    <row r="291">
      <c r="Y291" s="85">
        <f>IF(N(Y290)=0,"",IF(_xlfn.MAXIFS(tblSales[کلید فاکتور],tblSales[کلید فاکتور],"&lt;"&amp;Y290)=0,"",_xlfn.MAXIFS(tblSales[کلید فاکتور],tblSales[کلید فاکتور],"&lt;"&amp;Y290)))</f>
        <v/>
      </c>
      <c r="Z291">
        <f>IF(Y291="","","R-"&amp;INT(Y291/1000)&amp;"-"&amp;TEXT(MOD(Y291,1000),"00"))</f>
        <v/>
      </c>
    </row>
    <row r="292">
      <c r="Y292" s="85">
        <f>IF(N(Y291)=0,"",IF(_xlfn.MAXIFS(tblSales[کلید فاکتور],tblSales[کلید فاکتور],"&lt;"&amp;Y291)=0,"",_xlfn.MAXIFS(tblSales[کلید فاکتور],tblSales[کلید فاکتور],"&lt;"&amp;Y291)))</f>
        <v/>
      </c>
      <c r="Z292">
        <f>IF(Y292="","","R-"&amp;INT(Y292/1000)&amp;"-"&amp;TEXT(MOD(Y292,1000),"00"))</f>
        <v/>
      </c>
    </row>
    <row r="293">
      <c r="Y293" s="85">
        <f>IF(N(Y292)=0,"",IF(_xlfn.MAXIFS(tblSales[کلید فاکتور],tblSales[کلید فاکتور],"&lt;"&amp;Y292)=0,"",_xlfn.MAXIFS(tblSales[کلید فاکتور],tblSales[کلید فاکتور],"&lt;"&amp;Y292)))</f>
        <v/>
      </c>
      <c r="Z293">
        <f>IF(Y293="","","R-"&amp;INT(Y293/1000)&amp;"-"&amp;TEXT(MOD(Y293,1000),"00"))</f>
        <v/>
      </c>
    </row>
    <row r="294">
      <c r="Y294" s="85">
        <f>IF(N(Y293)=0,"",IF(_xlfn.MAXIFS(tblSales[کلید فاکتور],tblSales[کلید فاکتور],"&lt;"&amp;Y293)=0,"",_xlfn.MAXIFS(tblSales[کلید فاکتور],tblSales[کلید فاکتور],"&lt;"&amp;Y293)))</f>
        <v/>
      </c>
      <c r="Z294">
        <f>IF(Y294="","","R-"&amp;INT(Y294/1000)&amp;"-"&amp;TEXT(MOD(Y294,1000),"00"))</f>
        <v/>
      </c>
    </row>
    <row r="295">
      <c r="Y295" s="85">
        <f>IF(N(Y294)=0,"",IF(_xlfn.MAXIFS(tblSales[کلید فاکتور],tblSales[کلید فاکتور],"&lt;"&amp;Y294)=0,"",_xlfn.MAXIFS(tblSales[کلید فاکتور],tblSales[کلید فاکتور],"&lt;"&amp;Y294)))</f>
        <v/>
      </c>
      <c r="Z295">
        <f>IF(Y295="","","R-"&amp;INT(Y295/1000)&amp;"-"&amp;TEXT(MOD(Y295,1000),"00"))</f>
        <v/>
      </c>
    </row>
    <row r="296">
      <c r="Y296" s="85">
        <f>IF(N(Y295)=0,"",IF(_xlfn.MAXIFS(tblSales[کلید فاکتور],tblSales[کلید فاکتور],"&lt;"&amp;Y295)=0,"",_xlfn.MAXIFS(tblSales[کلید فاکتور],tblSales[کلید فاکتور],"&lt;"&amp;Y295)))</f>
        <v/>
      </c>
      <c r="Z296">
        <f>IF(Y296="","","R-"&amp;INT(Y296/1000)&amp;"-"&amp;TEXT(MOD(Y296,1000),"00"))</f>
        <v/>
      </c>
    </row>
    <row r="297">
      <c r="Y297" s="85">
        <f>IF(N(Y296)=0,"",IF(_xlfn.MAXIFS(tblSales[کلید فاکتور],tblSales[کلید فاکتور],"&lt;"&amp;Y296)=0,"",_xlfn.MAXIFS(tblSales[کلید فاکتور],tblSales[کلید فاکتور],"&lt;"&amp;Y296)))</f>
        <v/>
      </c>
      <c r="Z297">
        <f>IF(Y297="","","R-"&amp;INT(Y297/1000)&amp;"-"&amp;TEXT(MOD(Y297,1000),"00"))</f>
        <v/>
      </c>
    </row>
    <row r="298">
      <c r="Y298" s="85">
        <f>IF(N(Y297)=0,"",IF(_xlfn.MAXIFS(tblSales[کلید فاکتور],tblSales[کلید فاکتور],"&lt;"&amp;Y297)=0,"",_xlfn.MAXIFS(tblSales[کلید فاکتور],tblSales[کلید فاکتور],"&lt;"&amp;Y297)))</f>
        <v/>
      </c>
      <c r="Z298">
        <f>IF(Y298="","","R-"&amp;INT(Y298/1000)&amp;"-"&amp;TEXT(MOD(Y298,1000),"00"))</f>
        <v/>
      </c>
    </row>
    <row r="299">
      <c r="Y299" s="85">
        <f>IF(N(Y298)=0,"",IF(_xlfn.MAXIFS(tblSales[کلید فاکتور],tblSales[کلید فاکتور],"&lt;"&amp;Y298)=0,"",_xlfn.MAXIFS(tblSales[کلید فاکتور],tblSales[کلید فاکتور],"&lt;"&amp;Y298)))</f>
        <v/>
      </c>
      <c r="Z299">
        <f>IF(Y299="","","R-"&amp;INT(Y299/1000)&amp;"-"&amp;TEXT(MOD(Y299,1000),"00"))</f>
        <v/>
      </c>
    </row>
    <row r="300">
      <c r="Y300" s="85">
        <f>IF(N(Y299)=0,"",IF(_xlfn.MAXIFS(tblSales[کلید فاکتور],tblSales[کلید فاکتور],"&lt;"&amp;Y299)=0,"",_xlfn.MAXIFS(tblSales[کلید فاکتور],tblSales[کلید فاکتور],"&lt;"&amp;Y299)))</f>
        <v/>
      </c>
      <c r="Z300">
        <f>IF(Y300="","","R-"&amp;INT(Y300/1000)&amp;"-"&amp;TEXT(MOD(Y300,1000),"00"))</f>
        <v/>
      </c>
    </row>
    <row r="301">
      <c r="Y301" s="85">
        <f>IF(N(Y300)=0,"",IF(_xlfn.MAXIFS(tblSales[کلید فاکتور],tblSales[کلید فاکتور],"&lt;"&amp;Y300)=0,"",_xlfn.MAXIFS(tblSales[کلید فاکتور],tblSales[کلید فاکتور],"&lt;"&amp;Y300)))</f>
        <v/>
      </c>
      <c r="Z301">
        <f>IF(Y301="","","R-"&amp;INT(Y301/1000)&amp;"-"&amp;TEXT(MOD(Y301,1000),"00"))</f>
        <v/>
      </c>
    </row>
    <row r="302">
      <c r="Y302" s="85">
        <f>IF(N(Y301)=0,"",IF(_xlfn.MAXIFS(tblSales[کلید فاکتور],tblSales[کلید فاکتور],"&lt;"&amp;Y301)=0,"",_xlfn.MAXIFS(tblSales[کلید فاکتور],tblSales[کلید فاکتور],"&lt;"&amp;Y301)))</f>
        <v/>
      </c>
      <c r="Z302">
        <f>IF(Y302="","","R-"&amp;INT(Y302/1000)&amp;"-"&amp;TEXT(MOD(Y302,1000),"00"))</f>
        <v/>
      </c>
    </row>
    <row r="303">
      <c r="Y303" s="85">
        <f>IF(N(Y302)=0,"",IF(_xlfn.MAXIFS(tblSales[کلید فاکتور],tblSales[کلید فاکتور],"&lt;"&amp;Y302)=0,"",_xlfn.MAXIFS(tblSales[کلید فاکتور],tblSales[کلید فاکتور],"&lt;"&amp;Y302)))</f>
        <v/>
      </c>
      <c r="Z303">
        <f>IF(Y303="","","R-"&amp;INT(Y303/1000)&amp;"-"&amp;TEXT(MOD(Y303,1000),"00"))</f>
        <v/>
      </c>
    </row>
    <row r="304">
      <c r="Y304" s="85">
        <f>IF(N(Y303)=0,"",IF(_xlfn.MAXIFS(tblSales[کلید فاکتور],tblSales[کلید فاکتور],"&lt;"&amp;Y303)=0,"",_xlfn.MAXIFS(tblSales[کلید فاکتور],tblSales[کلید فاکتور],"&lt;"&amp;Y303)))</f>
        <v/>
      </c>
      <c r="Z304">
        <f>IF(Y304="","","R-"&amp;INT(Y304/1000)&amp;"-"&amp;TEXT(MOD(Y304,1000),"00"))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6665F"/>
    <outlinePr summaryBelow="1" summaryRight="1"/>
    <pageSetUpPr fitToPage="1"/>
  </sheetPr>
  <dimension ref="A1:J19359"/>
  <sheetViews>
    <sheetView showGridLines="0" rightToLeft="1" workbookViewId="0">
      <selection activeCell="A1" sqref="A1"/>
    </sheetView>
  </sheetViews>
  <sheetFormatPr baseColWidth="8" defaultRowHeight="19.5" customHeight="1"/>
  <cols>
    <col width="14" customWidth="1" min="1" max="1"/>
    <col width="12" customWidth="1" min="2" max="2"/>
    <col width="12" customWidth="1" min="3" max="3"/>
    <col width="3" customWidth="1" min="4" max="4"/>
    <col width="10" customWidth="1" min="5" max="5"/>
    <col width="11" customWidth="1" min="6" max="6"/>
    <col width="11" customWidth="1" min="7" max="7"/>
    <col width="16" customWidth="1" min="8" max="8"/>
  </cols>
  <sheetData>
    <row r="1">
      <c r="A1" s="83" t="inlineStr">
        <is>
          <t>کلید yyyymmdd</t>
        </is>
      </c>
      <c r="B1" s="83" t="inlineStr">
        <is>
          <t>سریال اکسل</t>
        </is>
      </c>
      <c r="C1" s="83" t="inlineStr">
        <is>
          <t>تاریخ شمسی</t>
        </is>
      </c>
      <c r="D1" s="83" t="inlineStr"/>
      <c r="E1" s="83" t="inlineStr">
        <is>
          <t>کلید ماه</t>
        </is>
      </c>
      <c r="F1" s="83" t="inlineStr">
        <is>
          <t>شروع ماه</t>
        </is>
      </c>
      <c r="G1" s="83" t="inlineStr">
        <is>
          <t>پایان ماه</t>
        </is>
      </c>
      <c r="H1" s="83" t="inlineStr">
        <is>
          <t>نام ماه</t>
        </is>
      </c>
      <c r="J1" t="inlineStr">
        <is>
          <t>داده مرجع تقویم شمسی (۱۳۹۸ تا ۱۴۵۰)؛ دستی ویرایش نشود. سال کبیسه طبق قاعده ۳۳ ساله.</t>
        </is>
      </c>
    </row>
    <row r="2">
      <c r="A2" t="n">
        <v>13980101</v>
      </c>
      <c r="B2" t="n">
        <v>43545</v>
      </c>
      <c r="C2" t="inlineStr">
        <is>
          <t>1398/01/01</t>
        </is>
      </c>
      <c r="E2" t="n">
        <v>139801</v>
      </c>
      <c r="F2" t="n">
        <v>43545</v>
      </c>
      <c r="G2" t="n">
        <v>43575</v>
      </c>
      <c r="H2" t="inlineStr">
        <is>
          <t>فروردین 1398</t>
        </is>
      </c>
    </row>
    <row r="3">
      <c r="A3" t="n">
        <v>13980102</v>
      </c>
      <c r="B3" t="n">
        <v>43546</v>
      </c>
      <c r="C3" t="inlineStr">
        <is>
          <t>1398/01/02</t>
        </is>
      </c>
      <c r="E3" t="n">
        <v>139802</v>
      </c>
      <c r="F3" t="n">
        <v>43576</v>
      </c>
      <c r="G3" t="n">
        <v>43606</v>
      </c>
      <c r="H3" t="inlineStr">
        <is>
          <t>اردیبهشت 1398</t>
        </is>
      </c>
    </row>
    <row r="4">
      <c r="A4" t="n">
        <v>13980103</v>
      </c>
      <c r="B4" t="n">
        <v>43547</v>
      </c>
      <c r="C4" t="inlineStr">
        <is>
          <t>1398/01/03</t>
        </is>
      </c>
      <c r="E4" t="n">
        <v>139803</v>
      </c>
      <c r="F4" t="n">
        <v>43607</v>
      </c>
      <c r="G4" t="n">
        <v>43637</v>
      </c>
      <c r="H4" t="inlineStr">
        <is>
          <t>خرداد 1398</t>
        </is>
      </c>
    </row>
    <row r="5">
      <c r="A5" t="n">
        <v>13980104</v>
      </c>
      <c r="B5" t="n">
        <v>43548</v>
      </c>
      <c r="C5" t="inlineStr">
        <is>
          <t>1398/01/04</t>
        </is>
      </c>
      <c r="E5" t="n">
        <v>139804</v>
      </c>
      <c r="F5" t="n">
        <v>43638</v>
      </c>
      <c r="G5" t="n">
        <v>43668</v>
      </c>
      <c r="H5" t="inlineStr">
        <is>
          <t>تیر 1398</t>
        </is>
      </c>
    </row>
    <row r="6">
      <c r="A6" t="n">
        <v>13980105</v>
      </c>
      <c r="B6" t="n">
        <v>43549</v>
      </c>
      <c r="C6" t="inlineStr">
        <is>
          <t>1398/01/05</t>
        </is>
      </c>
      <c r="E6" t="n">
        <v>139805</v>
      </c>
      <c r="F6" t="n">
        <v>43669</v>
      </c>
      <c r="G6" t="n">
        <v>43699</v>
      </c>
      <c r="H6" t="inlineStr">
        <is>
          <t>مرداد 1398</t>
        </is>
      </c>
    </row>
    <row r="7">
      <c r="A7" t="n">
        <v>13980106</v>
      </c>
      <c r="B7" t="n">
        <v>43550</v>
      </c>
      <c r="C7" t="inlineStr">
        <is>
          <t>1398/01/06</t>
        </is>
      </c>
      <c r="E7" t="n">
        <v>139806</v>
      </c>
      <c r="F7" t="n">
        <v>43700</v>
      </c>
      <c r="G7" t="n">
        <v>43730</v>
      </c>
      <c r="H7" t="inlineStr">
        <is>
          <t>شهریور 1398</t>
        </is>
      </c>
    </row>
    <row r="8">
      <c r="A8" t="n">
        <v>13980107</v>
      </c>
      <c r="B8" t="n">
        <v>43551</v>
      </c>
      <c r="C8" t="inlineStr">
        <is>
          <t>1398/01/07</t>
        </is>
      </c>
      <c r="E8" t="n">
        <v>139807</v>
      </c>
      <c r="F8" t="n">
        <v>43731</v>
      </c>
      <c r="G8" t="n">
        <v>43760</v>
      </c>
      <c r="H8" t="inlineStr">
        <is>
          <t>مهر 1398</t>
        </is>
      </c>
    </row>
    <row r="9">
      <c r="A9" t="n">
        <v>13980108</v>
      </c>
      <c r="B9" t="n">
        <v>43552</v>
      </c>
      <c r="C9" t="inlineStr">
        <is>
          <t>1398/01/08</t>
        </is>
      </c>
      <c r="E9" t="n">
        <v>139808</v>
      </c>
      <c r="F9" t="n">
        <v>43761</v>
      </c>
      <c r="G9" t="n">
        <v>43790</v>
      </c>
      <c r="H9" t="inlineStr">
        <is>
          <t>آبان 1398</t>
        </is>
      </c>
    </row>
    <row r="10">
      <c r="A10" t="n">
        <v>13980109</v>
      </c>
      <c r="B10" t="n">
        <v>43553</v>
      </c>
      <c r="C10" t="inlineStr">
        <is>
          <t>1398/01/09</t>
        </is>
      </c>
      <c r="E10" t="n">
        <v>139809</v>
      </c>
      <c r="F10" t="n">
        <v>43791</v>
      </c>
      <c r="G10" t="n">
        <v>43820</v>
      </c>
      <c r="H10" t="inlineStr">
        <is>
          <t>آذر 1398</t>
        </is>
      </c>
    </row>
    <row r="11">
      <c r="A11" t="n">
        <v>13980110</v>
      </c>
      <c r="B11" t="n">
        <v>43554</v>
      </c>
      <c r="C11" t="inlineStr">
        <is>
          <t>1398/01/10</t>
        </is>
      </c>
      <c r="E11" t="n">
        <v>139810</v>
      </c>
      <c r="F11" t="n">
        <v>43821</v>
      </c>
      <c r="G11" t="n">
        <v>43850</v>
      </c>
      <c r="H11" t="inlineStr">
        <is>
          <t>دی 1398</t>
        </is>
      </c>
    </row>
    <row r="12">
      <c r="A12" t="n">
        <v>13980111</v>
      </c>
      <c r="B12" t="n">
        <v>43555</v>
      </c>
      <c r="C12" t="inlineStr">
        <is>
          <t>1398/01/11</t>
        </is>
      </c>
      <c r="E12" t="n">
        <v>139811</v>
      </c>
      <c r="F12" t="n">
        <v>43851</v>
      </c>
      <c r="G12" t="n">
        <v>43880</v>
      </c>
      <c r="H12" t="inlineStr">
        <is>
          <t>بهمن 1398</t>
        </is>
      </c>
    </row>
    <row r="13">
      <c r="A13" t="n">
        <v>13980112</v>
      </c>
      <c r="B13" t="n">
        <v>43556</v>
      </c>
      <c r="C13" t="inlineStr">
        <is>
          <t>1398/01/12</t>
        </is>
      </c>
      <c r="E13" t="n">
        <v>139812</v>
      </c>
      <c r="F13" t="n">
        <v>43881</v>
      </c>
      <c r="G13" t="n">
        <v>43909</v>
      </c>
      <c r="H13" t="inlineStr">
        <is>
          <t>اسفند 1398</t>
        </is>
      </c>
    </row>
    <row r="14">
      <c r="A14" t="n">
        <v>13980113</v>
      </c>
      <c r="B14" t="n">
        <v>43557</v>
      </c>
      <c r="C14" t="inlineStr">
        <is>
          <t>1398/01/13</t>
        </is>
      </c>
      <c r="E14" t="n">
        <v>139901</v>
      </c>
      <c r="F14" t="n">
        <v>43910</v>
      </c>
      <c r="G14" t="n">
        <v>43940</v>
      </c>
      <c r="H14" t="inlineStr">
        <is>
          <t>فروردین 1399</t>
        </is>
      </c>
    </row>
    <row r="15">
      <c r="A15" t="n">
        <v>13980114</v>
      </c>
      <c r="B15" t="n">
        <v>43558</v>
      </c>
      <c r="C15" t="inlineStr">
        <is>
          <t>1398/01/14</t>
        </is>
      </c>
      <c r="E15" t="n">
        <v>139902</v>
      </c>
      <c r="F15" t="n">
        <v>43941</v>
      </c>
      <c r="G15" t="n">
        <v>43971</v>
      </c>
      <c r="H15" t="inlineStr">
        <is>
          <t>اردیبهشت 1399</t>
        </is>
      </c>
    </row>
    <row r="16">
      <c r="A16" t="n">
        <v>13980115</v>
      </c>
      <c r="B16" t="n">
        <v>43559</v>
      </c>
      <c r="C16" t="inlineStr">
        <is>
          <t>1398/01/15</t>
        </is>
      </c>
      <c r="E16" t="n">
        <v>139903</v>
      </c>
      <c r="F16" t="n">
        <v>43972</v>
      </c>
      <c r="G16" t="n">
        <v>44002</v>
      </c>
      <c r="H16" t="inlineStr">
        <is>
          <t>خرداد 1399</t>
        </is>
      </c>
    </row>
    <row r="17">
      <c r="A17" t="n">
        <v>13980116</v>
      </c>
      <c r="B17" t="n">
        <v>43560</v>
      </c>
      <c r="C17" t="inlineStr">
        <is>
          <t>1398/01/16</t>
        </is>
      </c>
      <c r="E17" t="n">
        <v>139904</v>
      </c>
      <c r="F17" t="n">
        <v>44003</v>
      </c>
      <c r="G17" t="n">
        <v>44033</v>
      </c>
      <c r="H17" t="inlineStr">
        <is>
          <t>تیر 1399</t>
        </is>
      </c>
    </row>
    <row r="18">
      <c r="A18" t="n">
        <v>13980117</v>
      </c>
      <c r="B18" t="n">
        <v>43561</v>
      </c>
      <c r="C18" t="inlineStr">
        <is>
          <t>1398/01/17</t>
        </is>
      </c>
      <c r="E18" t="n">
        <v>139905</v>
      </c>
      <c r="F18" t="n">
        <v>44034</v>
      </c>
      <c r="G18" t="n">
        <v>44064</v>
      </c>
      <c r="H18" t="inlineStr">
        <is>
          <t>مرداد 1399</t>
        </is>
      </c>
    </row>
    <row r="19">
      <c r="A19" t="n">
        <v>13980118</v>
      </c>
      <c r="B19" t="n">
        <v>43562</v>
      </c>
      <c r="C19" t="inlineStr">
        <is>
          <t>1398/01/18</t>
        </is>
      </c>
      <c r="E19" t="n">
        <v>139906</v>
      </c>
      <c r="F19" t="n">
        <v>44065</v>
      </c>
      <c r="G19" t="n">
        <v>44095</v>
      </c>
      <c r="H19" t="inlineStr">
        <is>
          <t>شهریور 1399</t>
        </is>
      </c>
    </row>
    <row r="20">
      <c r="A20" t="n">
        <v>13980119</v>
      </c>
      <c r="B20" t="n">
        <v>43563</v>
      </c>
      <c r="C20" t="inlineStr">
        <is>
          <t>1398/01/19</t>
        </is>
      </c>
      <c r="E20" t="n">
        <v>139907</v>
      </c>
      <c r="F20" t="n">
        <v>44096</v>
      </c>
      <c r="G20" t="n">
        <v>44125</v>
      </c>
      <c r="H20" t="inlineStr">
        <is>
          <t>مهر 1399</t>
        </is>
      </c>
    </row>
    <row r="21">
      <c r="A21" t="n">
        <v>13980120</v>
      </c>
      <c r="B21" t="n">
        <v>43564</v>
      </c>
      <c r="C21" t="inlineStr">
        <is>
          <t>1398/01/20</t>
        </is>
      </c>
      <c r="E21" t="n">
        <v>139908</v>
      </c>
      <c r="F21" t="n">
        <v>44126</v>
      </c>
      <c r="G21" t="n">
        <v>44155</v>
      </c>
      <c r="H21" t="inlineStr">
        <is>
          <t>آبان 1399</t>
        </is>
      </c>
    </row>
    <row r="22">
      <c r="A22" t="n">
        <v>13980121</v>
      </c>
      <c r="B22" t="n">
        <v>43565</v>
      </c>
      <c r="C22" t="inlineStr">
        <is>
          <t>1398/01/21</t>
        </is>
      </c>
      <c r="E22" t="n">
        <v>139909</v>
      </c>
      <c r="F22" t="n">
        <v>44156</v>
      </c>
      <c r="G22" t="n">
        <v>44185</v>
      </c>
      <c r="H22" t="inlineStr">
        <is>
          <t>آذر 1399</t>
        </is>
      </c>
    </row>
    <row r="23">
      <c r="A23" t="n">
        <v>13980122</v>
      </c>
      <c r="B23" t="n">
        <v>43566</v>
      </c>
      <c r="C23" t="inlineStr">
        <is>
          <t>1398/01/22</t>
        </is>
      </c>
      <c r="E23" t="n">
        <v>139910</v>
      </c>
      <c r="F23" t="n">
        <v>44186</v>
      </c>
      <c r="G23" t="n">
        <v>44215</v>
      </c>
      <c r="H23" t="inlineStr">
        <is>
          <t>دی 1399</t>
        </is>
      </c>
    </row>
    <row r="24">
      <c r="A24" t="n">
        <v>13980123</v>
      </c>
      <c r="B24" t="n">
        <v>43567</v>
      </c>
      <c r="C24" t="inlineStr">
        <is>
          <t>1398/01/23</t>
        </is>
      </c>
      <c r="E24" t="n">
        <v>139911</v>
      </c>
      <c r="F24" t="n">
        <v>44216</v>
      </c>
      <c r="G24" t="n">
        <v>44245</v>
      </c>
      <c r="H24" t="inlineStr">
        <is>
          <t>بهمن 1399</t>
        </is>
      </c>
    </row>
    <row r="25">
      <c r="A25" t="n">
        <v>13980124</v>
      </c>
      <c r="B25" t="n">
        <v>43568</v>
      </c>
      <c r="C25" t="inlineStr">
        <is>
          <t>1398/01/24</t>
        </is>
      </c>
      <c r="E25" t="n">
        <v>139912</v>
      </c>
      <c r="F25" t="n">
        <v>44246</v>
      </c>
      <c r="G25" t="n">
        <v>44275</v>
      </c>
      <c r="H25" t="inlineStr">
        <is>
          <t>اسفند 1399</t>
        </is>
      </c>
    </row>
    <row r="26">
      <c r="A26" t="n">
        <v>13980125</v>
      </c>
      <c r="B26" t="n">
        <v>43569</v>
      </c>
      <c r="C26" t="inlineStr">
        <is>
          <t>1398/01/25</t>
        </is>
      </c>
      <c r="E26" t="n">
        <v>140001</v>
      </c>
      <c r="F26" t="n">
        <v>44276</v>
      </c>
      <c r="G26" t="n">
        <v>44306</v>
      </c>
      <c r="H26" t="inlineStr">
        <is>
          <t>فروردین 1400</t>
        </is>
      </c>
    </row>
    <row r="27">
      <c r="A27" t="n">
        <v>13980126</v>
      </c>
      <c r="B27" t="n">
        <v>43570</v>
      </c>
      <c r="C27" t="inlineStr">
        <is>
          <t>1398/01/26</t>
        </is>
      </c>
      <c r="E27" t="n">
        <v>140002</v>
      </c>
      <c r="F27" t="n">
        <v>44307</v>
      </c>
      <c r="G27" t="n">
        <v>44337</v>
      </c>
      <c r="H27" t="inlineStr">
        <is>
          <t>اردیبهشت 1400</t>
        </is>
      </c>
    </row>
    <row r="28">
      <c r="A28" t="n">
        <v>13980127</v>
      </c>
      <c r="B28" t="n">
        <v>43571</v>
      </c>
      <c r="C28" t="inlineStr">
        <is>
          <t>1398/01/27</t>
        </is>
      </c>
      <c r="E28" t="n">
        <v>140003</v>
      </c>
      <c r="F28" t="n">
        <v>44338</v>
      </c>
      <c r="G28" t="n">
        <v>44368</v>
      </c>
      <c r="H28" t="inlineStr">
        <is>
          <t>خرداد 1400</t>
        </is>
      </c>
    </row>
    <row r="29">
      <c r="A29" t="n">
        <v>13980128</v>
      </c>
      <c r="B29" t="n">
        <v>43572</v>
      </c>
      <c r="C29" t="inlineStr">
        <is>
          <t>1398/01/28</t>
        </is>
      </c>
      <c r="E29" t="n">
        <v>140004</v>
      </c>
      <c r="F29" t="n">
        <v>44369</v>
      </c>
      <c r="G29" t="n">
        <v>44399</v>
      </c>
      <c r="H29" t="inlineStr">
        <is>
          <t>تیر 1400</t>
        </is>
      </c>
    </row>
    <row r="30">
      <c r="A30" t="n">
        <v>13980129</v>
      </c>
      <c r="B30" t="n">
        <v>43573</v>
      </c>
      <c r="C30" t="inlineStr">
        <is>
          <t>1398/01/29</t>
        </is>
      </c>
      <c r="E30" t="n">
        <v>140005</v>
      </c>
      <c r="F30" t="n">
        <v>44400</v>
      </c>
      <c r="G30" t="n">
        <v>44430</v>
      </c>
      <c r="H30" t="inlineStr">
        <is>
          <t>مرداد 1400</t>
        </is>
      </c>
    </row>
    <row r="31">
      <c r="A31" t="n">
        <v>13980130</v>
      </c>
      <c r="B31" t="n">
        <v>43574</v>
      </c>
      <c r="C31" t="inlineStr">
        <is>
          <t>1398/01/30</t>
        </is>
      </c>
      <c r="E31" t="n">
        <v>140006</v>
      </c>
      <c r="F31" t="n">
        <v>44431</v>
      </c>
      <c r="G31" t="n">
        <v>44461</v>
      </c>
      <c r="H31" t="inlineStr">
        <is>
          <t>شهریور 1400</t>
        </is>
      </c>
    </row>
    <row r="32">
      <c r="A32" t="n">
        <v>13980131</v>
      </c>
      <c r="B32" t="n">
        <v>43575</v>
      </c>
      <c r="C32" t="inlineStr">
        <is>
          <t>1398/01/31</t>
        </is>
      </c>
      <c r="E32" t="n">
        <v>140007</v>
      </c>
      <c r="F32" t="n">
        <v>44462</v>
      </c>
      <c r="G32" t="n">
        <v>44491</v>
      </c>
      <c r="H32" t="inlineStr">
        <is>
          <t>مهر 1400</t>
        </is>
      </c>
    </row>
    <row r="33">
      <c r="A33" t="n">
        <v>13980201</v>
      </c>
      <c r="B33" t="n">
        <v>43576</v>
      </c>
      <c r="C33" t="inlineStr">
        <is>
          <t>1398/02/01</t>
        </is>
      </c>
      <c r="E33" t="n">
        <v>140008</v>
      </c>
      <c r="F33" t="n">
        <v>44492</v>
      </c>
      <c r="G33" t="n">
        <v>44521</v>
      </c>
      <c r="H33" t="inlineStr">
        <is>
          <t>آبان 1400</t>
        </is>
      </c>
    </row>
    <row r="34">
      <c r="A34" t="n">
        <v>13980202</v>
      </c>
      <c r="B34" t="n">
        <v>43577</v>
      </c>
      <c r="C34" t="inlineStr">
        <is>
          <t>1398/02/02</t>
        </is>
      </c>
      <c r="E34" t="n">
        <v>140009</v>
      </c>
      <c r="F34" t="n">
        <v>44522</v>
      </c>
      <c r="G34" t="n">
        <v>44551</v>
      </c>
      <c r="H34" t="inlineStr">
        <is>
          <t>آذر 1400</t>
        </is>
      </c>
    </row>
    <row r="35">
      <c r="A35" t="n">
        <v>13980203</v>
      </c>
      <c r="B35" t="n">
        <v>43578</v>
      </c>
      <c r="C35" t="inlineStr">
        <is>
          <t>1398/02/03</t>
        </is>
      </c>
      <c r="E35" t="n">
        <v>140010</v>
      </c>
      <c r="F35" t="n">
        <v>44552</v>
      </c>
      <c r="G35" t="n">
        <v>44581</v>
      </c>
      <c r="H35" t="inlineStr">
        <is>
          <t>دی 1400</t>
        </is>
      </c>
    </row>
    <row r="36">
      <c r="A36" t="n">
        <v>13980204</v>
      </c>
      <c r="B36" t="n">
        <v>43579</v>
      </c>
      <c r="C36" t="inlineStr">
        <is>
          <t>1398/02/04</t>
        </is>
      </c>
      <c r="E36" t="n">
        <v>140011</v>
      </c>
      <c r="F36" t="n">
        <v>44582</v>
      </c>
      <c r="G36" t="n">
        <v>44611</v>
      </c>
      <c r="H36" t="inlineStr">
        <is>
          <t>بهمن 1400</t>
        </is>
      </c>
    </row>
    <row r="37">
      <c r="A37" t="n">
        <v>13980205</v>
      </c>
      <c r="B37" t="n">
        <v>43580</v>
      </c>
      <c r="C37" t="inlineStr">
        <is>
          <t>1398/02/05</t>
        </is>
      </c>
      <c r="E37" t="n">
        <v>140012</v>
      </c>
      <c r="F37" t="n">
        <v>44612</v>
      </c>
      <c r="G37" t="n">
        <v>44640</v>
      </c>
      <c r="H37" t="inlineStr">
        <is>
          <t>اسفند 1400</t>
        </is>
      </c>
    </row>
    <row r="38">
      <c r="A38" t="n">
        <v>13980206</v>
      </c>
      <c r="B38" t="n">
        <v>43581</v>
      </c>
      <c r="C38" t="inlineStr">
        <is>
          <t>1398/02/06</t>
        </is>
      </c>
      <c r="E38" t="n">
        <v>140101</v>
      </c>
      <c r="F38" t="n">
        <v>44641</v>
      </c>
      <c r="G38" t="n">
        <v>44671</v>
      </c>
      <c r="H38" t="inlineStr">
        <is>
          <t>فروردین 1401</t>
        </is>
      </c>
    </row>
    <row r="39">
      <c r="A39" t="n">
        <v>13980207</v>
      </c>
      <c r="B39" t="n">
        <v>43582</v>
      </c>
      <c r="C39" t="inlineStr">
        <is>
          <t>1398/02/07</t>
        </is>
      </c>
      <c r="E39" t="n">
        <v>140102</v>
      </c>
      <c r="F39" t="n">
        <v>44672</v>
      </c>
      <c r="G39" t="n">
        <v>44702</v>
      </c>
      <c r="H39" t="inlineStr">
        <is>
          <t>اردیبهشت 1401</t>
        </is>
      </c>
    </row>
    <row r="40">
      <c r="A40" t="n">
        <v>13980208</v>
      </c>
      <c r="B40" t="n">
        <v>43583</v>
      </c>
      <c r="C40" t="inlineStr">
        <is>
          <t>1398/02/08</t>
        </is>
      </c>
      <c r="E40" t="n">
        <v>140103</v>
      </c>
      <c r="F40" t="n">
        <v>44703</v>
      </c>
      <c r="G40" t="n">
        <v>44733</v>
      </c>
      <c r="H40" t="inlineStr">
        <is>
          <t>خرداد 1401</t>
        </is>
      </c>
    </row>
    <row r="41">
      <c r="A41" t="n">
        <v>13980209</v>
      </c>
      <c r="B41" t="n">
        <v>43584</v>
      </c>
      <c r="C41" t="inlineStr">
        <is>
          <t>1398/02/09</t>
        </is>
      </c>
      <c r="E41" t="n">
        <v>140104</v>
      </c>
      <c r="F41" t="n">
        <v>44734</v>
      </c>
      <c r="G41" t="n">
        <v>44764</v>
      </c>
      <c r="H41" t="inlineStr">
        <is>
          <t>تیر 1401</t>
        </is>
      </c>
    </row>
    <row r="42">
      <c r="A42" t="n">
        <v>13980210</v>
      </c>
      <c r="B42" t="n">
        <v>43585</v>
      </c>
      <c r="C42" t="inlineStr">
        <is>
          <t>1398/02/10</t>
        </is>
      </c>
      <c r="E42" t="n">
        <v>140105</v>
      </c>
      <c r="F42" t="n">
        <v>44765</v>
      </c>
      <c r="G42" t="n">
        <v>44795</v>
      </c>
      <c r="H42" t="inlineStr">
        <is>
          <t>مرداد 1401</t>
        </is>
      </c>
    </row>
    <row r="43">
      <c r="A43" t="n">
        <v>13980211</v>
      </c>
      <c r="B43" t="n">
        <v>43586</v>
      </c>
      <c r="C43" t="inlineStr">
        <is>
          <t>1398/02/11</t>
        </is>
      </c>
      <c r="E43" t="n">
        <v>140106</v>
      </c>
      <c r="F43" t="n">
        <v>44796</v>
      </c>
      <c r="G43" t="n">
        <v>44826</v>
      </c>
      <c r="H43" t="inlineStr">
        <is>
          <t>شهریور 1401</t>
        </is>
      </c>
    </row>
    <row r="44">
      <c r="A44" t="n">
        <v>13980212</v>
      </c>
      <c r="B44" t="n">
        <v>43587</v>
      </c>
      <c r="C44" t="inlineStr">
        <is>
          <t>1398/02/12</t>
        </is>
      </c>
      <c r="E44" t="n">
        <v>140107</v>
      </c>
      <c r="F44" t="n">
        <v>44827</v>
      </c>
      <c r="G44" t="n">
        <v>44856</v>
      </c>
      <c r="H44" t="inlineStr">
        <is>
          <t>مهر 1401</t>
        </is>
      </c>
    </row>
    <row r="45">
      <c r="A45" t="n">
        <v>13980213</v>
      </c>
      <c r="B45" t="n">
        <v>43588</v>
      </c>
      <c r="C45" t="inlineStr">
        <is>
          <t>1398/02/13</t>
        </is>
      </c>
      <c r="E45" t="n">
        <v>140108</v>
      </c>
      <c r="F45" t="n">
        <v>44857</v>
      </c>
      <c r="G45" t="n">
        <v>44886</v>
      </c>
      <c r="H45" t="inlineStr">
        <is>
          <t>آبان 1401</t>
        </is>
      </c>
    </row>
    <row r="46">
      <c r="A46" t="n">
        <v>13980214</v>
      </c>
      <c r="B46" t="n">
        <v>43589</v>
      </c>
      <c r="C46" t="inlineStr">
        <is>
          <t>1398/02/14</t>
        </is>
      </c>
      <c r="E46" t="n">
        <v>140109</v>
      </c>
      <c r="F46" t="n">
        <v>44887</v>
      </c>
      <c r="G46" t="n">
        <v>44916</v>
      </c>
      <c r="H46" t="inlineStr">
        <is>
          <t>آذر 1401</t>
        </is>
      </c>
    </row>
    <row r="47">
      <c r="A47" t="n">
        <v>13980215</v>
      </c>
      <c r="B47" t="n">
        <v>43590</v>
      </c>
      <c r="C47" t="inlineStr">
        <is>
          <t>1398/02/15</t>
        </is>
      </c>
      <c r="E47" t="n">
        <v>140110</v>
      </c>
      <c r="F47" t="n">
        <v>44917</v>
      </c>
      <c r="G47" t="n">
        <v>44946</v>
      </c>
      <c r="H47" t="inlineStr">
        <is>
          <t>دی 1401</t>
        </is>
      </c>
    </row>
    <row r="48">
      <c r="A48" t="n">
        <v>13980216</v>
      </c>
      <c r="B48" t="n">
        <v>43591</v>
      </c>
      <c r="C48" t="inlineStr">
        <is>
          <t>1398/02/16</t>
        </is>
      </c>
      <c r="E48" t="n">
        <v>140111</v>
      </c>
      <c r="F48" t="n">
        <v>44947</v>
      </c>
      <c r="G48" t="n">
        <v>44976</v>
      </c>
      <c r="H48" t="inlineStr">
        <is>
          <t>بهمن 1401</t>
        </is>
      </c>
    </row>
    <row r="49">
      <c r="A49" t="n">
        <v>13980217</v>
      </c>
      <c r="B49" t="n">
        <v>43592</v>
      </c>
      <c r="C49" t="inlineStr">
        <is>
          <t>1398/02/17</t>
        </is>
      </c>
      <c r="E49" t="n">
        <v>140112</v>
      </c>
      <c r="F49" t="n">
        <v>44977</v>
      </c>
      <c r="G49" t="n">
        <v>45005</v>
      </c>
      <c r="H49" t="inlineStr">
        <is>
          <t>اسفند 1401</t>
        </is>
      </c>
    </row>
    <row r="50">
      <c r="A50" t="n">
        <v>13980218</v>
      </c>
      <c r="B50" t="n">
        <v>43593</v>
      </c>
      <c r="C50" t="inlineStr">
        <is>
          <t>1398/02/18</t>
        </is>
      </c>
      <c r="E50" t="n">
        <v>140201</v>
      </c>
      <c r="F50" t="n">
        <v>45006</v>
      </c>
      <c r="G50" t="n">
        <v>45036</v>
      </c>
      <c r="H50" t="inlineStr">
        <is>
          <t>فروردین 1402</t>
        </is>
      </c>
    </row>
    <row r="51">
      <c r="A51" t="n">
        <v>13980219</v>
      </c>
      <c r="B51" t="n">
        <v>43594</v>
      </c>
      <c r="C51" t="inlineStr">
        <is>
          <t>1398/02/19</t>
        </is>
      </c>
      <c r="E51" t="n">
        <v>140202</v>
      </c>
      <c r="F51" t="n">
        <v>45037</v>
      </c>
      <c r="G51" t="n">
        <v>45067</v>
      </c>
      <c r="H51" t="inlineStr">
        <is>
          <t>اردیبهشت 1402</t>
        </is>
      </c>
    </row>
    <row r="52">
      <c r="A52" t="n">
        <v>13980220</v>
      </c>
      <c r="B52" t="n">
        <v>43595</v>
      </c>
      <c r="C52" t="inlineStr">
        <is>
          <t>1398/02/20</t>
        </is>
      </c>
      <c r="E52" t="n">
        <v>140203</v>
      </c>
      <c r="F52" t="n">
        <v>45068</v>
      </c>
      <c r="G52" t="n">
        <v>45098</v>
      </c>
      <c r="H52" t="inlineStr">
        <is>
          <t>خرداد 1402</t>
        </is>
      </c>
    </row>
    <row r="53">
      <c r="A53" t="n">
        <v>13980221</v>
      </c>
      <c r="B53" t="n">
        <v>43596</v>
      </c>
      <c r="C53" t="inlineStr">
        <is>
          <t>1398/02/21</t>
        </is>
      </c>
      <c r="E53" t="n">
        <v>140204</v>
      </c>
      <c r="F53" t="n">
        <v>45099</v>
      </c>
      <c r="G53" t="n">
        <v>45129</v>
      </c>
      <c r="H53" t="inlineStr">
        <is>
          <t>تیر 1402</t>
        </is>
      </c>
    </row>
    <row r="54">
      <c r="A54" t="n">
        <v>13980222</v>
      </c>
      <c r="B54" t="n">
        <v>43597</v>
      </c>
      <c r="C54" t="inlineStr">
        <is>
          <t>1398/02/22</t>
        </is>
      </c>
      <c r="E54" t="n">
        <v>140205</v>
      </c>
      <c r="F54" t="n">
        <v>45130</v>
      </c>
      <c r="G54" t="n">
        <v>45160</v>
      </c>
      <c r="H54" t="inlineStr">
        <is>
          <t>مرداد 1402</t>
        </is>
      </c>
    </row>
    <row r="55">
      <c r="A55" t="n">
        <v>13980223</v>
      </c>
      <c r="B55" t="n">
        <v>43598</v>
      </c>
      <c r="C55" t="inlineStr">
        <is>
          <t>1398/02/23</t>
        </is>
      </c>
      <c r="E55" t="n">
        <v>140206</v>
      </c>
      <c r="F55" t="n">
        <v>45161</v>
      </c>
      <c r="G55" t="n">
        <v>45191</v>
      </c>
      <c r="H55" t="inlineStr">
        <is>
          <t>شهریور 1402</t>
        </is>
      </c>
    </row>
    <row r="56">
      <c r="A56" t="n">
        <v>13980224</v>
      </c>
      <c r="B56" t="n">
        <v>43599</v>
      </c>
      <c r="C56" t="inlineStr">
        <is>
          <t>1398/02/24</t>
        </is>
      </c>
      <c r="E56" t="n">
        <v>140207</v>
      </c>
      <c r="F56" t="n">
        <v>45192</v>
      </c>
      <c r="G56" t="n">
        <v>45221</v>
      </c>
      <c r="H56" t="inlineStr">
        <is>
          <t>مهر 1402</t>
        </is>
      </c>
    </row>
    <row r="57">
      <c r="A57" t="n">
        <v>13980225</v>
      </c>
      <c r="B57" t="n">
        <v>43600</v>
      </c>
      <c r="C57" t="inlineStr">
        <is>
          <t>1398/02/25</t>
        </is>
      </c>
      <c r="E57" t="n">
        <v>140208</v>
      </c>
      <c r="F57" t="n">
        <v>45222</v>
      </c>
      <c r="G57" t="n">
        <v>45251</v>
      </c>
      <c r="H57" t="inlineStr">
        <is>
          <t>آبان 1402</t>
        </is>
      </c>
    </row>
    <row r="58">
      <c r="A58" t="n">
        <v>13980226</v>
      </c>
      <c r="B58" t="n">
        <v>43601</v>
      </c>
      <c r="C58" t="inlineStr">
        <is>
          <t>1398/02/26</t>
        </is>
      </c>
      <c r="E58" t="n">
        <v>140209</v>
      </c>
      <c r="F58" t="n">
        <v>45252</v>
      </c>
      <c r="G58" t="n">
        <v>45281</v>
      </c>
      <c r="H58" t="inlineStr">
        <is>
          <t>آذر 1402</t>
        </is>
      </c>
    </row>
    <row r="59">
      <c r="A59" t="n">
        <v>13980227</v>
      </c>
      <c r="B59" t="n">
        <v>43602</v>
      </c>
      <c r="C59" t="inlineStr">
        <is>
          <t>1398/02/27</t>
        </is>
      </c>
      <c r="E59" t="n">
        <v>140210</v>
      </c>
      <c r="F59" t="n">
        <v>45282</v>
      </c>
      <c r="G59" t="n">
        <v>45311</v>
      </c>
      <c r="H59" t="inlineStr">
        <is>
          <t>دی 1402</t>
        </is>
      </c>
    </row>
    <row r="60">
      <c r="A60" t="n">
        <v>13980228</v>
      </c>
      <c r="B60" t="n">
        <v>43603</v>
      </c>
      <c r="C60" t="inlineStr">
        <is>
          <t>1398/02/28</t>
        </is>
      </c>
      <c r="E60" t="n">
        <v>140211</v>
      </c>
      <c r="F60" t="n">
        <v>45312</v>
      </c>
      <c r="G60" t="n">
        <v>45341</v>
      </c>
      <c r="H60" t="inlineStr">
        <is>
          <t>بهمن 1402</t>
        </is>
      </c>
    </row>
    <row r="61">
      <c r="A61" t="n">
        <v>13980229</v>
      </c>
      <c r="B61" t="n">
        <v>43604</v>
      </c>
      <c r="C61" t="inlineStr">
        <is>
          <t>1398/02/29</t>
        </is>
      </c>
      <c r="E61" t="n">
        <v>140212</v>
      </c>
      <c r="F61" t="n">
        <v>45342</v>
      </c>
      <c r="G61" t="n">
        <v>45370</v>
      </c>
      <c r="H61" t="inlineStr">
        <is>
          <t>اسفند 1402</t>
        </is>
      </c>
    </row>
    <row r="62">
      <c r="A62" t="n">
        <v>13980230</v>
      </c>
      <c r="B62" t="n">
        <v>43605</v>
      </c>
      <c r="C62" t="inlineStr">
        <is>
          <t>1398/02/30</t>
        </is>
      </c>
      <c r="E62" t="n">
        <v>140301</v>
      </c>
      <c r="F62" t="n">
        <v>45371</v>
      </c>
      <c r="G62" t="n">
        <v>45401</v>
      </c>
      <c r="H62" t="inlineStr">
        <is>
          <t>فروردین 1403</t>
        </is>
      </c>
    </row>
    <row r="63">
      <c r="A63" t="n">
        <v>13980231</v>
      </c>
      <c r="B63" t="n">
        <v>43606</v>
      </c>
      <c r="C63" t="inlineStr">
        <is>
          <t>1398/02/31</t>
        </is>
      </c>
      <c r="E63" t="n">
        <v>140302</v>
      </c>
      <c r="F63" t="n">
        <v>45402</v>
      </c>
      <c r="G63" t="n">
        <v>45432</v>
      </c>
      <c r="H63" t="inlineStr">
        <is>
          <t>اردیبهشت 1403</t>
        </is>
      </c>
    </row>
    <row r="64">
      <c r="A64" t="n">
        <v>13980301</v>
      </c>
      <c r="B64" t="n">
        <v>43607</v>
      </c>
      <c r="C64" t="inlineStr">
        <is>
          <t>1398/03/01</t>
        </is>
      </c>
      <c r="E64" t="n">
        <v>140303</v>
      </c>
      <c r="F64" t="n">
        <v>45433</v>
      </c>
      <c r="G64" t="n">
        <v>45463</v>
      </c>
      <c r="H64" t="inlineStr">
        <is>
          <t>خرداد 1403</t>
        </is>
      </c>
    </row>
    <row r="65">
      <c r="A65" t="n">
        <v>13980302</v>
      </c>
      <c r="B65" t="n">
        <v>43608</v>
      </c>
      <c r="C65" t="inlineStr">
        <is>
          <t>1398/03/02</t>
        </is>
      </c>
      <c r="E65" t="n">
        <v>140304</v>
      </c>
      <c r="F65" t="n">
        <v>45464</v>
      </c>
      <c r="G65" t="n">
        <v>45494</v>
      </c>
      <c r="H65" t="inlineStr">
        <is>
          <t>تیر 1403</t>
        </is>
      </c>
    </row>
    <row r="66">
      <c r="A66" t="n">
        <v>13980303</v>
      </c>
      <c r="B66" t="n">
        <v>43609</v>
      </c>
      <c r="C66" t="inlineStr">
        <is>
          <t>1398/03/03</t>
        </is>
      </c>
      <c r="E66" t="n">
        <v>140305</v>
      </c>
      <c r="F66" t="n">
        <v>45495</v>
      </c>
      <c r="G66" t="n">
        <v>45525</v>
      </c>
      <c r="H66" t="inlineStr">
        <is>
          <t>مرداد 1403</t>
        </is>
      </c>
    </row>
    <row r="67">
      <c r="A67" t="n">
        <v>13980304</v>
      </c>
      <c r="B67" t="n">
        <v>43610</v>
      </c>
      <c r="C67" t="inlineStr">
        <is>
          <t>1398/03/04</t>
        </is>
      </c>
      <c r="E67" t="n">
        <v>140306</v>
      </c>
      <c r="F67" t="n">
        <v>45526</v>
      </c>
      <c r="G67" t="n">
        <v>45556</v>
      </c>
      <c r="H67" t="inlineStr">
        <is>
          <t>شهریور 1403</t>
        </is>
      </c>
    </row>
    <row r="68">
      <c r="A68" t="n">
        <v>13980305</v>
      </c>
      <c r="B68" t="n">
        <v>43611</v>
      </c>
      <c r="C68" t="inlineStr">
        <is>
          <t>1398/03/05</t>
        </is>
      </c>
      <c r="E68" t="n">
        <v>140307</v>
      </c>
      <c r="F68" t="n">
        <v>45557</v>
      </c>
      <c r="G68" t="n">
        <v>45586</v>
      </c>
      <c r="H68" t="inlineStr">
        <is>
          <t>مهر 1403</t>
        </is>
      </c>
    </row>
    <row r="69">
      <c r="A69" t="n">
        <v>13980306</v>
      </c>
      <c r="B69" t="n">
        <v>43612</v>
      </c>
      <c r="C69" t="inlineStr">
        <is>
          <t>1398/03/06</t>
        </is>
      </c>
      <c r="E69" t="n">
        <v>140308</v>
      </c>
      <c r="F69" t="n">
        <v>45587</v>
      </c>
      <c r="G69" t="n">
        <v>45616</v>
      </c>
      <c r="H69" t="inlineStr">
        <is>
          <t>آبان 1403</t>
        </is>
      </c>
    </row>
    <row r="70">
      <c r="A70" t="n">
        <v>13980307</v>
      </c>
      <c r="B70" t="n">
        <v>43613</v>
      </c>
      <c r="C70" t="inlineStr">
        <is>
          <t>1398/03/07</t>
        </is>
      </c>
      <c r="E70" t="n">
        <v>140309</v>
      </c>
      <c r="F70" t="n">
        <v>45617</v>
      </c>
      <c r="G70" t="n">
        <v>45646</v>
      </c>
      <c r="H70" t="inlineStr">
        <is>
          <t>آذر 1403</t>
        </is>
      </c>
    </row>
    <row r="71">
      <c r="A71" t="n">
        <v>13980308</v>
      </c>
      <c r="B71" t="n">
        <v>43614</v>
      </c>
      <c r="C71" t="inlineStr">
        <is>
          <t>1398/03/08</t>
        </is>
      </c>
      <c r="E71" t="n">
        <v>140310</v>
      </c>
      <c r="F71" t="n">
        <v>45647</v>
      </c>
      <c r="G71" t="n">
        <v>45676</v>
      </c>
      <c r="H71" t="inlineStr">
        <is>
          <t>دی 1403</t>
        </is>
      </c>
    </row>
    <row r="72">
      <c r="A72" t="n">
        <v>13980309</v>
      </c>
      <c r="B72" t="n">
        <v>43615</v>
      </c>
      <c r="C72" t="inlineStr">
        <is>
          <t>1398/03/09</t>
        </is>
      </c>
      <c r="E72" t="n">
        <v>140311</v>
      </c>
      <c r="F72" t="n">
        <v>45677</v>
      </c>
      <c r="G72" t="n">
        <v>45706</v>
      </c>
      <c r="H72" t="inlineStr">
        <is>
          <t>بهمن 1403</t>
        </is>
      </c>
    </row>
    <row r="73">
      <c r="A73" t="n">
        <v>13980310</v>
      </c>
      <c r="B73" t="n">
        <v>43616</v>
      </c>
      <c r="C73" t="inlineStr">
        <is>
          <t>1398/03/10</t>
        </is>
      </c>
      <c r="E73" t="n">
        <v>140312</v>
      </c>
      <c r="F73" t="n">
        <v>45707</v>
      </c>
      <c r="G73" t="n">
        <v>45736</v>
      </c>
      <c r="H73" t="inlineStr">
        <is>
          <t>اسفند 1403</t>
        </is>
      </c>
    </row>
    <row r="74">
      <c r="A74" t="n">
        <v>13980311</v>
      </c>
      <c r="B74" t="n">
        <v>43617</v>
      </c>
      <c r="C74" t="inlineStr">
        <is>
          <t>1398/03/11</t>
        </is>
      </c>
      <c r="E74" t="n">
        <v>140401</v>
      </c>
      <c r="F74" t="n">
        <v>45737</v>
      </c>
      <c r="G74" t="n">
        <v>45767</v>
      </c>
      <c r="H74" t="inlineStr">
        <is>
          <t>فروردین 1404</t>
        </is>
      </c>
    </row>
    <row r="75">
      <c r="A75" t="n">
        <v>13980312</v>
      </c>
      <c r="B75" t="n">
        <v>43618</v>
      </c>
      <c r="C75" t="inlineStr">
        <is>
          <t>1398/03/12</t>
        </is>
      </c>
      <c r="E75" t="n">
        <v>140402</v>
      </c>
      <c r="F75" t="n">
        <v>45768</v>
      </c>
      <c r="G75" t="n">
        <v>45798</v>
      </c>
      <c r="H75" t="inlineStr">
        <is>
          <t>اردیبهشت 1404</t>
        </is>
      </c>
    </row>
    <row r="76">
      <c r="A76" t="n">
        <v>13980313</v>
      </c>
      <c r="B76" t="n">
        <v>43619</v>
      </c>
      <c r="C76" t="inlineStr">
        <is>
          <t>1398/03/13</t>
        </is>
      </c>
      <c r="E76" t="n">
        <v>140403</v>
      </c>
      <c r="F76" t="n">
        <v>45799</v>
      </c>
      <c r="G76" t="n">
        <v>45829</v>
      </c>
      <c r="H76" t="inlineStr">
        <is>
          <t>خرداد 1404</t>
        </is>
      </c>
    </row>
    <row r="77">
      <c r="A77" t="n">
        <v>13980314</v>
      </c>
      <c r="B77" t="n">
        <v>43620</v>
      </c>
      <c r="C77" t="inlineStr">
        <is>
          <t>1398/03/14</t>
        </is>
      </c>
      <c r="E77" t="n">
        <v>140404</v>
      </c>
      <c r="F77" t="n">
        <v>45830</v>
      </c>
      <c r="G77" t="n">
        <v>45860</v>
      </c>
      <c r="H77" t="inlineStr">
        <is>
          <t>تیر 1404</t>
        </is>
      </c>
    </row>
    <row r="78">
      <c r="A78" t="n">
        <v>13980315</v>
      </c>
      <c r="B78" t="n">
        <v>43621</v>
      </c>
      <c r="C78" t="inlineStr">
        <is>
          <t>1398/03/15</t>
        </is>
      </c>
      <c r="E78" t="n">
        <v>140405</v>
      </c>
      <c r="F78" t="n">
        <v>45861</v>
      </c>
      <c r="G78" t="n">
        <v>45891</v>
      </c>
      <c r="H78" t="inlineStr">
        <is>
          <t>مرداد 1404</t>
        </is>
      </c>
    </row>
    <row r="79">
      <c r="A79" t="n">
        <v>13980316</v>
      </c>
      <c r="B79" t="n">
        <v>43622</v>
      </c>
      <c r="C79" t="inlineStr">
        <is>
          <t>1398/03/16</t>
        </is>
      </c>
      <c r="E79" t="n">
        <v>140406</v>
      </c>
      <c r="F79" t="n">
        <v>45892</v>
      </c>
      <c r="G79" t="n">
        <v>45922</v>
      </c>
      <c r="H79" t="inlineStr">
        <is>
          <t>شهریور 1404</t>
        </is>
      </c>
    </row>
    <row r="80">
      <c r="A80" t="n">
        <v>13980317</v>
      </c>
      <c r="B80" t="n">
        <v>43623</v>
      </c>
      <c r="C80" t="inlineStr">
        <is>
          <t>1398/03/17</t>
        </is>
      </c>
      <c r="E80" t="n">
        <v>140407</v>
      </c>
      <c r="F80" t="n">
        <v>45923</v>
      </c>
      <c r="G80" t="n">
        <v>45952</v>
      </c>
      <c r="H80" t="inlineStr">
        <is>
          <t>مهر 1404</t>
        </is>
      </c>
    </row>
    <row r="81">
      <c r="A81" t="n">
        <v>13980318</v>
      </c>
      <c r="B81" t="n">
        <v>43624</v>
      </c>
      <c r="C81" t="inlineStr">
        <is>
          <t>1398/03/18</t>
        </is>
      </c>
      <c r="E81" t="n">
        <v>140408</v>
      </c>
      <c r="F81" t="n">
        <v>45953</v>
      </c>
      <c r="G81" t="n">
        <v>45982</v>
      </c>
      <c r="H81" t="inlineStr">
        <is>
          <t>آبان 1404</t>
        </is>
      </c>
    </row>
    <row r="82">
      <c r="A82" t="n">
        <v>13980319</v>
      </c>
      <c r="B82" t="n">
        <v>43625</v>
      </c>
      <c r="C82" t="inlineStr">
        <is>
          <t>1398/03/19</t>
        </is>
      </c>
      <c r="E82" t="n">
        <v>140409</v>
      </c>
      <c r="F82" t="n">
        <v>45983</v>
      </c>
      <c r="G82" t="n">
        <v>46012</v>
      </c>
      <c r="H82" t="inlineStr">
        <is>
          <t>آذر 1404</t>
        </is>
      </c>
    </row>
    <row r="83">
      <c r="A83" t="n">
        <v>13980320</v>
      </c>
      <c r="B83" t="n">
        <v>43626</v>
      </c>
      <c r="C83" t="inlineStr">
        <is>
          <t>1398/03/20</t>
        </is>
      </c>
      <c r="E83" t="n">
        <v>140410</v>
      </c>
      <c r="F83" t="n">
        <v>46013</v>
      </c>
      <c r="G83" t="n">
        <v>46042</v>
      </c>
      <c r="H83" t="inlineStr">
        <is>
          <t>دی 1404</t>
        </is>
      </c>
    </row>
    <row r="84">
      <c r="A84" t="n">
        <v>13980321</v>
      </c>
      <c r="B84" t="n">
        <v>43627</v>
      </c>
      <c r="C84" t="inlineStr">
        <is>
          <t>1398/03/21</t>
        </is>
      </c>
      <c r="E84" t="n">
        <v>140411</v>
      </c>
      <c r="F84" t="n">
        <v>46043</v>
      </c>
      <c r="G84" t="n">
        <v>46072</v>
      </c>
      <c r="H84" t="inlineStr">
        <is>
          <t>بهمن 1404</t>
        </is>
      </c>
    </row>
    <row r="85">
      <c r="A85" t="n">
        <v>13980322</v>
      </c>
      <c r="B85" t="n">
        <v>43628</v>
      </c>
      <c r="C85" t="inlineStr">
        <is>
          <t>1398/03/22</t>
        </is>
      </c>
      <c r="E85" t="n">
        <v>140412</v>
      </c>
      <c r="F85" t="n">
        <v>46073</v>
      </c>
      <c r="G85" t="n">
        <v>46101</v>
      </c>
      <c r="H85" t="inlineStr">
        <is>
          <t>اسفند 1404</t>
        </is>
      </c>
    </row>
    <row r="86">
      <c r="A86" t="n">
        <v>13980323</v>
      </c>
      <c r="B86" t="n">
        <v>43629</v>
      </c>
      <c r="C86" t="inlineStr">
        <is>
          <t>1398/03/23</t>
        </is>
      </c>
      <c r="E86" t="n">
        <v>140501</v>
      </c>
      <c r="F86" t="n">
        <v>46102</v>
      </c>
      <c r="G86" t="n">
        <v>46132</v>
      </c>
      <c r="H86" t="inlineStr">
        <is>
          <t>فروردین 1405</t>
        </is>
      </c>
    </row>
    <row r="87">
      <c r="A87" t="n">
        <v>13980324</v>
      </c>
      <c r="B87" t="n">
        <v>43630</v>
      </c>
      <c r="C87" t="inlineStr">
        <is>
          <t>1398/03/24</t>
        </is>
      </c>
      <c r="E87" t="n">
        <v>140502</v>
      </c>
      <c r="F87" t="n">
        <v>46133</v>
      </c>
      <c r="G87" t="n">
        <v>46163</v>
      </c>
      <c r="H87" t="inlineStr">
        <is>
          <t>اردیبهشت 1405</t>
        </is>
      </c>
    </row>
    <row r="88">
      <c r="A88" t="n">
        <v>13980325</v>
      </c>
      <c r="B88" t="n">
        <v>43631</v>
      </c>
      <c r="C88" t="inlineStr">
        <is>
          <t>1398/03/25</t>
        </is>
      </c>
      <c r="E88" t="n">
        <v>140503</v>
      </c>
      <c r="F88" t="n">
        <v>46164</v>
      </c>
      <c r="G88" t="n">
        <v>46194</v>
      </c>
      <c r="H88" t="inlineStr">
        <is>
          <t>خرداد 1405</t>
        </is>
      </c>
    </row>
    <row r="89">
      <c r="A89" t="n">
        <v>13980326</v>
      </c>
      <c r="B89" t="n">
        <v>43632</v>
      </c>
      <c r="C89" t="inlineStr">
        <is>
          <t>1398/03/26</t>
        </is>
      </c>
      <c r="E89" t="n">
        <v>140504</v>
      </c>
      <c r="F89" t="n">
        <v>46195</v>
      </c>
      <c r="G89" t="n">
        <v>46225</v>
      </c>
      <c r="H89" t="inlineStr">
        <is>
          <t>تیر 1405</t>
        </is>
      </c>
    </row>
    <row r="90">
      <c r="A90" t="n">
        <v>13980327</v>
      </c>
      <c r="B90" t="n">
        <v>43633</v>
      </c>
      <c r="C90" t="inlineStr">
        <is>
          <t>1398/03/27</t>
        </is>
      </c>
      <c r="E90" t="n">
        <v>140505</v>
      </c>
      <c r="F90" t="n">
        <v>46226</v>
      </c>
      <c r="G90" t="n">
        <v>46256</v>
      </c>
      <c r="H90" t="inlineStr">
        <is>
          <t>مرداد 1405</t>
        </is>
      </c>
    </row>
    <row r="91">
      <c r="A91" t="n">
        <v>13980328</v>
      </c>
      <c r="B91" t="n">
        <v>43634</v>
      </c>
      <c r="C91" t="inlineStr">
        <is>
          <t>1398/03/28</t>
        </is>
      </c>
      <c r="E91" t="n">
        <v>140506</v>
      </c>
      <c r="F91" t="n">
        <v>46257</v>
      </c>
      <c r="G91" t="n">
        <v>46287</v>
      </c>
      <c r="H91" t="inlineStr">
        <is>
          <t>شهریور 1405</t>
        </is>
      </c>
    </row>
    <row r="92">
      <c r="A92" t="n">
        <v>13980329</v>
      </c>
      <c r="B92" t="n">
        <v>43635</v>
      </c>
      <c r="C92" t="inlineStr">
        <is>
          <t>1398/03/29</t>
        </is>
      </c>
      <c r="E92" t="n">
        <v>140507</v>
      </c>
      <c r="F92" t="n">
        <v>46288</v>
      </c>
      <c r="G92" t="n">
        <v>46317</v>
      </c>
      <c r="H92" t="inlineStr">
        <is>
          <t>مهر 1405</t>
        </is>
      </c>
    </row>
    <row r="93">
      <c r="A93" t="n">
        <v>13980330</v>
      </c>
      <c r="B93" t="n">
        <v>43636</v>
      </c>
      <c r="C93" t="inlineStr">
        <is>
          <t>1398/03/30</t>
        </is>
      </c>
      <c r="E93" t="n">
        <v>140508</v>
      </c>
      <c r="F93" t="n">
        <v>46318</v>
      </c>
      <c r="G93" t="n">
        <v>46347</v>
      </c>
      <c r="H93" t="inlineStr">
        <is>
          <t>آبان 1405</t>
        </is>
      </c>
    </row>
    <row r="94">
      <c r="A94" t="n">
        <v>13980331</v>
      </c>
      <c r="B94" t="n">
        <v>43637</v>
      </c>
      <c r="C94" t="inlineStr">
        <is>
          <t>1398/03/31</t>
        </is>
      </c>
      <c r="E94" t="n">
        <v>140509</v>
      </c>
      <c r="F94" t="n">
        <v>46348</v>
      </c>
      <c r="G94" t="n">
        <v>46377</v>
      </c>
      <c r="H94" t="inlineStr">
        <is>
          <t>آذر 1405</t>
        </is>
      </c>
    </row>
    <row r="95">
      <c r="A95" t="n">
        <v>13980401</v>
      </c>
      <c r="B95" t="n">
        <v>43638</v>
      </c>
      <c r="C95" t="inlineStr">
        <is>
          <t>1398/04/01</t>
        </is>
      </c>
      <c r="E95" t="n">
        <v>140510</v>
      </c>
      <c r="F95" t="n">
        <v>46378</v>
      </c>
      <c r="G95" t="n">
        <v>46407</v>
      </c>
      <c r="H95" t="inlineStr">
        <is>
          <t>دی 1405</t>
        </is>
      </c>
    </row>
    <row r="96">
      <c r="A96" t="n">
        <v>13980402</v>
      </c>
      <c r="B96" t="n">
        <v>43639</v>
      </c>
      <c r="C96" t="inlineStr">
        <is>
          <t>1398/04/02</t>
        </is>
      </c>
      <c r="E96" t="n">
        <v>140511</v>
      </c>
      <c r="F96" t="n">
        <v>46408</v>
      </c>
      <c r="G96" t="n">
        <v>46437</v>
      </c>
      <c r="H96" t="inlineStr">
        <is>
          <t>بهمن 1405</t>
        </is>
      </c>
    </row>
    <row r="97">
      <c r="A97" t="n">
        <v>13980403</v>
      </c>
      <c r="B97" t="n">
        <v>43640</v>
      </c>
      <c r="C97" t="inlineStr">
        <is>
          <t>1398/04/03</t>
        </is>
      </c>
      <c r="E97" t="n">
        <v>140512</v>
      </c>
      <c r="F97" t="n">
        <v>46438</v>
      </c>
      <c r="G97" t="n">
        <v>46466</v>
      </c>
      <c r="H97" t="inlineStr">
        <is>
          <t>اسفند 1405</t>
        </is>
      </c>
    </row>
    <row r="98">
      <c r="A98" t="n">
        <v>13980404</v>
      </c>
      <c r="B98" t="n">
        <v>43641</v>
      </c>
      <c r="C98" t="inlineStr">
        <is>
          <t>1398/04/04</t>
        </is>
      </c>
      <c r="E98" t="n">
        <v>140601</v>
      </c>
      <c r="F98" t="n">
        <v>46467</v>
      </c>
      <c r="G98" t="n">
        <v>46497</v>
      </c>
      <c r="H98" t="inlineStr">
        <is>
          <t>فروردین 1406</t>
        </is>
      </c>
    </row>
    <row r="99">
      <c r="A99" t="n">
        <v>13980405</v>
      </c>
      <c r="B99" t="n">
        <v>43642</v>
      </c>
      <c r="C99" t="inlineStr">
        <is>
          <t>1398/04/05</t>
        </is>
      </c>
      <c r="E99" t="n">
        <v>140602</v>
      </c>
      <c r="F99" t="n">
        <v>46498</v>
      </c>
      <c r="G99" t="n">
        <v>46528</v>
      </c>
      <c r="H99" t="inlineStr">
        <is>
          <t>اردیبهشت 1406</t>
        </is>
      </c>
    </row>
    <row r="100">
      <c r="A100" t="n">
        <v>13980406</v>
      </c>
      <c r="B100" t="n">
        <v>43643</v>
      </c>
      <c r="C100" t="inlineStr">
        <is>
          <t>1398/04/06</t>
        </is>
      </c>
      <c r="E100" t="n">
        <v>140603</v>
      </c>
      <c r="F100" t="n">
        <v>46529</v>
      </c>
      <c r="G100" t="n">
        <v>46559</v>
      </c>
      <c r="H100" t="inlineStr">
        <is>
          <t>خرداد 1406</t>
        </is>
      </c>
    </row>
    <row r="101">
      <c r="A101" t="n">
        <v>13980407</v>
      </c>
      <c r="B101" t="n">
        <v>43644</v>
      </c>
      <c r="C101" t="inlineStr">
        <is>
          <t>1398/04/07</t>
        </is>
      </c>
      <c r="E101" t="n">
        <v>140604</v>
      </c>
      <c r="F101" t="n">
        <v>46560</v>
      </c>
      <c r="G101" t="n">
        <v>46590</v>
      </c>
      <c r="H101" t="inlineStr">
        <is>
          <t>تیر 1406</t>
        </is>
      </c>
    </row>
    <row r="102">
      <c r="A102" t="n">
        <v>13980408</v>
      </c>
      <c r="B102" t="n">
        <v>43645</v>
      </c>
      <c r="C102" t="inlineStr">
        <is>
          <t>1398/04/08</t>
        </is>
      </c>
      <c r="E102" t="n">
        <v>140605</v>
      </c>
      <c r="F102" t="n">
        <v>46591</v>
      </c>
      <c r="G102" t="n">
        <v>46621</v>
      </c>
      <c r="H102" t="inlineStr">
        <is>
          <t>مرداد 1406</t>
        </is>
      </c>
    </row>
    <row r="103">
      <c r="A103" t="n">
        <v>13980409</v>
      </c>
      <c r="B103" t="n">
        <v>43646</v>
      </c>
      <c r="C103" t="inlineStr">
        <is>
          <t>1398/04/09</t>
        </is>
      </c>
      <c r="E103" t="n">
        <v>140606</v>
      </c>
      <c r="F103" t="n">
        <v>46622</v>
      </c>
      <c r="G103" t="n">
        <v>46652</v>
      </c>
      <c r="H103" t="inlineStr">
        <is>
          <t>شهریور 1406</t>
        </is>
      </c>
    </row>
    <row r="104">
      <c r="A104" t="n">
        <v>13980410</v>
      </c>
      <c r="B104" t="n">
        <v>43647</v>
      </c>
      <c r="C104" t="inlineStr">
        <is>
          <t>1398/04/10</t>
        </is>
      </c>
      <c r="E104" t="n">
        <v>140607</v>
      </c>
      <c r="F104" t="n">
        <v>46653</v>
      </c>
      <c r="G104" t="n">
        <v>46682</v>
      </c>
      <c r="H104" t="inlineStr">
        <is>
          <t>مهر 1406</t>
        </is>
      </c>
    </row>
    <row r="105">
      <c r="A105" t="n">
        <v>13980411</v>
      </c>
      <c r="B105" t="n">
        <v>43648</v>
      </c>
      <c r="C105" t="inlineStr">
        <is>
          <t>1398/04/11</t>
        </is>
      </c>
      <c r="E105" t="n">
        <v>140608</v>
      </c>
      <c r="F105" t="n">
        <v>46683</v>
      </c>
      <c r="G105" t="n">
        <v>46712</v>
      </c>
      <c r="H105" t="inlineStr">
        <is>
          <t>آبان 1406</t>
        </is>
      </c>
    </row>
    <row r="106">
      <c r="A106" t="n">
        <v>13980412</v>
      </c>
      <c r="B106" t="n">
        <v>43649</v>
      </c>
      <c r="C106" t="inlineStr">
        <is>
          <t>1398/04/12</t>
        </is>
      </c>
      <c r="E106" t="n">
        <v>140609</v>
      </c>
      <c r="F106" t="n">
        <v>46713</v>
      </c>
      <c r="G106" t="n">
        <v>46742</v>
      </c>
      <c r="H106" t="inlineStr">
        <is>
          <t>آذر 1406</t>
        </is>
      </c>
    </row>
    <row r="107">
      <c r="A107" t="n">
        <v>13980413</v>
      </c>
      <c r="B107" t="n">
        <v>43650</v>
      </c>
      <c r="C107" t="inlineStr">
        <is>
          <t>1398/04/13</t>
        </is>
      </c>
      <c r="E107" t="n">
        <v>140610</v>
      </c>
      <c r="F107" t="n">
        <v>46743</v>
      </c>
      <c r="G107" t="n">
        <v>46772</v>
      </c>
      <c r="H107" t="inlineStr">
        <is>
          <t>دی 1406</t>
        </is>
      </c>
    </row>
    <row r="108">
      <c r="A108" t="n">
        <v>13980414</v>
      </c>
      <c r="B108" t="n">
        <v>43651</v>
      </c>
      <c r="C108" t="inlineStr">
        <is>
          <t>1398/04/14</t>
        </is>
      </c>
      <c r="E108" t="n">
        <v>140611</v>
      </c>
      <c r="F108" t="n">
        <v>46773</v>
      </c>
      <c r="G108" t="n">
        <v>46802</v>
      </c>
      <c r="H108" t="inlineStr">
        <is>
          <t>بهمن 1406</t>
        </is>
      </c>
    </row>
    <row r="109">
      <c r="A109" t="n">
        <v>13980415</v>
      </c>
      <c r="B109" t="n">
        <v>43652</v>
      </c>
      <c r="C109" t="inlineStr">
        <is>
          <t>1398/04/15</t>
        </is>
      </c>
      <c r="E109" t="n">
        <v>140612</v>
      </c>
      <c r="F109" t="n">
        <v>46803</v>
      </c>
      <c r="G109" t="n">
        <v>46831</v>
      </c>
      <c r="H109" t="inlineStr">
        <is>
          <t>اسفند 1406</t>
        </is>
      </c>
    </row>
    <row r="110">
      <c r="A110" t="n">
        <v>13980416</v>
      </c>
      <c r="B110" t="n">
        <v>43653</v>
      </c>
      <c r="C110" t="inlineStr">
        <is>
          <t>1398/04/16</t>
        </is>
      </c>
      <c r="E110" t="n">
        <v>140701</v>
      </c>
      <c r="F110" t="n">
        <v>46832</v>
      </c>
      <c r="G110" t="n">
        <v>46862</v>
      </c>
      <c r="H110" t="inlineStr">
        <is>
          <t>فروردین 1407</t>
        </is>
      </c>
    </row>
    <row r="111">
      <c r="A111" t="n">
        <v>13980417</v>
      </c>
      <c r="B111" t="n">
        <v>43654</v>
      </c>
      <c r="C111" t="inlineStr">
        <is>
          <t>1398/04/17</t>
        </is>
      </c>
      <c r="E111" t="n">
        <v>140702</v>
      </c>
      <c r="F111" t="n">
        <v>46863</v>
      </c>
      <c r="G111" t="n">
        <v>46893</v>
      </c>
      <c r="H111" t="inlineStr">
        <is>
          <t>اردیبهشت 1407</t>
        </is>
      </c>
    </row>
    <row r="112">
      <c r="A112" t="n">
        <v>13980418</v>
      </c>
      <c r="B112" t="n">
        <v>43655</v>
      </c>
      <c r="C112" t="inlineStr">
        <is>
          <t>1398/04/18</t>
        </is>
      </c>
      <c r="E112" t="n">
        <v>140703</v>
      </c>
      <c r="F112" t="n">
        <v>46894</v>
      </c>
      <c r="G112" t="n">
        <v>46924</v>
      </c>
      <c r="H112" t="inlineStr">
        <is>
          <t>خرداد 1407</t>
        </is>
      </c>
    </row>
    <row r="113">
      <c r="A113" t="n">
        <v>13980419</v>
      </c>
      <c r="B113" t="n">
        <v>43656</v>
      </c>
      <c r="C113" t="inlineStr">
        <is>
          <t>1398/04/19</t>
        </is>
      </c>
      <c r="E113" t="n">
        <v>140704</v>
      </c>
      <c r="F113" t="n">
        <v>46925</v>
      </c>
      <c r="G113" t="n">
        <v>46955</v>
      </c>
      <c r="H113" t="inlineStr">
        <is>
          <t>تیر 1407</t>
        </is>
      </c>
    </row>
    <row r="114">
      <c r="A114" t="n">
        <v>13980420</v>
      </c>
      <c r="B114" t="n">
        <v>43657</v>
      </c>
      <c r="C114" t="inlineStr">
        <is>
          <t>1398/04/20</t>
        </is>
      </c>
      <c r="E114" t="n">
        <v>140705</v>
      </c>
      <c r="F114" t="n">
        <v>46956</v>
      </c>
      <c r="G114" t="n">
        <v>46986</v>
      </c>
      <c r="H114" t="inlineStr">
        <is>
          <t>مرداد 1407</t>
        </is>
      </c>
    </row>
    <row r="115">
      <c r="A115" t="n">
        <v>13980421</v>
      </c>
      <c r="B115" t="n">
        <v>43658</v>
      </c>
      <c r="C115" t="inlineStr">
        <is>
          <t>1398/04/21</t>
        </is>
      </c>
      <c r="E115" t="n">
        <v>140706</v>
      </c>
      <c r="F115" t="n">
        <v>46987</v>
      </c>
      <c r="G115" t="n">
        <v>47017</v>
      </c>
      <c r="H115" t="inlineStr">
        <is>
          <t>شهریور 1407</t>
        </is>
      </c>
    </row>
    <row r="116">
      <c r="A116" t="n">
        <v>13980422</v>
      </c>
      <c r="B116" t="n">
        <v>43659</v>
      </c>
      <c r="C116" t="inlineStr">
        <is>
          <t>1398/04/22</t>
        </is>
      </c>
      <c r="E116" t="n">
        <v>140707</v>
      </c>
      <c r="F116" t="n">
        <v>47018</v>
      </c>
      <c r="G116" t="n">
        <v>47047</v>
      </c>
      <c r="H116" t="inlineStr">
        <is>
          <t>مهر 1407</t>
        </is>
      </c>
    </row>
    <row r="117">
      <c r="A117" t="n">
        <v>13980423</v>
      </c>
      <c r="B117" t="n">
        <v>43660</v>
      </c>
      <c r="C117" t="inlineStr">
        <is>
          <t>1398/04/23</t>
        </is>
      </c>
      <c r="E117" t="n">
        <v>140708</v>
      </c>
      <c r="F117" t="n">
        <v>47048</v>
      </c>
      <c r="G117" t="n">
        <v>47077</v>
      </c>
      <c r="H117" t="inlineStr">
        <is>
          <t>آبان 1407</t>
        </is>
      </c>
    </row>
    <row r="118">
      <c r="A118" t="n">
        <v>13980424</v>
      </c>
      <c r="B118" t="n">
        <v>43661</v>
      </c>
      <c r="C118" t="inlineStr">
        <is>
          <t>1398/04/24</t>
        </is>
      </c>
      <c r="E118" t="n">
        <v>140709</v>
      </c>
      <c r="F118" t="n">
        <v>47078</v>
      </c>
      <c r="G118" t="n">
        <v>47107</v>
      </c>
      <c r="H118" t="inlineStr">
        <is>
          <t>آذر 1407</t>
        </is>
      </c>
    </row>
    <row r="119">
      <c r="A119" t="n">
        <v>13980425</v>
      </c>
      <c r="B119" t="n">
        <v>43662</v>
      </c>
      <c r="C119" t="inlineStr">
        <is>
          <t>1398/04/25</t>
        </is>
      </c>
      <c r="E119" t="n">
        <v>140710</v>
      </c>
      <c r="F119" t="n">
        <v>47108</v>
      </c>
      <c r="G119" t="n">
        <v>47137</v>
      </c>
      <c r="H119" t="inlineStr">
        <is>
          <t>دی 1407</t>
        </is>
      </c>
    </row>
    <row r="120">
      <c r="A120" t="n">
        <v>13980426</v>
      </c>
      <c r="B120" t="n">
        <v>43663</v>
      </c>
      <c r="C120" t="inlineStr">
        <is>
          <t>1398/04/26</t>
        </is>
      </c>
      <c r="E120" t="n">
        <v>140711</v>
      </c>
      <c r="F120" t="n">
        <v>47138</v>
      </c>
      <c r="G120" t="n">
        <v>47167</v>
      </c>
      <c r="H120" t="inlineStr">
        <is>
          <t>بهمن 1407</t>
        </is>
      </c>
    </row>
    <row r="121">
      <c r="A121" t="n">
        <v>13980427</v>
      </c>
      <c r="B121" t="n">
        <v>43664</v>
      </c>
      <c r="C121" t="inlineStr">
        <is>
          <t>1398/04/27</t>
        </is>
      </c>
      <c r="E121" t="n">
        <v>140712</v>
      </c>
      <c r="F121" t="n">
        <v>47168</v>
      </c>
      <c r="G121" t="n">
        <v>47196</v>
      </c>
      <c r="H121" t="inlineStr">
        <is>
          <t>اسفند 1407</t>
        </is>
      </c>
    </row>
    <row r="122">
      <c r="A122" t="n">
        <v>13980428</v>
      </c>
      <c r="B122" t="n">
        <v>43665</v>
      </c>
      <c r="C122" t="inlineStr">
        <is>
          <t>1398/04/28</t>
        </is>
      </c>
      <c r="E122" t="n">
        <v>140801</v>
      </c>
      <c r="F122" t="n">
        <v>47197</v>
      </c>
      <c r="G122" t="n">
        <v>47227</v>
      </c>
      <c r="H122" t="inlineStr">
        <is>
          <t>فروردین 1408</t>
        </is>
      </c>
    </row>
    <row r="123">
      <c r="A123" t="n">
        <v>13980429</v>
      </c>
      <c r="B123" t="n">
        <v>43666</v>
      </c>
      <c r="C123" t="inlineStr">
        <is>
          <t>1398/04/29</t>
        </is>
      </c>
      <c r="E123" t="n">
        <v>140802</v>
      </c>
      <c r="F123" t="n">
        <v>47228</v>
      </c>
      <c r="G123" t="n">
        <v>47258</v>
      </c>
      <c r="H123" t="inlineStr">
        <is>
          <t>اردیبهشت 1408</t>
        </is>
      </c>
    </row>
    <row r="124">
      <c r="A124" t="n">
        <v>13980430</v>
      </c>
      <c r="B124" t="n">
        <v>43667</v>
      </c>
      <c r="C124" t="inlineStr">
        <is>
          <t>1398/04/30</t>
        </is>
      </c>
      <c r="E124" t="n">
        <v>140803</v>
      </c>
      <c r="F124" t="n">
        <v>47259</v>
      </c>
      <c r="G124" t="n">
        <v>47289</v>
      </c>
      <c r="H124" t="inlineStr">
        <is>
          <t>خرداد 1408</t>
        </is>
      </c>
    </row>
    <row r="125">
      <c r="A125" t="n">
        <v>13980431</v>
      </c>
      <c r="B125" t="n">
        <v>43668</v>
      </c>
      <c r="C125" t="inlineStr">
        <is>
          <t>1398/04/31</t>
        </is>
      </c>
      <c r="E125" t="n">
        <v>140804</v>
      </c>
      <c r="F125" t="n">
        <v>47290</v>
      </c>
      <c r="G125" t="n">
        <v>47320</v>
      </c>
      <c r="H125" t="inlineStr">
        <is>
          <t>تیر 1408</t>
        </is>
      </c>
    </row>
    <row r="126">
      <c r="A126" t="n">
        <v>13980501</v>
      </c>
      <c r="B126" t="n">
        <v>43669</v>
      </c>
      <c r="C126" t="inlineStr">
        <is>
          <t>1398/05/01</t>
        </is>
      </c>
      <c r="E126" t="n">
        <v>140805</v>
      </c>
      <c r="F126" t="n">
        <v>47321</v>
      </c>
      <c r="G126" t="n">
        <v>47351</v>
      </c>
      <c r="H126" t="inlineStr">
        <is>
          <t>مرداد 1408</t>
        </is>
      </c>
    </row>
    <row r="127">
      <c r="A127" t="n">
        <v>13980502</v>
      </c>
      <c r="B127" t="n">
        <v>43670</v>
      </c>
      <c r="C127" t="inlineStr">
        <is>
          <t>1398/05/02</t>
        </is>
      </c>
      <c r="E127" t="n">
        <v>140806</v>
      </c>
      <c r="F127" t="n">
        <v>47352</v>
      </c>
      <c r="G127" t="n">
        <v>47382</v>
      </c>
      <c r="H127" t="inlineStr">
        <is>
          <t>شهریور 1408</t>
        </is>
      </c>
    </row>
    <row r="128">
      <c r="A128" t="n">
        <v>13980503</v>
      </c>
      <c r="B128" t="n">
        <v>43671</v>
      </c>
      <c r="C128" t="inlineStr">
        <is>
          <t>1398/05/03</t>
        </is>
      </c>
      <c r="E128" t="n">
        <v>140807</v>
      </c>
      <c r="F128" t="n">
        <v>47383</v>
      </c>
      <c r="G128" t="n">
        <v>47412</v>
      </c>
      <c r="H128" t="inlineStr">
        <is>
          <t>مهر 1408</t>
        </is>
      </c>
    </row>
    <row r="129">
      <c r="A129" t="n">
        <v>13980504</v>
      </c>
      <c r="B129" t="n">
        <v>43672</v>
      </c>
      <c r="C129" t="inlineStr">
        <is>
          <t>1398/05/04</t>
        </is>
      </c>
      <c r="E129" t="n">
        <v>140808</v>
      </c>
      <c r="F129" t="n">
        <v>47413</v>
      </c>
      <c r="G129" t="n">
        <v>47442</v>
      </c>
      <c r="H129" t="inlineStr">
        <is>
          <t>آبان 1408</t>
        </is>
      </c>
    </row>
    <row r="130">
      <c r="A130" t="n">
        <v>13980505</v>
      </c>
      <c r="B130" t="n">
        <v>43673</v>
      </c>
      <c r="C130" t="inlineStr">
        <is>
          <t>1398/05/05</t>
        </is>
      </c>
      <c r="E130" t="n">
        <v>140809</v>
      </c>
      <c r="F130" t="n">
        <v>47443</v>
      </c>
      <c r="G130" t="n">
        <v>47472</v>
      </c>
      <c r="H130" t="inlineStr">
        <is>
          <t>آذر 1408</t>
        </is>
      </c>
    </row>
    <row r="131">
      <c r="A131" t="n">
        <v>13980506</v>
      </c>
      <c r="B131" t="n">
        <v>43674</v>
      </c>
      <c r="C131" t="inlineStr">
        <is>
          <t>1398/05/06</t>
        </is>
      </c>
      <c r="E131" t="n">
        <v>140810</v>
      </c>
      <c r="F131" t="n">
        <v>47473</v>
      </c>
      <c r="G131" t="n">
        <v>47502</v>
      </c>
      <c r="H131" t="inlineStr">
        <is>
          <t>دی 1408</t>
        </is>
      </c>
    </row>
    <row r="132">
      <c r="A132" t="n">
        <v>13980507</v>
      </c>
      <c r="B132" t="n">
        <v>43675</v>
      </c>
      <c r="C132" t="inlineStr">
        <is>
          <t>1398/05/07</t>
        </is>
      </c>
      <c r="E132" t="n">
        <v>140811</v>
      </c>
      <c r="F132" t="n">
        <v>47503</v>
      </c>
      <c r="G132" t="n">
        <v>47532</v>
      </c>
      <c r="H132" t="inlineStr">
        <is>
          <t>بهمن 1408</t>
        </is>
      </c>
    </row>
    <row r="133">
      <c r="A133" t="n">
        <v>13980508</v>
      </c>
      <c r="B133" t="n">
        <v>43676</v>
      </c>
      <c r="C133" t="inlineStr">
        <is>
          <t>1398/05/08</t>
        </is>
      </c>
      <c r="E133" t="n">
        <v>140812</v>
      </c>
      <c r="F133" t="n">
        <v>47533</v>
      </c>
      <c r="G133" t="n">
        <v>47562</v>
      </c>
      <c r="H133" t="inlineStr">
        <is>
          <t>اسفند 1408</t>
        </is>
      </c>
    </row>
    <row r="134">
      <c r="A134" t="n">
        <v>13980509</v>
      </c>
      <c r="B134" t="n">
        <v>43677</v>
      </c>
      <c r="C134" t="inlineStr">
        <is>
          <t>1398/05/09</t>
        </is>
      </c>
      <c r="E134" t="n">
        <v>140901</v>
      </c>
      <c r="F134" t="n">
        <v>47563</v>
      </c>
      <c r="G134" t="n">
        <v>47593</v>
      </c>
      <c r="H134" t="inlineStr">
        <is>
          <t>فروردین 1409</t>
        </is>
      </c>
    </row>
    <row r="135">
      <c r="A135" t="n">
        <v>13980510</v>
      </c>
      <c r="B135" t="n">
        <v>43678</v>
      </c>
      <c r="C135" t="inlineStr">
        <is>
          <t>1398/05/10</t>
        </is>
      </c>
      <c r="E135" t="n">
        <v>140902</v>
      </c>
      <c r="F135" t="n">
        <v>47594</v>
      </c>
      <c r="G135" t="n">
        <v>47624</v>
      </c>
      <c r="H135" t="inlineStr">
        <is>
          <t>اردیبهشت 1409</t>
        </is>
      </c>
    </row>
    <row r="136">
      <c r="A136" t="n">
        <v>13980511</v>
      </c>
      <c r="B136" t="n">
        <v>43679</v>
      </c>
      <c r="C136" t="inlineStr">
        <is>
          <t>1398/05/11</t>
        </is>
      </c>
      <c r="E136" t="n">
        <v>140903</v>
      </c>
      <c r="F136" t="n">
        <v>47625</v>
      </c>
      <c r="G136" t="n">
        <v>47655</v>
      </c>
      <c r="H136" t="inlineStr">
        <is>
          <t>خرداد 1409</t>
        </is>
      </c>
    </row>
    <row r="137">
      <c r="A137" t="n">
        <v>13980512</v>
      </c>
      <c r="B137" t="n">
        <v>43680</v>
      </c>
      <c r="C137" t="inlineStr">
        <is>
          <t>1398/05/12</t>
        </is>
      </c>
      <c r="E137" t="n">
        <v>140904</v>
      </c>
      <c r="F137" t="n">
        <v>47656</v>
      </c>
      <c r="G137" t="n">
        <v>47686</v>
      </c>
      <c r="H137" t="inlineStr">
        <is>
          <t>تیر 1409</t>
        </is>
      </c>
    </row>
    <row r="138">
      <c r="A138" t="n">
        <v>13980513</v>
      </c>
      <c r="B138" t="n">
        <v>43681</v>
      </c>
      <c r="C138" t="inlineStr">
        <is>
          <t>1398/05/13</t>
        </is>
      </c>
      <c r="E138" t="n">
        <v>140905</v>
      </c>
      <c r="F138" t="n">
        <v>47687</v>
      </c>
      <c r="G138" t="n">
        <v>47717</v>
      </c>
      <c r="H138" t="inlineStr">
        <is>
          <t>مرداد 1409</t>
        </is>
      </c>
    </row>
    <row r="139">
      <c r="A139" t="n">
        <v>13980514</v>
      </c>
      <c r="B139" t="n">
        <v>43682</v>
      </c>
      <c r="C139" t="inlineStr">
        <is>
          <t>1398/05/14</t>
        </is>
      </c>
      <c r="E139" t="n">
        <v>140906</v>
      </c>
      <c r="F139" t="n">
        <v>47718</v>
      </c>
      <c r="G139" t="n">
        <v>47748</v>
      </c>
      <c r="H139" t="inlineStr">
        <is>
          <t>شهریور 1409</t>
        </is>
      </c>
    </row>
    <row r="140">
      <c r="A140" t="n">
        <v>13980515</v>
      </c>
      <c r="B140" t="n">
        <v>43683</v>
      </c>
      <c r="C140" t="inlineStr">
        <is>
          <t>1398/05/15</t>
        </is>
      </c>
      <c r="E140" t="n">
        <v>140907</v>
      </c>
      <c r="F140" t="n">
        <v>47749</v>
      </c>
      <c r="G140" t="n">
        <v>47778</v>
      </c>
      <c r="H140" t="inlineStr">
        <is>
          <t>مهر 1409</t>
        </is>
      </c>
    </row>
    <row r="141">
      <c r="A141" t="n">
        <v>13980516</v>
      </c>
      <c r="B141" t="n">
        <v>43684</v>
      </c>
      <c r="C141" t="inlineStr">
        <is>
          <t>1398/05/16</t>
        </is>
      </c>
      <c r="E141" t="n">
        <v>140908</v>
      </c>
      <c r="F141" t="n">
        <v>47779</v>
      </c>
      <c r="G141" t="n">
        <v>47808</v>
      </c>
      <c r="H141" t="inlineStr">
        <is>
          <t>آبان 1409</t>
        </is>
      </c>
    </row>
    <row r="142">
      <c r="A142" t="n">
        <v>13980517</v>
      </c>
      <c r="B142" t="n">
        <v>43685</v>
      </c>
      <c r="C142" t="inlineStr">
        <is>
          <t>1398/05/17</t>
        </is>
      </c>
      <c r="E142" t="n">
        <v>140909</v>
      </c>
      <c r="F142" t="n">
        <v>47809</v>
      </c>
      <c r="G142" t="n">
        <v>47838</v>
      </c>
      <c r="H142" t="inlineStr">
        <is>
          <t>آذر 1409</t>
        </is>
      </c>
    </row>
    <row r="143">
      <c r="A143" t="n">
        <v>13980518</v>
      </c>
      <c r="B143" t="n">
        <v>43686</v>
      </c>
      <c r="C143" t="inlineStr">
        <is>
          <t>1398/05/18</t>
        </is>
      </c>
      <c r="E143" t="n">
        <v>140910</v>
      </c>
      <c r="F143" t="n">
        <v>47839</v>
      </c>
      <c r="G143" t="n">
        <v>47868</v>
      </c>
      <c r="H143" t="inlineStr">
        <is>
          <t>دی 1409</t>
        </is>
      </c>
    </row>
    <row r="144">
      <c r="A144" t="n">
        <v>13980519</v>
      </c>
      <c r="B144" t="n">
        <v>43687</v>
      </c>
      <c r="C144" t="inlineStr">
        <is>
          <t>1398/05/19</t>
        </is>
      </c>
      <c r="E144" t="n">
        <v>140911</v>
      </c>
      <c r="F144" t="n">
        <v>47869</v>
      </c>
      <c r="G144" t="n">
        <v>47898</v>
      </c>
      <c r="H144" t="inlineStr">
        <is>
          <t>بهمن 1409</t>
        </is>
      </c>
    </row>
    <row r="145">
      <c r="A145" t="n">
        <v>13980520</v>
      </c>
      <c r="B145" t="n">
        <v>43688</v>
      </c>
      <c r="C145" t="inlineStr">
        <is>
          <t>1398/05/20</t>
        </is>
      </c>
      <c r="E145" t="n">
        <v>140912</v>
      </c>
      <c r="F145" t="n">
        <v>47899</v>
      </c>
      <c r="G145" t="n">
        <v>47927</v>
      </c>
      <c r="H145" t="inlineStr">
        <is>
          <t>اسفند 1409</t>
        </is>
      </c>
    </row>
    <row r="146">
      <c r="A146" t="n">
        <v>13980521</v>
      </c>
      <c r="B146" t="n">
        <v>43689</v>
      </c>
      <c r="C146" t="inlineStr">
        <is>
          <t>1398/05/21</t>
        </is>
      </c>
      <c r="E146" t="n">
        <v>141001</v>
      </c>
      <c r="F146" t="n">
        <v>47928</v>
      </c>
      <c r="G146" t="n">
        <v>47958</v>
      </c>
      <c r="H146" t="inlineStr">
        <is>
          <t>فروردین 1410</t>
        </is>
      </c>
    </row>
    <row r="147">
      <c r="A147" t="n">
        <v>13980522</v>
      </c>
      <c r="B147" t="n">
        <v>43690</v>
      </c>
      <c r="C147" t="inlineStr">
        <is>
          <t>1398/05/22</t>
        </is>
      </c>
      <c r="E147" t="n">
        <v>141002</v>
      </c>
      <c r="F147" t="n">
        <v>47959</v>
      </c>
      <c r="G147" t="n">
        <v>47989</v>
      </c>
      <c r="H147" t="inlineStr">
        <is>
          <t>اردیبهشت 1410</t>
        </is>
      </c>
    </row>
    <row r="148">
      <c r="A148" t="n">
        <v>13980523</v>
      </c>
      <c r="B148" t="n">
        <v>43691</v>
      </c>
      <c r="C148" t="inlineStr">
        <is>
          <t>1398/05/23</t>
        </is>
      </c>
      <c r="E148" t="n">
        <v>141003</v>
      </c>
      <c r="F148" t="n">
        <v>47990</v>
      </c>
      <c r="G148" t="n">
        <v>48020</v>
      </c>
      <c r="H148" t="inlineStr">
        <is>
          <t>خرداد 1410</t>
        </is>
      </c>
    </row>
    <row r="149">
      <c r="A149" t="n">
        <v>13980524</v>
      </c>
      <c r="B149" t="n">
        <v>43692</v>
      </c>
      <c r="C149" t="inlineStr">
        <is>
          <t>1398/05/24</t>
        </is>
      </c>
      <c r="E149" t="n">
        <v>141004</v>
      </c>
      <c r="F149" t="n">
        <v>48021</v>
      </c>
      <c r="G149" t="n">
        <v>48051</v>
      </c>
      <c r="H149" t="inlineStr">
        <is>
          <t>تیر 1410</t>
        </is>
      </c>
    </row>
    <row r="150">
      <c r="A150" t="n">
        <v>13980525</v>
      </c>
      <c r="B150" t="n">
        <v>43693</v>
      </c>
      <c r="C150" t="inlineStr">
        <is>
          <t>1398/05/25</t>
        </is>
      </c>
      <c r="E150" t="n">
        <v>141005</v>
      </c>
      <c r="F150" t="n">
        <v>48052</v>
      </c>
      <c r="G150" t="n">
        <v>48082</v>
      </c>
      <c r="H150" t="inlineStr">
        <is>
          <t>مرداد 1410</t>
        </is>
      </c>
    </row>
    <row r="151">
      <c r="A151" t="n">
        <v>13980526</v>
      </c>
      <c r="B151" t="n">
        <v>43694</v>
      </c>
      <c r="C151" t="inlineStr">
        <is>
          <t>1398/05/26</t>
        </is>
      </c>
      <c r="E151" t="n">
        <v>141006</v>
      </c>
      <c r="F151" t="n">
        <v>48083</v>
      </c>
      <c r="G151" t="n">
        <v>48113</v>
      </c>
      <c r="H151" t="inlineStr">
        <is>
          <t>شهریور 1410</t>
        </is>
      </c>
    </row>
    <row r="152">
      <c r="A152" t="n">
        <v>13980527</v>
      </c>
      <c r="B152" t="n">
        <v>43695</v>
      </c>
      <c r="C152" t="inlineStr">
        <is>
          <t>1398/05/27</t>
        </is>
      </c>
      <c r="E152" t="n">
        <v>141007</v>
      </c>
      <c r="F152" t="n">
        <v>48114</v>
      </c>
      <c r="G152" t="n">
        <v>48143</v>
      </c>
      <c r="H152" t="inlineStr">
        <is>
          <t>مهر 1410</t>
        </is>
      </c>
    </row>
    <row r="153">
      <c r="A153" t="n">
        <v>13980528</v>
      </c>
      <c r="B153" t="n">
        <v>43696</v>
      </c>
      <c r="C153" t="inlineStr">
        <is>
          <t>1398/05/28</t>
        </is>
      </c>
      <c r="E153" t="n">
        <v>141008</v>
      </c>
      <c r="F153" t="n">
        <v>48144</v>
      </c>
      <c r="G153" t="n">
        <v>48173</v>
      </c>
      <c r="H153" t="inlineStr">
        <is>
          <t>آبان 1410</t>
        </is>
      </c>
    </row>
    <row r="154">
      <c r="A154" t="n">
        <v>13980529</v>
      </c>
      <c r="B154" t="n">
        <v>43697</v>
      </c>
      <c r="C154" t="inlineStr">
        <is>
          <t>1398/05/29</t>
        </is>
      </c>
      <c r="E154" t="n">
        <v>141009</v>
      </c>
      <c r="F154" t="n">
        <v>48174</v>
      </c>
      <c r="G154" t="n">
        <v>48203</v>
      </c>
      <c r="H154" t="inlineStr">
        <is>
          <t>آذر 1410</t>
        </is>
      </c>
    </row>
    <row r="155">
      <c r="A155" t="n">
        <v>13980530</v>
      </c>
      <c r="B155" t="n">
        <v>43698</v>
      </c>
      <c r="C155" t="inlineStr">
        <is>
          <t>1398/05/30</t>
        </is>
      </c>
      <c r="E155" t="n">
        <v>141010</v>
      </c>
      <c r="F155" t="n">
        <v>48204</v>
      </c>
      <c r="G155" t="n">
        <v>48233</v>
      </c>
      <c r="H155" t="inlineStr">
        <is>
          <t>دی 1410</t>
        </is>
      </c>
    </row>
    <row r="156">
      <c r="A156" t="n">
        <v>13980531</v>
      </c>
      <c r="B156" t="n">
        <v>43699</v>
      </c>
      <c r="C156" t="inlineStr">
        <is>
          <t>1398/05/31</t>
        </is>
      </c>
      <c r="E156" t="n">
        <v>141011</v>
      </c>
      <c r="F156" t="n">
        <v>48234</v>
      </c>
      <c r="G156" t="n">
        <v>48263</v>
      </c>
      <c r="H156" t="inlineStr">
        <is>
          <t>بهمن 1410</t>
        </is>
      </c>
    </row>
    <row r="157">
      <c r="A157" t="n">
        <v>13980601</v>
      </c>
      <c r="B157" t="n">
        <v>43700</v>
      </c>
      <c r="C157" t="inlineStr">
        <is>
          <t>1398/06/01</t>
        </is>
      </c>
      <c r="E157" t="n">
        <v>141012</v>
      </c>
      <c r="F157" t="n">
        <v>48264</v>
      </c>
      <c r="G157" t="n">
        <v>48292</v>
      </c>
      <c r="H157" t="inlineStr">
        <is>
          <t>اسفند 1410</t>
        </is>
      </c>
    </row>
    <row r="158">
      <c r="A158" t="n">
        <v>13980602</v>
      </c>
      <c r="B158" t="n">
        <v>43701</v>
      </c>
      <c r="C158" t="inlineStr">
        <is>
          <t>1398/06/02</t>
        </is>
      </c>
      <c r="E158" t="n">
        <v>141101</v>
      </c>
      <c r="F158" t="n">
        <v>48293</v>
      </c>
      <c r="G158" t="n">
        <v>48323</v>
      </c>
      <c r="H158" t="inlineStr">
        <is>
          <t>فروردین 1411</t>
        </is>
      </c>
    </row>
    <row r="159">
      <c r="A159" t="n">
        <v>13980603</v>
      </c>
      <c r="B159" t="n">
        <v>43702</v>
      </c>
      <c r="C159" t="inlineStr">
        <is>
          <t>1398/06/03</t>
        </is>
      </c>
      <c r="E159" t="n">
        <v>141102</v>
      </c>
      <c r="F159" t="n">
        <v>48324</v>
      </c>
      <c r="G159" t="n">
        <v>48354</v>
      </c>
      <c r="H159" t="inlineStr">
        <is>
          <t>اردیبهشت 1411</t>
        </is>
      </c>
    </row>
    <row r="160">
      <c r="A160" t="n">
        <v>13980604</v>
      </c>
      <c r="B160" t="n">
        <v>43703</v>
      </c>
      <c r="C160" t="inlineStr">
        <is>
          <t>1398/06/04</t>
        </is>
      </c>
      <c r="E160" t="n">
        <v>141103</v>
      </c>
      <c r="F160" t="n">
        <v>48355</v>
      </c>
      <c r="G160" t="n">
        <v>48385</v>
      </c>
      <c r="H160" t="inlineStr">
        <is>
          <t>خرداد 1411</t>
        </is>
      </c>
    </row>
    <row r="161">
      <c r="A161" t="n">
        <v>13980605</v>
      </c>
      <c r="B161" t="n">
        <v>43704</v>
      </c>
      <c r="C161" t="inlineStr">
        <is>
          <t>1398/06/05</t>
        </is>
      </c>
      <c r="E161" t="n">
        <v>141104</v>
      </c>
      <c r="F161" t="n">
        <v>48386</v>
      </c>
      <c r="G161" t="n">
        <v>48416</v>
      </c>
      <c r="H161" t="inlineStr">
        <is>
          <t>تیر 1411</t>
        </is>
      </c>
    </row>
    <row r="162">
      <c r="A162" t="n">
        <v>13980606</v>
      </c>
      <c r="B162" t="n">
        <v>43705</v>
      </c>
      <c r="C162" t="inlineStr">
        <is>
          <t>1398/06/06</t>
        </is>
      </c>
      <c r="E162" t="n">
        <v>141105</v>
      </c>
      <c r="F162" t="n">
        <v>48417</v>
      </c>
      <c r="G162" t="n">
        <v>48447</v>
      </c>
      <c r="H162" t="inlineStr">
        <is>
          <t>مرداد 1411</t>
        </is>
      </c>
    </row>
    <row r="163">
      <c r="A163" t="n">
        <v>13980607</v>
      </c>
      <c r="B163" t="n">
        <v>43706</v>
      </c>
      <c r="C163" t="inlineStr">
        <is>
          <t>1398/06/07</t>
        </is>
      </c>
      <c r="E163" t="n">
        <v>141106</v>
      </c>
      <c r="F163" t="n">
        <v>48448</v>
      </c>
      <c r="G163" t="n">
        <v>48478</v>
      </c>
      <c r="H163" t="inlineStr">
        <is>
          <t>شهریور 1411</t>
        </is>
      </c>
    </row>
    <row r="164">
      <c r="A164" t="n">
        <v>13980608</v>
      </c>
      <c r="B164" t="n">
        <v>43707</v>
      </c>
      <c r="C164" t="inlineStr">
        <is>
          <t>1398/06/08</t>
        </is>
      </c>
      <c r="E164" t="n">
        <v>141107</v>
      </c>
      <c r="F164" t="n">
        <v>48479</v>
      </c>
      <c r="G164" t="n">
        <v>48508</v>
      </c>
      <c r="H164" t="inlineStr">
        <is>
          <t>مهر 1411</t>
        </is>
      </c>
    </row>
    <row r="165">
      <c r="A165" t="n">
        <v>13980609</v>
      </c>
      <c r="B165" t="n">
        <v>43708</v>
      </c>
      <c r="C165" t="inlineStr">
        <is>
          <t>1398/06/09</t>
        </is>
      </c>
      <c r="E165" t="n">
        <v>141108</v>
      </c>
      <c r="F165" t="n">
        <v>48509</v>
      </c>
      <c r="G165" t="n">
        <v>48538</v>
      </c>
      <c r="H165" t="inlineStr">
        <is>
          <t>آبان 1411</t>
        </is>
      </c>
    </row>
    <row r="166">
      <c r="A166" t="n">
        <v>13980610</v>
      </c>
      <c r="B166" t="n">
        <v>43709</v>
      </c>
      <c r="C166" t="inlineStr">
        <is>
          <t>1398/06/10</t>
        </is>
      </c>
      <c r="E166" t="n">
        <v>141109</v>
      </c>
      <c r="F166" t="n">
        <v>48539</v>
      </c>
      <c r="G166" t="n">
        <v>48568</v>
      </c>
      <c r="H166" t="inlineStr">
        <is>
          <t>آذر 1411</t>
        </is>
      </c>
    </row>
    <row r="167">
      <c r="A167" t="n">
        <v>13980611</v>
      </c>
      <c r="B167" t="n">
        <v>43710</v>
      </c>
      <c r="C167" t="inlineStr">
        <is>
          <t>1398/06/11</t>
        </is>
      </c>
      <c r="E167" t="n">
        <v>141110</v>
      </c>
      <c r="F167" t="n">
        <v>48569</v>
      </c>
      <c r="G167" t="n">
        <v>48598</v>
      </c>
      <c r="H167" t="inlineStr">
        <is>
          <t>دی 1411</t>
        </is>
      </c>
    </row>
    <row r="168">
      <c r="A168" t="n">
        <v>13980612</v>
      </c>
      <c r="B168" t="n">
        <v>43711</v>
      </c>
      <c r="C168" t="inlineStr">
        <is>
          <t>1398/06/12</t>
        </is>
      </c>
      <c r="E168" t="n">
        <v>141111</v>
      </c>
      <c r="F168" t="n">
        <v>48599</v>
      </c>
      <c r="G168" t="n">
        <v>48628</v>
      </c>
      <c r="H168" t="inlineStr">
        <is>
          <t>بهمن 1411</t>
        </is>
      </c>
    </row>
    <row r="169">
      <c r="A169" t="n">
        <v>13980613</v>
      </c>
      <c r="B169" t="n">
        <v>43712</v>
      </c>
      <c r="C169" t="inlineStr">
        <is>
          <t>1398/06/13</t>
        </is>
      </c>
      <c r="E169" t="n">
        <v>141112</v>
      </c>
      <c r="F169" t="n">
        <v>48629</v>
      </c>
      <c r="G169" t="n">
        <v>48657</v>
      </c>
      <c r="H169" t="inlineStr">
        <is>
          <t>اسفند 1411</t>
        </is>
      </c>
    </row>
    <row r="170">
      <c r="A170" t="n">
        <v>13980614</v>
      </c>
      <c r="B170" t="n">
        <v>43713</v>
      </c>
      <c r="C170" t="inlineStr">
        <is>
          <t>1398/06/14</t>
        </is>
      </c>
      <c r="E170" t="n">
        <v>141201</v>
      </c>
      <c r="F170" t="n">
        <v>48658</v>
      </c>
      <c r="G170" t="n">
        <v>48688</v>
      </c>
      <c r="H170" t="inlineStr">
        <is>
          <t>فروردین 1412</t>
        </is>
      </c>
    </row>
    <row r="171">
      <c r="A171" t="n">
        <v>13980615</v>
      </c>
      <c r="B171" t="n">
        <v>43714</v>
      </c>
      <c r="C171" t="inlineStr">
        <is>
          <t>1398/06/15</t>
        </is>
      </c>
      <c r="E171" t="n">
        <v>141202</v>
      </c>
      <c r="F171" t="n">
        <v>48689</v>
      </c>
      <c r="G171" t="n">
        <v>48719</v>
      </c>
      <c r="H171" t="inlineStr">
        <is>
          <t>اردیبهشت 1412</t>
        </is>
      </c>
    </row>
    <row r="172">
      <c r="A172" t="n">
        <v>13980616</v>
      </c>
      <c r="B172" t="n">
        <v>43715</v>
      </c>
      <c r="C172" t="inlineStr">
        <is>
          <t>1398/06/16</t>
        </is>
      </c>
      <c r="E172" t="n">
        <v>141203</v>
      </c>
      <c r="F172" t="n">
        <v>48720</v>
      </c>
      <c r="G172" t="n">
        <v>48750</v>
      </c>
      <c r="H172" t="inlineStr">
        <is>
          <t>خرداد 1412</t>
        </is>
      </c>
    </row>
    <row r="173">
      <c r="A173" t="n">
        <v>13980617</v>
      </c>
      <c r="B173" t="n">
        <v>43716</v>
      </c>
      <c r="C173" t="inlineStr">
        <is>
          <t>1398/06/17</t>
        </is>
      </c>
      <c r="E173" t="n">
        <v>141204</v>
      </c>
      <c r="F173" t="n">
        <v>48751</v>
      </c>
      <c r="G173" t="n">
        <v>48781</v>
      </c>
      <c r="H173" t="inlineStr">
        <is>
          <t>تیر 1412</t>
        </is>
      </c>
    </row>
    <row r="174">
      <c r="A174" t="n">
        <v>13980618</v>
      </c>
      <c r="B174" t="n">
        <v>43717</v>
      </c>
      <c r="C174" t="inlineStr">
        <is>
          <t>1398/06/18</t>
        </is>
      </c>
      <c r="E174" t="n">
        <v>141205</v>
      </c>
      <c r="F174" t="n">
        <v>48782</v>
      </c>
      <c r="G174" t="n">
        <v>48812</v>
      </c>
      <c r="H174" t="inlineStr">
        <is>
          <t>مرداد 1412</t>
        </is>
      </c>
    </row>
    <row r="175">
      <c r="A175" t="n">
        <v>13980619</v>
      </c>
      <c r="B175" t="n">
        <v>43718</v>
      </c>
      <c r="C175" t="inlineStr">
        <is>
          <t>1398/06/19</t>
        </is>
      </c>
      <c r="E175" t="n">
        <v>141206</v>
      </c>
      <c r="F175" t="n">
        <v>48813</v>
      </c>
      <c r="G175" t="n">
        <v>48843</v>
      </c>
      <c r="H175" t="inlineStr">
        <is>
          <t>شهریور 1412</t>
        </is>
      </c>
    </row>
    <row r="176">
      <c r="A176" t="n">
        <v>13980620</v>
      </c>
      <c r="B176" t="n">
        <v>43719</v>
      </c>
      <c r="C176" t="inlineStr">
        <is>
          <t>1398/06/20</t>
        </is>
      </c>
      <c r="E176" t="n">
        <v>141207</v>
      </c>
      <c r="F176" t="n">
        <v>48844</v>
      </c>
      <c r="G176" t="n">
        <v>48873</v>
      </c>
      <c r="H176" t="inlineStr">
        <is>
          <t>مهر 1412</t>
        </is>
      </c>
    </row>
    <row r="177">
      <c r="A177" t="n">
        <v>13980621</v>
      </c>
      <c r="B177" t="n">
        <v>43720</v>
      </c>
      <c r="C177" t="inlineStr">
        <is>
          <t>1398/06/21</t>
        </is>
      </c>
      <c r="E177" t="n">
        <v>141208</v>
      </c>
      <c r="F177" t="n">
        <v>48874</v>
      </c>
      <c r="G177" t="n">
        <v>48903</v>
      </c>
      <c r="H177" t="inlineStr">
        <is>
          <t>آبان 1412</t>
        </is>
      </c>
    </row>
    <row r="178">
      <c r="A178" t="n">
        <v>13980622</v>
      </c>
      <c r="B178" t="n">
        <v>43721</v>
      </c>
      <c r="C178" t="inlineStr">
        <is>
          <t>1398/06/22</t>
        </is>
      </c>
      <c r="E178" t="n">
        <v>141209</v>
      </c>
      <c r="F178" t="n">
        <v>48904</v>
      </c>
      <c r="G178" t="n">
        <v>48933</v>
      </c>
      <c r="H178" t="inlineStr">
        <is>
          <t>آذر 1412</t>
        </is>
      </c>
    </row>
    <row r="179">
      <c r="A179" t="n">
        <v>13980623</v>
      </c>
      <c r="B179" t="n">
        <v>43722</v>
      </c>
      <c r="C179" t="inlineStr">
        <is>
          <t>1398/06/23</t>
        </is>
      </c>
      <c r="E179" t="n">
        <v>141210</v>
      </c>
      <c r="F179" t="n">
        <v>48934</v>
      </c>
      <c r="G179" t="n">
        <v>48963</v>
      </c>
      <c r="H179" t="inlineStr">
        <is>
          <t>دی 1412</t>
        </is>
      </c>
    </row>
    <row r="180">
      <c r="A180" t="n">
        <v>13980624</v>
      </c>
      <c r="B180" t="n">
        <v>43723</v>
      </c>
      <c r="C180" t="inlineStr">
        <is>
          <t>1398/06/24</t>
        </is>
      </c>
      <c r="E180" t="n">
        <v>141211</v>
      </c>
      <c r="F180" t="n">
        <v>48964</v>
      </c>
      <c r="G180" t="n">
        <v>48993</v>
      </c>
      <c r="H180" t="inlineStr">
        <is>
          <t>بهمن 1412</t>
        </is>
      </c>
    </row>
    <row r="181">
      <c r="A181" t="n">
        <v>13980625</v>
      </c>
      <c r="B181" t="n">
        <v>43724</v>
      </c>
      <c r="C181" t="inlineStr">
        <is>
          <t>1398/06/25</t>
        </is>
      </c>
      <c r="E181" t="n">
        <v>141212</v>
      </c>
      <c r="F181" t="n">
        <v>48994</v>
      </c>
      <c r="G181" t="n">
        <v>49023</v>
      </c>
      <c r="H181" t="inlineStr">
        <is>
          <t>اسفند 1412</t>
        </is>
      </c>
    </row>
    <row r="182">
      <c r="A182" t="n">
        <v>13980626</v>
      </c>
      <c r="B182" t="n">
        <v>43725</v>
      </c>
      <c r="C182" t="inlineStr">
        <is>
          <t>1398/06/26</t>
        </is>
      </c>
      <c r="E182" t="n">
        <v>141301</v>
      </c>
      <c r="F182" t="n">
        <v>49024</v>
      </c>
      <c r="G182" t="n">
        <v>49054</v>
      </c>
      <c r="H182" t="inlineStr">
        <is>
          <t>فروردین 1413</t>
        </is>
      </c>
    </row>
    <row r="183">
      <c r="A183" t="n">
        <v>13980627</v>
      </c>
      <c r="B183" t="n">
        <v>43726</v>
      </c>
      <c r="C183" t="inlineStr">
        <is>
          <t>1398/06/27</t>
        </is>
      </c>
      <c r="E183" t="n">
        <v>141302</v>
      </c>
      <c r="F183" t="n">
        <v>49055</v>
      </c>
      <c r="G183" t="n">
        <v>49085</v>
      </c>
      <c r="H183" t="inlineStr">
        <is>
          <t>اردیبهشت 1413</t>
        </is>
      </c>
    </row>
    <row r="184">
      <c r="A184" t="n">
        <v>13980628</v>
      </c>
      <c r="B184" t="n">
        <v>43727</v>
      </c>
      <c r="C184" t="inlineStr">
        <is>
          <t>1398/06/28</t>
        </is>
      </c>
      <c r="E184" t="n">
        <v>141303</v>
      </c>
      <c r="F184" t="n">
        <v>49086</v>
      </c>
      <c r="G184" t="n">
        <v>49116</v>
      </c>
      <c r="H184" t="inlineStr">
        <is>
          <t>خرداد 1413</t>
        </is>
      </c>
    </row>
    <row r="185">
      <c r="A185" t="n">
        <v>13980629</v>
      </c>
      <c r="B185" t="n">
        <v>43728</v>
      </c>
      <c r="C185" t="inlineStr">
        <is>
          <t>1398/06/29</t>
        </is>
      </c>
      <c r="E185" t="n">
        <v>141304</v>
      </c>
      <c r="F185" t="n">
        <v>49117</v>
      </c>
      <c r="G185" t="n">
        <v>49147</v>
      </c>
      <c r="H185" t="inlineStr">
        <is>
          <t>تیر 1413</t>
        </is>
      </c>
    </row>
    <row r="186">
      <c r="A186" t="n">
        <v>13980630</v>
      </c>
      <c r="B186" t="n">
        <v>43729</v>
      </c>
      <c r="C186" t="inlineStr">
        <is>
          <t>1398/06/30</t>
        </is>
      </c>
      <c r="E186" t="n">
        <v>141305</v>
      </c>
      <c r="F186" t="n">
        <v>49148</v>
      </c>
      <c r="G186" t="n">
        <v>49178</v>
      </c>
      <c r="H186" t="inlineStr">
        <is>
          <t>مرداد 1413</t>
        </is>
      </c>
    </row>
    <row r="187">
      <c r="A187" t="n">
        <v>13980631</v>
      </c>
      <c r="B187" t="n">
        <v>43730</v>
      </c>
      <c r="C187" t="inlineStr">
        <is>
          <t>1398/06/31</t>
        </is>
      </c>
      <c r="E187" t="n">
        <v>141306</v>
      </c>
      <c r="F187" t="n">
        <v>49179</v>
      </c>
      <c r="G187" t="n">
        <v>49209</v>
      </c>
      <c r="H187" t="inlineStr">
        <is>
          <t>شهریور 1413</t>
        </is>
      </c>
    </row>
    <row r="188">
      <c r="A188" t="n">
        <v>13980701</v>
      </c>
      <c r="B188" t="n">
        <v>43731</v>
      </c>
      <c r="C188" t="inlineStr">
        <is>
          <t>1398/07/01</t>
        </is>
      </c>
      <c r="E188" t="n">
        <v>141307</v>
      </c>
      <c r="F188" t="n">
        <v>49210</v>
      </c>
      <c r="G188" t="n">
        <v>49239</v>
      </c>
      <c r="H188" t="inlineStr">
        <is>
          <t>مهر 1413</t>
        </is>
      </c>
    </row>
    <row r="189">
      <c r="A189" t="n">
        <v>13980702</v>
      </c>
      <c r="B189" t="n">
        <v>43732</v>
      </c>
      <c r="C189" t="inlineStr">
        <is>
          <t>1398/07/02</t>
        </is>
      </c>
      <c r="E189" t="n">
        <v>141308</v>
      </c>
      <c r="F189" t="n">
        <v>49240</v>
      </c>
      <c r="G189" t="n">
        <v>49269</v>
      </c>
      <c r="H189" t="inlineStr">
        <is>
          <t>آبان 1413</t>
        </is>
      </c>
    </row>
    <row r="190">
      <c r="A190" t="n">
        <v>13980703</v>
      </c>
      <c r="B190" t="n">
        <v>43733</v>
      </c>
      <c r="C190" t="inlineStr">
        <is>
          <t>1398/07/03</t>
        </is>
      </c>
      <c r="E190" t="n">
        <v>141309</v>
      </c>
      <c r="F190" t="n">
        <v>49270</v>
      </c>
      <c r="G190" t="n">
        <v>49299</v>
      </c>
      <c r="H190" t="inlineStr">
        <is>
          <t>آذر 1413</t>
        </is>
      </c>
    </row>
    <row r="191">
      <c r="A191" t="n">
        <v>13980704</v>
      </c>
      <c r="B191" t="n">
        <v>43734</v>
      </c>
      <c r="C191" t="inlineStr">
        <is>
          <t>1398/07/04</t>
        </is>
      </c>
      <c r="E191" t="n">
        <v>141310</v>
      </c>
      <c r="F191" t="n">
        <v>49300</v>
      </c>
      <c r="G191" t="n">
        <v>49329</v>
      </c>
      <c r="H191" t="inlineStr">
        <is>
          <t>دی 1413</t>
        </is>
      </c>
    </row>
    <row r="192">
      <c r="A192" t="n">
        <v>13980705</v>
      </c>
      <c r="B192" t="n">
        <v>43735</v>
      </c>
      <c r="C192" t="inlineStr">
        <is>
          <t>1398/07/05</t>
        </is>
      </c>
      <c r="E192" t="n">
        <v>141311</v>
      </c>
      <c r="F192" t="n">
        <v>49330</v>
      </c>
      <c r="G192" t="n">
        <v>49359</v>
      </c>
      <c r="H192" t="inlineStr">
        <is>
          <t>بهمن 1413</t>
        </is>
      </c>
    </row>
    <row r="193">
      <c r="A193" t="n">
        <v>13980706</v>
      </c>
      <c r="B193" t="n">
        <v>43736</v>
      </c>
      <c r="C193" t="inlineStr">
        <is>
          <t>1398/07/06</t>
        </is>
      </c>
      <c r="E193" t="n">
        <v>141312</v>
      </c>
      <c r="F193" t="n">
        <v>49360</v>
      </c>
      <c r="G193" t="n">
        <v>49388</v>
      </c>
      <c r="H193" t="inlineStr">
        <is>
          <t>اسفند 1413</t>
        </is>
      </c>
    </row>
    <row r="194">
      <c r="A194" t="n">
        <v>13980707</v>
      </c>
      <c r="B194" t="n">
        <v>43737</v>
      </c>
      <c r="C194" t="inlineStr">
        <is>
          <t>1398/07/07</t>
        </is>
      </c>
      <c r="E194" t="n">
        <v>141401</v>
      </c>
      <c r="F194" t="n">
        <v>49389</v>
      </c>
      <c r="G194" t="n">
        <v>49419</v>
      </c>
      <c r="H194" t="inlineStr">
        <is>
          <t>فروردین 1414</t>
        </is>
      </c>
    </row>
    <row r="195">
      <c r="A195" t="n">
        <v>13980708</v>
      </c>
      <c r="B195" t="n">
        <v>43738</v>
      </c>
      <c r="C195" t="inlineStr">
        <is>
          <t>1398/07/08</t>
        </is>
      </c>
      <c r="E195" t="n">
        <v>141402</v>
      </c>
      <c r="F195" t="n">
        <v>49420</v>
      </c>
      <c r="G195" t="n">
        <v>49450</v>
      </c>
      <c r="H195" t="inlineStr">
        <is>
          <t>اردیبهشت 1414</t>
        </is>
      </c>
    </row>
    <row r="196">
      <c r="A196" t="n">
        <v>13980709</v>
      </c>
      <c r="B196" t="n">
        <v>43739</v>
      </c>
      <c r="C196" t="inlineStr">
        <is>
          <t>1398/07/09</t>
        </is>
      </c>
      <c r="E196" t="n">
        <v>141403</v>
      </c>
      <c r="F196" t="n">
        <v>49451</v>
      </c>
      <c r="G196" t="n">
        <v>49481</v>
      </c>
      <c r="H196" t="inlineStr">
        <is>
          <t>خرداد 1414</t>
        </is>
      </c>
    </row>
    <row r="197">
      <c r="A197" t="n">
        <v>13980710</v>
      </c>
      <c r="B197" t="n">
        <v>43740</v>
      </c>
      <c r="C197" t="inlineStr">
        <is>
          <t>1398/07/10</t>
        </is>
      </c>
      <c r="E197" t="n">
        <v>141404</v>
      </c>
      <c r="F197" t="n">
        <v>49482</v>
      </c>
      <c r="G197" t="n">
        <v>49512</v>
      </c>
      <c r="H197" t="inlineStr">
        <is>
          <t>تیر 1414</t>
        </is>
      </c>
    </row>
    <row r="198">
      <c r="A198" t="n">
        <v>13980711</v>
      </c>
      <c r="B198" t="n">
        <v>43741</v>
      </c>
      <c r="C198" t="inlineStr">
        <is>
          <t>1398/07/11</t>
        </is>
      </c>
      <c r="E198" t="n">
        <v>141405</v>
      </c>
      <c r="F198" t="n">
        <v>49513</v>
      </c>
      <c r="G198" t="n">
        <v>49543</v>
      </c>
      <c r="H198" t="inlineStr">
        <is>
          <t>مرداد 1414</t>
        </is>
      </c>
    </row>
    <row r="199">
      <c r="A199" t="n">
        <v>13980712</v>
      </c>
      <c r="B199" t="n">
        <v>43742</v>
      </c>
      <c r="C199" t="inlineStr">
        <is>
          <t>1398/07/12</t>
        </is>
      </c>
      <c r="E199" t="n">
        <v>141406</v>
      </c>
      <c r="F199" t="n">
        <v>49544</v>
      </c>
      <c r="G199" t="n">
        <v>49574</v>
      </c>
      <c r="H199" t="inlineStr">
        <is>
          <t>شهریور 1414</t>
        </is>
      </c>
    </row>
    <row r="200">
      <c r="A200" t="n">
        <v>13980713</v>
      </c>
      <c r="B200" t="n">
        <v>43743</v>
      </c>
      <c r="C200" t="inlineStr">
        <is>
          <t>1398/07/13</t>
        </is>
      </c>
      <c r="E200" t="n">
        <v>141407</v>
      </c>
      <c r="F200" t="n">
        <v>49575</v>
      </c>
      <c r="G200" t="n">
        <v>49604</v>
      </c>
      <c r="H200" t="inlineStr">
        <is>
          <t>مهر 1414</t>
        </is>
      </c>
    </row>
    <row r="201">
      <c r="A201" t="n">
        <v>13980714</v>
      </c>
      <c r="B201" t="n">
        <v>43744</v>
      </c>
      <c r="C201" t="inlineStr">
        <is>
          <t>1398/07/14</t>
        </is>
      </c>
      <c r="E201" t="n">
        <v>141408</v>
      </c>
      <c r="F201" t="n">
        <v>49605</v>
      </c>
      <c r="G201" t="n">
        <v>49634</v>
      </c>
      <c r="H201" t="inlineStr">
        <is>
          <t>آبان 1414</t>
        </is>
      </c>
    </row>
    <row r="202">
      <c r="A202" t="n">
        <v>13980715</v>
      </c>
      <c r="B202" t="n">
        <v>43745</v>
      </c>
      <c r="C202" t="inlineStr">
        <is>
          <t>1398/07/15</t>
        </is>
      </c>
      <c r="E202" t="n">
        <v>141409</v>
      </c>
      <c r="F202" t="n">
        <v>49635</v>
      </c>
      <c r="G202" t="n">
        <v>49664</v>
      </c>
      <c r="H202" t="inlineStr">
        <is>
          <t>آذر 1414</t>
        </is>
      </c>
    </row>
    <row r="203">
      <c r="A203" t="n">
        <v>13980716</v>
      </c>
      <c r="B203" t="n">
        <v>43746</v>
      </c>
      <c r="C203" t="inlineStr">
        <is>
          <t>1398/07/16</t>
        </is>
      </c>
      <c r="E203" t="n">
        <v>141410</v>
      </c>
      <c r="F203" t="n">
        <v>49665</v>
      </c>
      <c r="G203" t="n">
        <v>49694</v>
      </c>
      <c r="H203" t="inlineStr">
        <is>
          <t>دی 1414</t>
        </is>
      </c>
    </row>
    <row r="204">
      <c r="A204" t="n">
        <v>13980717</v>
      </c>
      <c r="B204" t="n">
        <v>43747</v>
      </c>
      <c r="C204" t="inlineStr">
        <is>
          <t>1398/07/17</t>
        </is>
      </c>
      <c r="E204" t="n">
        <v>141411</v>
      </c>
      <c r="F204" t="n">
        <v>49695</v>
      </c>
      <c r="G204" t="n">
        <v>49724</v>
      </c>
      <c r="H204" t="inlineStr">
        <is>
          <t>بهمن 1414</t>
        </is>
      </c>
    </row>
    <row r="205">
      <c r="A205" t="n">
        <v>13980718</v>
      </c>
      <c r="B205" t="n">
        <v>43748</v>
      </c>
      <c r="C205" t="inlineStr">
        <is>
          <t>1398/07/18</t>
        </is>
      </c>
      <c r="E205" t="n">
        <v>141412</v>
      </c>
      <c r="F205" t="n">
        <v>49725</v>
      </c>
      <c r="G205" t="n">
        <v>49753</v>
      </c>
      <c r="H205" t="inlineStr">
        <is>
          <t>اسفند 1414</t>
        </is>
      </c>
    </row>
    <row r="206">
      <c r="A206" t="n">
        <v>13980719</v>
      </c>
      <c r="B206" t="n">
        <v>43749</v>
      </c>
      <c r="C206" t="inlineStr">
        <is>
          <t>1398/07/19</t>
        </is>
      </c>
      <c r="E206" t="n">
        <v>141501</v>
      </c>
      <c r="F206" t="n">
        <v>49754</v>
      </c>
      <c r="G206" t="n">
        <v>49784</v>
      </c>
      <c r="H206" t="inlineStr">
        <is>
          <t>فروردین 1415</t>
        </is>
      </c>
    </row>
    <row r="207">
      <c r="A207" t="n">
        <v>13980720</v>
      </c>
      <c r="B207" t="n">
        <v>43750</v>
      </c>
      <c r="C207" t="inlineStr">
        <is>
          <t>1398/07/20</t>
        </is>
      </c>
      <c r="E207" t="n">
        <v>141502</v>
      </c>
      <c r="F207" t="n">
        <v>49785</v>
      </c>
      <c r="G207" t="n">
        <v>49815</v>
      </c>
      <c r="H207" t="inlineStr">
        <is>
          <t>اردیبهشت 1415</t>
        </is>
      </c>
    </row>
    <row r="208">
      <c r="A208" t="n">
        <v>13980721</v>
      </c>
      <c r="B208" t="n">
        <v>43751</v>
      </c>
      <c r="C208" t="inlineStr">
        <is>
          <t>1398/07/21</t>
        </is>
      </c>
      <c r="E208" t="n">
        <v>141503</v>
      </c>
      <c r="F208" t="n">
        <v>49816</v>
      </c>
      <c r="G208" t="n">
        <v>49846</v>
      </c>
      <c r="H208" t="inlineStr">
        <is>
          <t>خرداد 1415</t>
        </is>
      </c>
    </row>
    <row r="209">
      <c r="A209" t="n">
        <v>13980722</v>
      </c>
      <c r="B209" t="n">
        <v>43752</v>
      </c>
      <c r="C209" t="inlineStr">
        <is>
          <t>1398/07/22</t>
        </is>
      </c>
      <c r="E209" t="n">
        <v>141504</v>
      </c>
      <c r="F209" t="n">
        <v>49847</v>
      </c>
      <c r="G209" t="n">
        <v>49877</v>
      </c>
      <c r="H209" t="inlineStr">
        <is>
          <t>تیر 1415</t>
        </is>
      </c>
    </row>
    <row r="210">
      <c r="A210" t="n">
        <v>13980723</v>
      </c>
      <c r="B210" t="n">
        <v>43753</v>
      </c>
      <c r="C210" t="inlineStr">
        <is>
          <t>1398/07/23</t>
        </is>
      </c>
      <c r="E210" t="n">
        <v>141505</v>
      </c>
      <c r="F210" t="n">
        <v>49878</v>
      </c>
      <c r="G210" t="n">
        <v>49908</v>
      </c>
      <c r="H210" t="inlineStr">
        <is>
          <t>مرداد 1415</t>
        </is>
      </c>
    </row>
    <row r="211">
      <c r="A211" t="n">
        <v>13980724</v>
      </c>
      <c r="B211" t="n">
        <v>43754</v>
      </c>
      <c r="C211" t="inlineStr">
        <is>
          <t>1398/07/24</t>
        </is>
      </c>
      <c r="E211" t="n">
        <v>141506</v>
      </c>
      <c r="F211" t="n">
        <v>49909</v>
      </c>
      <c r="G211" t="n">
        <v>49939</v>
      </c>
      <c r="H211" t="inlineStr">
        <is>
          <t>شهریور 1415</t>
        </is>
      </c>
    </row>
    <row r="212">
      <c r="A212" t="n">
        <v>13980725</v>
      </c>
      <c r="B212" t="n">
        <v>43755</v>
      </c>
      <c r="C212" t="inlineStr">
        <is>
          <t>1398/07/25</t>
        </is>
      </c>
      <c r="E212" t="n">
        <v>141507</v>
      </c>
      <c r="F212" t="n">
        <v>49940</v>
      </c>
      <c r="G212" t="n">
        <v>49969</v>
      </c>
      <c r="H212" t="inlineStr">
        <is>
          <t>مهر 1415</t>
        </is>
      </c>
    </row>
    <row r="213">
      <c r="A213" t="n">
        <v>13980726</v>
      </c>
      <c r="B213" t="n">
        <v>43756</v>
      </c>
      <c r="C213" t="inlineStr">
        <is>
          <t>1398/07/26</t>
        </is>
      </c>
      <c r="E213" t="n">
        <v>141508</v>
      </c>
      <c r="F213" t="n">
        <v>49970</v>
      </c>
      <c r="G213" t="n">
        <v>49999</v>
      </c>
      <c r="H213" t="inlineStr">
        <is>
          <t>آبان 1415</t>
        </is>
      </c>
    </row>
    <row r="214">
      <c r="A214" t="n">
        <v>13980727</v>
      </c>
      <c r="B214" t="n">
        <v>43757</v>
      </c>
      <c r="C214" t="inlineStr">
        <is>
          <t>1398/07/27</t>
        </is>
      </c>
      <c r="E214" t="n">
        <v>141509</v>
      </c>
      <c r="F214" t="n">
        <v>50000</v>
      </c>
      <c r="G214" t="n">
        <v>50029</v>
      </c>
      <c r="H214" t="inlineStr">
        <is>
          <t>آذر 1415</t>
        </is>
      </c>
    </row>
    <row r="215">
      <c r="A215" t="n">
        <v>13980728</v>
      </c>
      <c r="B215" t="n">
        <v>43758</v>
      </c>
      <c r="C215" t="inlineStr">
        <is>
          <t>1398/07/28</t>
        </is>
      </c>
      <c r="E215" t="n">
        <v>141510</v>
      </c>
      <c r="F215" t="n">
        <v>50030</v>
      </c>
      <c r="G215" t="n">
        <v>50059</v>
      </c>
      <c r="H215" t="inlineStr">
        <is>
          <t>دی 1415</t>
        </is>
      </c>
    </row>
    <row r="216">
      <c r="A216" t="n">
        <v>13980729</v>
      </c>
      <c r="B216" t="n">
        <v>43759</v>
      </c>
      <c r="C216" t="inlineStr">
        <is>
          <t>1398/07/29</t>
        </is>
      </c>
      <c r="E216" t="n">
        <v>141511</v>
      </c>
      <c r="F216" t="n">
        <v>50060</v>
      </c>
      <c r="G216" t="n">
        <v>50089</v>
      </c>
      <c r="H216" t="inlineStr">
        <is>
          <t>بهمن 1415</t>
        </is>
      </c>
    </row>
    <row r="217">
      <c r="A217" t="n">
        <v>13980730</v>
      </c>
      <c r="B217" t="n">
        <v>43760</v>
      </c>
      <c r="C217" t="inlineStr">
        <is>
          <t>1398/07/30</t>
        </is>
      </c>
      <c r="E217" t="n">
        <v>141512</v>
      </c>
      <c r="F217" t="n">
        <v>50090</v>
      </c>
      <c r="G217" t="n">
        <v>50118</v>
      </c>
      <c r="H217" t="inlineStr">
        <is>
          <t>اسفند 1415</t>
        </is>
      </c>
    </row>
    <row r="218">
      <c r="A218" t="n">
        <v>13980801</v>
      </c>
      <c r="B218" t="n">
        <v>43761</v>
      </c>
      <c r="C218" t="inlineStr">
        <is>
          <t>1398/08/01</t>
        </is>
      </c>
      <c r="E218" t="n">
        <v>141601</v>
      </c>
      <c r="F218" t="n">
        <v>50119</v>
      </c>
      <c r="G218" t="n">
        <v>50149</v>
      </c>
      <c r="H218" t="inlineStr">
        <is>
          <t>فروردین 1416</t>
        </is>
      </c>
    </row>
    <row r="219">
      <c r="A219" t="n">
        <v>13980802</v>
      </c>
      <c r="B219" t="n">
        <v>43762</v>
      </c>
      <c r="C219" t="inlineStr">
        <is>
          <t>1398/08/02</t>
        </is>
      </c>
      <c r="E219" t="n">
        <v>141602</v>
      </c>
      <c r="F219" t="n">
        <v>50150</v>
      </c>
      <c r="G219" t="n">
        <v>50180</v>
      </c>
      <c r="H219" t="inlineStr">
        <is>
          <t>اردیبهشت 1416</t>
        </is>
      </c>
    </row>
    <row r="220">
      <c r="A220" t="n">
        <v>13980803</v>
      </c>
      <c r="B220" t="n">
        <v>43763</v>
      </c>
      <c r="C220" t="inlineStr">
        <is>
          <t>1398/08/03</t>
        </is>
      </c>
      <c r="E220" t="n">
        <v>141603</v>
      </c>
      <c r="F220" t="n">
        <v>50181</v>
      </c>
      <c r="G220" t="n">
        <v>50211</v>
      </c>
      <c r="H220" t="inlineStr">
        <is>
          <t>خرداد 1416</t>
        </is>
      </c>
    </row>
    <row r="221">
      <c r="A221" t="n">
        <v>13980804</v>
      </c>
      <c r="B221" t="n">
        <v>43764</v>
      </c>
      <c r="C221" t="inlineStr">
        <is>
          <t>1398/08/04</t>
        </is>
      </c>
      <c r="E221" t="n">
        <v>141604</v>
      </c>
      <c r="F221" t="n">
        <v>50212</v>
      </c>
      <c r="G221" t="n">
        <v>50242</v>
      </c>
      <c r="H221" t="inlineStr">
        <is>
          <t>تیر 1416</t>
        </is>
      </c>
    </row>
    <row r="222">
      <c r="A222" t="n">
        <v>13980805</v>
      </c>
      <c r="B222" t="n">
        <v>43765</v>
      </c>
      <c r="C222" t="inlineStr">
        <is>
          <t>1398/08/05</t>
        </is>
      </c>
      <c r="E222" t="n">
        <v>141605</v>
      </c>
      <c r="F222" t="n">
        <v>50243</v>
      </c>
      <c r="G222" t="n">
        <v>50273</v>
      </c>
      <c r="H222" t="inlineStr">
        <is>
          <t>مرداد 1416</t>
        </is>
      </c>
    </row>
    <row r="223">
      <c r="A223" t="n">
        <v>13980806</v>
      </c>
      <c r="B223" t="n">
        <v>43766</v>
      </c>
      <c r="C223" t="inlineStr">
        <is>
          <t>1398/08/06</t>
        </is>
      </c>
      <c r="E223" t="n">
        <v>141606</v>
      </c>
      <c r="F223" t="n">
        <v>50274</v>
      </c>
      <c r="G223" t="n">
        <v>50304</v>
      </c>
      <c r="H223" t="inlineStr">
        <is>
          <t>شهریور 1416</t>
        </is>
      </c>
    </row>
    <row r="224">
      <c r="A224" t="n">
        <v>13980807</v>
      </c>
      <c r="B224" t="n">
        <v>43767</v>
      </c>
      <c r="C224" t="inlineStr">
        <is>
          <t>1398/08/07</t>
        </is>
      </c>
      <c r="E224" t="n">
        <v>141607</v>
      </c>
      <c r="F224" t="n">
        <v>50305</v>
      </c>
      <c r="G224" t="n">
        <v>50334</v>
      </c>
      <c r="H224" t="inlineStr">
        <is>
          <t>مهر 1416</t>
        </is>
      </c>
    </row>
    <row r="225">
      <c r="A225" t="n">
        <v>13980808</v>
      </c>
      <c r="B225" t="n">
        <v>43768</v>
      </c>
      <c r="C225" t="inlineStr">
        <is>
          <t>1398/08/08</t>
        </is>
      </c>
      <c r="E225" t="n">
        <v>141608</v>
      </c>
      <c r="F225" t="n">
        <v>50335</v>
      </c>
      <c r="G225" t="n">
        <v>50364</v>
      </c>
      <c r="H225" t="inlineStr">
        <is>
          <t>آبان 1416</t>
        </is>
      </c>
    </row>
    <row r="226">
      <c r="A226" t="n">
        <v>13980809</v>
      </c>
      <c r="B226" t="n">
        <v>43769</v>
      </c>
      <c r="C226" t="inlineStr">
        <is>
          <t>1398/08/09</t>
        </is>
      </c>
      <c r="E226" t="n">
        <v>141609</v>
      </c>
      <c r="F226" t="n">
        <v>50365</v>
      </c>
      <c r="G226" t="n">
        <v>50394</v>
      </c>
      <c r="H226" t="inlineStr">
        <is>
          <t>آذر 1416</t>
        </is>
      </c>
    </row>
    <row r="227">
      <c r="A227" t="n">
        <v>13980810</v>
      </c>
      <c r="B227" t="n">
        <v>43770</v>
      </c>
      <c r="C227" t="inlineStr">
        <is>
          <t>1398/08/10</t>
        </is>
      </c>
      <c r="E227" t="n">
        <v>141610</v>
      </c>
      <c r="F227" t="n">
        <v>50395</v>
      </c>
      <c r="G227" t="n">
        <v>50424</v>
      </c>
      <c r="H227" t="inlineStr">
        <is>
          <t>دی 1416</t>
        </is>
      </c>
    </row>
    <row r="228">
      <c r="A228" t="n">
        <v>13980811</v>
      </c>
      <c r="B228" t="n">
        <v>43771</v>
      </c>
      <c r="C228" t="inlineStr">
        <is>
          <t>1398/08/11</t>
        </is>
      </c>
      <c r="E228" t="n">
        <v>141611</v>
      </c>
      <c r="F228" t="n">
        <v>50425</v>
      </c>
      <c r="G228" t="n">
        <v>50454</v>
      </c>
      <c r="H228" t="inlineStr">
        <is>
          <t>بهمن 1416</t>
        </is>
      </c>
    </row>
    <row r="229">
      <c r="A229" t="n">
        <v>13980812</v>
      </c>
      <c r="B229" t="n">
        <v>43772</v>
      </c>
      <c r="C229" t="inlineStr">
        <is>
          <t>1398/08/12</t>
        </is>
      </c>
      <c r="E229" t="n">
        <v>141612</v>
      </c>
      <c r="F229" t="n">
        <v>50455</v>
      </c>
      <c r="G229" t="n">
        <v>50484</v>
      </c>
      <c r="H229" t="inlineStr">
        <is>
          <t>اسفند 1416</t>
        </is>
      </c>
    </row>
    <row r="230">
      <c r="A230" t="n">
        <v>13980813</v>
      </c>
      <c r="B230" t="n">
        <v>43773</v>
      </c>
      <c r="C230" t="inlineStr">
        <is>
          <t>1398/08/13</t>
        </is>
      </c>
      <c r="E230" t="n">
        <v>141701</v>
      </c>
      <c r="F230" t="n">
        <v>50485</v>
      </c>
      <c r="G230" t="n">
        <v>50515</v>
      </c>
      <c r="H230" t="inlineStr">
        <is>
          <t>فروردین 1417</t>
        </is>
      </c>
    </row>
    <row r="231">
      <c r="A231" t="n">
        <v>13980814</v>
      </c>
      <c r="B231" t="n">
        <v>43774</v>
      </c>
      <c r="C231" t="inlineStr">
        <is>
          <t>1398/08/14</t>
        </is>
      </c>
      <c r="E231" t="n">
        <v>141702</v>
      </c>
      <c r="F231" t="n">
        <v>50516</v>
      </c>
      <c r="G231" t="n">
        <v>50546</v>
      </c>
      <c r="H231" t="inlineStr">
        <is>
          <t>اردیبهشت 1417</t>
        </is>
      </c>
    </row>
    <row r="232">
      <c r="A232" t="n">
        <v>13980815</v>
      </c>
      <c r="B232" t="n">
        <v>43775</v>
      </c>
      <c r="C232" t="inlineStr">
        <is>
          <t>1398/08/15</t>
        </is>
      </c>
      <c r="E232" t="n">
        <v>141703</v>
      </c>
      <c r="F232" t="n">
        <v>50547</v>
      </c>
      <c r="G232" t="n">
        <v>50577</v>
      </c>
      <c r="H232" t="inlineStr">
        <is>
          <t>خرداد 1417</t>
        </is>
      </c>
    </row>
    <row r="233">
      <c r="A233" t="n">
        <v>13980816</v>
      </c>
      <c r="B233" t="n">
        <v>43776</v>
      </c>
      <c r="C233" t="inlineStr">
        <is>
          <t>1398/08/16</t>
        </is>
      </c>
      <c r="E233" t="n">
        <v>141704</v>
      </c>
      <c r="F233" t="n">
        <v>50578</v>
      </c>
      <c r="G233" t="n">
        <v>50608</v>
      </c>
      <c r="H233" t="inlineStr">
        <is>
          <t>تیر 1417</t>
        </is>
      </c>
    </row>
    <row r="234">
      <c r="A234" t="n">
        <v>13980817</v>
      </c>
      <c r="B234" t="n">
        <v>43777</v>
      </c>
      <c r="C234" t="inlineStr">
        <is>
          <t>1398/08/17</t>
        </is>
      </c>
      <c r="E234" t="n">
        <v>141705</v>
      </c>
      <c r="F234" t="n">
        <v>50609</v>
      </c>
      <c r="G234" t="n">
        <v>50639</v>
      </c>
      <c r="H234" t="inlineStr">
        <is>
          <t>مرداد 1417</t>
        </is>
      </c>
    </row>
    <row r="235">
      <c r="A235" t="n">
        <v>13980818</v>
      </c>
      <c r="B235" t="n">
        <v>43778</v>
      </c>
      <c r="C235" t="inlineStr">
        <is>
          <t>1398/08/18</t>
        </is>
      </c>
      <c r="E235" t="n">
        <v>141706</v>
      </c>
      <c r="F235" t="n">
        <v>50640</v>
      </c>
      <c r="G235" t="n">
        <v>50670</v>
      </c>
      <c r="H235" t="inlineStr">
        <is>
          <t>شهریور 1417</t>
        </is>
      </c>
    </row>
    <row r="236">
      <c r="A236" t="n">
        <v>13980819</v>
      </c>
      <c r="B236" t="n">
        <v>43779</v>
      </c>
      <c r="C236" t="inlineStr">
        <is>
          <t>1398/08/19</t>
        </is>
      </c>
      <c r="E236" t="n">
        <v>141707</v>
      </c>
      <c r="F236" t="n">
        <v>50671</v>
      </c>
      <c r="G236" t="n">
        <v>50700</v>
      </c>
      <c r="H236" t="inlineStr">
        <is>
          <t>مهر 1417</t>
        </is>
      </c>
    </row>
    <row r="237">
      <c r="A237" t="n">
        <v>13980820</v>
      </c>
      <c r="B237" t="n">
        <v>43780</v>
      </c>
      <c r="C237" t="inlineStr">
        <is>
          <t>1398/08/20</t>
        </is>
      </c>
      <c r="E237" t="n">
        <v>141708</v>
      </c>
      <c r="F237" t="n">
        <v>50701</v>
      </c>
      <c r="G237" t="n">
        <v>50730</v>
      </c>
      <c r="H237" t="inlineStr">
        <is>
          <t>آبان 1417</t>
        </is>
      </c>
    </row>
    <row r="238">
      <c r="A238" t="n">
        <v>13980821</v>
      </c>
      <c r="B238" t="n">
        <v>43781</v>
      </c>
      <c r="C238" t="inlineStr">
        <is>
          <t>1398/08/21</t>
        </is>
      </c>
      <c r="E238" t="n">
        <v>141709</v>
      </c>
      <c r="F238" t="n">
        <v>50731</v>
      </c>
      <c r="G238" t="n">
        <v>50760</v>
      </c>
      <c r="H238" t="inlineStr">
        <is>
          <t>آذر 1417</t>
        </is>
      </c>
    </row>
    <row r="239">
      <c r="A239" t="n">
        <v>13980822</v>
      </c>
      <c r="B239" t="n">
        <v>43782</v>
      </c>
      <c r="C239" t="inlineStr">
        <is>
          <t>1398/08/22</t>
        </is>
      </c>
      <c r="E239" t="n">
        <v>141710</v>
      </c>
      <c r="F239" t="n">
        <v>50761</v>
      </c>
      <c r="G239" t="n">
        <v>50790</v>
      </c>
      <c r="H239" t="inlineStr">
        <is>
          <t>دی 1417</t>
        </is>
      </c>
    </row>
    <row r="240">
      <c r="A240" t="n">
        <v>13980823</v>
      </c>
      <c r="B240" t="n">
        <v>43783</v>
      </c>
      <c r="C240" t="inlineStr">
        <is>
          <t>1398/08/23</t>
        </is>
      </c>
      <c r="E240" t="n">
        <v>141711</v>
      </c>
      <c r="F240" t="n">
        <v>50791</v>
      </c>
      <c r="G240" t="n">
        <v>50820</v>
      </c>
      <c r="H240" t="inlineStr">
        <is>
          <t>بهمن 1417</t>
        </is>
      </c>
    </row>
    <row r="241">
      <c r="A241" t="n">
        <v>13980824</v>
      </c>
      <c r="B241" t="n">
        <v>43784</v>
      </c>
      <c r="C241" t="inlineStr">
        <is>
          <t>1398/08/24</t>
        </is>
      </c>
      <c r="E241" t="n">
        <v>141712</v>
      </c>
      <c r="F241" t="n">
        <v>50821</v>
      </c>
      <c r="G241" t="n">
        <v>50849</v>
      </c>
      <c r="H241" t="inlineStr">
        <is>
          <t>اسفند 1417</t>
        </is>
      </c>
    </row>
    <row r="242">
      <c r="A242" t="n">
        <v>13980825</v>
      </c>
      <c r="B242" t="n">
        <v>43785</v>
      </c>
      <c r="C242" t="inlineStr">
        <is>
          <t>1398/08/25</t>
        </is>
      </c>
      <c r="E242" t="n">
        <v>141801</v>
      </c>
      <c r="F242" t="n">
        <v>50850</v>
      </c>
      <c r="G242" t="n">
        <v>50880</v>
      </c>
      <c r="H242" t="inlineStr">
        <is>
          <t>فروردین 1418</t>
        </is>
      </c>
    </row>
    <row r="243">
      <c r="A243" t="n">
        <v>13980826</v>
      </c>
      <c r="B243" t="n">
        <v>43786</v>
      </c>
      <c r="C243" t="inlineStr">
        <is>
          <t>1398/08/26</t>
        </is>
      </c>
      <c r="E243" t="n">
        <v>141802</v>
      </c>
      <c r="F243" t="n">
        <v>50881</v>
      </c>
      <c r="G243" t="n">
        <v>50911</v>
      </c>
      <c r="H243" t="inlineStr">
        <is>
          <t>اردیبهشت 1418</t>
        </is>
      </c>
    </row>
    <row r="244">
      <c r="A244" t="n">
        <v>13980827</v>
      </c>
      <c r="B244" t="n">
        <v>43787</v>
      </c>
      <c r="C244" t="inlineStr">
        <is>
          <t>1398/08/27</t>
        </is>
      </c>
      <c r="E244" t="n">
        <v>141803</v>
      </c>
      <c r="F244" t="n">
        <v>50912</v>
      </c>
      <c r="G244" t="n">
        <v>50942</v>
      </c>
      <c r="H244" t="inlineStr">
        <is>
          <t>خرداد 1418</t>
        </is>
      </c>
    </row>
    <row r="245">
      <c r="A245" t="n">
        <v>13980828</v>
      </c>
      <c r="B245" t="n">
        <v>43788</v>
      </c>
      <c r="C245" t="inlineStr">
        <is>
          <t>1398/08/28</t>
        </is>
      </c>
      <c r="E245" t="n">
        <v>141804</v>
      </c>
      <c r="F245" t="n">
        <v>50943</v>
      </c>
      <c r="G245" t="n">
        <v>50973</v>
      </c>
      <c r="H245" t="inlineStr">
        <is>
          <t>تیر 1418</t>
        </is>
      </c>
    </row>
    <row r="246">
      <c r="A246" t="n">
        <v>13980829</v>
      </c>
      <c r="B246" t="n">
        <v>43789</v>
      </c>
      <c r="C246" t="inlineStr">
        <is>
          <t>1398/08/29</t>
        </is>
      </c>
      <c r="E246" t="n">
        <v>141805</v>
      </c>
      <c r="F246" t="n">
        <v>50974</v>
      </c>
      <c r="G246" t="n">
        <v>51004</v>
      </c>
      <c r="H246" t="inlineStr">
        <is>
          <t>مرداد 1418</t>
        </is>
      </c>
    </row>
    <row r="247">
      <c r="A247" t="n">
        <v>13980830</v>
      </c>
      <c r="B247" t="n">
        <v>43790</v>
      </c>
      <c r="C247" t="inlineStr">
        <is>
          <t>1398/08/30</t>
        </is>
      </c>
      <c r="E247" t="n">
        <v>141806</v>
      </c>
      <c r="F247" t="n">
        <v>51005</v>
      </c>
      <c r="G247" t="n">
        <v>51035</v>
      </c>
      <c r="H247" t="inlineStr">
        <is>
          <t>شهریور 1418</t>
        </is>
      </c>
    </row>
    <row r="248">
      <c r="A248" t="n">
        <v>13980901</v>
      </c>
      <c r="B248" t="n">
        <v>43791</v>
      </c>
      <c r="C248" t="inlineStr">
        <is>
          <t>1398/09/01</t>
        </is>
      </c>
      <c r="E248" t="n">
        <v>141807</v>
      </c>
      <c r="F248" t="n">
        <v>51036</v>
      </c>
      <c r="G248" t="n">
        <v>51065</v>
      </c>
      <c r="H248" t="inlineStr">
        <is>
          <t>مهر 1418</t>
        </is>
      </c>
    </row>
    <row r="249">
      <c r="A249" t="n">
        <v>13980902</v>
      </c>
      <c r="B249" t="n">
        <v>43792</v>
      </c>
      <c r="C249" t="inlineStr">
        <is>
          <t>1398/09/02</t>
        </is>
      </c>
      <c r="E249" t="n">
        <v>141808</v>
      </c>
      <c r="F249" t="n">
        <v>51066</v>
      </c>
      <c r="G249" t="n">
        <v>51095</v>
      </c>
      <c r="H249" t="inlineStr">
        <is>
          <t>آبان 1418</t>
        </is>
      </c>
    </row>
    <row r="250">
      <c r="A250" t="n">
        <v>13980903</v>
      </c>
      <c r="B250" t="n">
        <v>43793</v>
      </c>
      <c r="C250" t="inlineStr">
        <is>
          <t>1398/09/03</t>
        </is>
      </c>
      <c r="E250" t="n">
        <v>141809</v>
      </c>
      <c r="F250" t="n">
        <v>51096</v>
      </c>
      <c r="G250" t="n">
        <v>51125</v>
      </c>
      <c r="H250" t="inlineStr">
        <is>
          <t>آذر 1418</t>
        </is>
      </c>
    </row>
    <row r="251">
      <c r="A251" t="n">
        <v>13980904</v>
      </c>
      <c r="B251" t="n">
        <v>43794</v>
      </c>
      <c r="C251" t="inlineStr">
        <is>
          <t>1398/09/04</t>
        </is>
      </c>
      <c r="E251" t="n">
        <v>141810</v>
      </c>
      <c r="F251" t="n">
        <v>51126</v>
      </c>
      <c r="G251" t="n">
        <v>51155</v>
      </c>
      <c r="H251" t="inlineStr">
        <is>
          <t>دی 1418</t>
        </is>
      </c>
    </row>
    <row r="252">
      <c r="A252" t="n">
        <v>13980905</v>
      </c>
      <c r="B252" t="n">
        <v>43795</v>
      </c>
      <c r="C252" t="inlineStr">
        <is>
          <t>1398/09/05</t>
        </is>
      </c>
      <c r="E252" t="n">
        <v>141811</v>
      </c>
      <c r="F252" t="n">
        <v>51156</v>
      </c>
      <c r="G252" t="n">
        <v>51185</v>
      </c>
      <c r="H252" t="inlineStr">
        <is>
          <t>بهمن 1418</t>
        </is>
      </c>
    </row>
    <row r="253">
      <c r="A253" t="n">
        <v>13980906</v>
      </c>
      <c r="B253" t="n">
        <v>43796</v>
      </c>
      <c r="C253" t="inlineStr">
        <is>
          <t>1398/09/06</t>
        </is>
      </c>
      <c r="E253" t="n">
        <v>141812</v>
      </c>
      <c r="F253" t="n">
        <v>51186</v>
      </c>
      <c r="G253" t="n">
        <v>51214</v>
      </c>
      <c r="H253" t="inlineStr">
        <is>
          <t>اسفند 1418</t>
        </is>
      </c>
    </row>
    <row r="254">
      <c r="A254" t="n">
        <v>13980907</v>
      </c>
      <c r="B254" t="n">
        <v>43797</v>
      </c>
      <c r="C254" t="inlineStr">
        <is>
          <t>1398/09/07</t>
        </is>
      </c>
      <c r="E254" t="n">
        <v>141901</v>
      </c>
      <c r="F254" t="n">
        <v>51215</v>
      </c>
      <c r="G254" t="n">
        <v>51245</v>
      </c>
      <c r="H254" t="inlineStr">
        <is>
          <t>فروردین 1419</t>
        </is>
      </c>
    </row>
    <row r="255">
      <c r="A255" t="n">
        <v>13980908</v>
      </c>
      <c r="B255" t="n">
        <v>43798</v>
      </c>
      <c r="C255" t="inlineStr">
        <is>
          <t>1398/09/08</t>
        </is>
      </c>
      <c r="E255" t="n">
        <v>141902</v>
      </c>
      <c r="F255" t="n">
        <v>51246</v>
      </c>
      <c r="G255" t="n">
        <v>51276</v>
      </c>
      <c r="H255" t="inlineStr">
        <is>
          <t>اردیبهشت 1419</t>
        </is>
      </c>
    </row>
    <row r="256">
      <c r="A256" t="n">
        <v>13980909</v>
      </c>
      <c r="B256" t="n">
        <v>43799</v>
      </c>
      <c r="C256" t="inlineStr">
        <is>
          <t>1398/09/09</t>
        </is>
      </c>
      <c r="E256" t="n">
        <v>141903</v>
      </c>
      <c r="F256" t="n">
        <v>51277</v>
      </c>
      <c r="G256" t="n">
        <v>51307</v>
      </c>
      <c r="H256" t="inlineStr">
        <is>
          <t>خرداد 1419</t>
        </is>
      </c>
    </row>
    <row r="257">
      <c r="A257" t="n">
        <v>13980910</v>
      </c>
      <c r="B257" t="n">
        <v>43800</v>
      </c>
      <c r="C257" t="inlineStr">
        <is>
          <t>1398/09/10</t>
        </is>
      </c>
      <c r="E257" t="n">
        <v>141904</v>
      </c>
      <c r="F257" t="n">
        <v>51308</v>
      </c>
      <c r="G257" t="n">
        <v>51338</v>
      </c>
      <c r="H257" t="inlineStr">
        <is>
          <t>تیر 1419</t>
        </is>
      </c>
    </row>
    <row r="258">
      <c r="A258" t="n">
        <v>13980911</v>
      </c>
      <c r="B258" t="n">
        <v>43801</v>
      </c>
      <c r="C258" t="inlineStr">
        <is>
          <t>1398/09/11</t>
        </is>
      </c>
      <c r="E258" t="n">
        <v>141905</v>
      </c>
      <c r="F258" t="n">
        <v>51339</v>
      </c>
      <c r="G258" t="n">
        <v>51369</v>
      </c>
      <c r="H258" t="inlineStr">
        <is>
          <t>مرداد 1419</t>
        </is>
      </c>
    </row>
    <row r="259">
      <c r="A259" t="n">
        <v>13980912</v>
      </c>
      <c r="B259" t="n">
        <v>43802</v>
      </c>
      <c r="C259" t="inlineStr">
        <is>
          <t>1398/09/12</t>
        </is>
      </c>
      <c r="E259" t="n">
        <v>141906</v>
      </c>
      <c r="F259" t="n">
        <v>51370</v>
      </c>
      <c r="G259" t="n">
        <v>51400</v>
      </c>
      <c r="H259" t="inlineStr">
        <is>
          <t>شهریور 1419</t>
        </is>
      </c>
    </row>
    <row r="260">
      <c r="A260" t="n">
        <v>13980913</v>
      </c>
      <c r="B260" t="n">
        <v>43803</v>
      </c>
      <c r="C260" t="inlineStr">
        <is>
          <t>1398/09/13</t>
        </is>
      </c>
      <c r="E260" t="n">
        <v>141907</v>
      </c>
      <c r="F260" t="n">
        <v>51401</v>
      </c>
      <c r="G260" t="n">
        <v>51430</v>
      </c>
      <c r="H260" t="inlineStr">
        <is>
          <t>مهر 1419</t>
        </is>
      </c>
    </row>
    <row r="261">
      <c r="A261" t="n">
        <v>13980914</v>
      </c>
      <c r="B261" t="n">
        <v>43804</v>
      </c>
      <c r="C261" t="inlineStr">
        <is>
          <t>1398/09/14</t>
        </is>
      </c>
      <c r="E261" t="n">
        <v>141908</v>
      </c>
      <c r="F261" t="n">
        <v>51431</v>
      </c>
      <c r="G261" t="n">
        <v>51460</v>
      </c>
      <c r="H261" t="inlineStr">
        <is>
          <t>آبان 1419</t>
        </is>
      </c>
    </row>
    <row r="262">
      <c r="A262" t="n">
        <v>13980915</v>
      </c>
      <c r="B262" t="n">
        <v>43805</v>
      </c>
      <c r="C262" t="inlineStr">
        <is>
          <t>1398/09/15</t>
        </is>
      </c>
      <c r="E262" t="n">
        <v>141909</v>
      </c>
      <c r="F262" t="n">
        <v>51461</v>
      </c>
      <c r="G262" t="n">
        <v>51490</v>
      </c>
      <c r="H262" t="inlineStr">
        <is>
          <t>آذر 1419</t>
        </is>
      </c>
    </row>
    <row r="263">
      <c r="A263" t="n">
        <v>13980916</v>
      </c>
      <c r="B263" t="n">
        <v>43806</v>
      </c>
      <c r="C263" t="inlineStr">
        <is>
          <t>1398/09/16</t>
        </is>
      </c>
      <c r="E263" t="n">
        <v>141910</v>
      </c>
      <c r="F263" t="n">
        <v>51491</v>
      </c>
      <c r="G263" t="n">
        <v>51520</v>
      </c>
      <c r="H263" t="inlineStr">
        <is>
          <t>دی 1419</t>
        </is>
      </c>
    </row>
    <row r="264">
      <c r="A264" t="n">
        <v>13980917</v>
      </c>
      <c r="B264" t="n">
        <v>43807</v>
      </c>
      <c r="C264" t="inlineStr">
        <is>
          <t>1398/09/17</t>
        </is>
      </c>
      <c r="E264" t="n">
        <v>141911</v>
      </c>
      <c r="F264" t="n">
        <v>51521</v>
      </c>
      <c r="G264" t="n">
        <v>51550</v>
      </c>
      <c r="H264" t="inlineStr">
        <is>
          <t>بهمن 1419</t>
        </is>
      </c>
    </row>
    <row r="265">
      <c r="A265" t="n">
        <v>13980918</v>
      </c>
      <c r="B265" t="n">
        <v>43808</v>
      </c>
      <c r="C265" t="inlineStr">
        <is>
          <t>1398/09/18</t>
        </is>
      </c>
      <c r="E265" t="n">
        <v>141912</v>
      </c>
      <c r="F265" t="n">
        <v>51551</v>
      </c>
      <c r="G265" t="n">
        <v>51579</v>
      </c>
      <c r="H265" t="inlineStr">
        <is>
          <t>اسفند 1419</t>
        </is>
      </c>
    </row>
    <row r="266">
      <c r="A266" t="n">
        <v>13980919</v>
      </c>
      <c r="B266" t="n">
        <v>43809</v>
      </c>
      <c r="C266" t="inlineStr">
        <is>
          <t>1398/09/19</t>
        </is>
      </c>
      <c r="E266" t="n">
        <v>142001</v>
      </c>
      <c r="F266" t="n">
        <v>51580</v>
      </c>
      <c r="G266" t="n">
        <v>51610</v>
      </c>
      <c r="H266" t="inlineStr">
        <is>
          <t>فروردین 1420</t>
        </is>
      </c>
    </row>
    <row r="267">
      <c r="A267" t="n">
        <v>13980920</v>
      </c>
      <c r="B267" t="n">
        <v>43810</v>
      </c>
      <c r="C267" t="inlineStr">
        <is>
          <t>1398/09/20</t>
        </is>
      </c>
      <c r="E267" t="n">
        <v>142002</v>
      </c>
      <c r="F267" t="n">
        <v>51611</v>
      </c>
      <c r="G267" t="n">
        <v>51641</v>
      </c>
      <c r="H267" t="inlineStr">
        <is>
          <t>اردیبهشت 1420</t>
        </is>
      </c>
    </row>
    <row r="268">
      <c r="A268" t="n">
        <v>13980921</v>
      </c>
      <c r="B268" t="n">
        <v>43811</v>
      </c>
      <c r="C268" t="inlineStr">
        <is>
          <t>1398/09/21</t>
        </is>
      </c>
      <c r="E268" t="n">
        <v>142003</v>
      </c>
      <c r="F268" t="n">
        <v>51642</v>
      </c>
      <c r="G268" t="n">
        <v>51672</v>
      </c>
      <c r="H268" t="inlineStr">
        <is>
          <t>خرداد 1420</t>
        </is>
      </c>
    </row>
    <row r="269">
      <c r="A269" t="n">
        <v>13980922</v>
      </c>
      <c r="B269" t="n">
        <v>43812</v>
      </c>
      <c r="C269" t="inlineStr">
        <is>
          <t>1398/09/22</t>
        </is>
      </c>
      <c r="E269" t="n">
        <v>142004</v>
      </c>
      <c r="F269" t="n">
        <v>51673</v>
      </c>
      <c r="G269" t="n">
        <v>51703</v>
      </c>
      <c r="H269" t="inlineStr">
        <is>
          <t>تیر 1420</t>
        </is>
      </c>
    </row>
    <row r="270">
      <c r="A270" t="n">
        <v>13980923</v>
      </c>
      <c r="B270" t="n">
        <v>43813</v>
      </c>
      <c r="C270" t="inlineStr">
        <is>
          <t>1398/09/23</t>
        </is>
      </c>
      <c r="E270" t="n">
        <v>142005</v>
      </c>
      <c r="F270" t="n">
        <v>51704</v>
      </c>
      <c r="G270" t="n">
        <v>51734</v>
      </c>
      <c r="H270" t="inlineStr">
        <is>
          <t>مرداد 1420</t>
        </is>
      </c>
    </row>
    <row r="271">
      <c r="A271" t="n">
        <v>13980924</v>
      </c>
      <c r="B271" t="n">
        <v>43814</v>
      </c>
      <c r="C271" t="inlineStr">
        <is>
          <t>1398/09/24</t>
        </is>
      </c>
      <c r="E271" t="n">
        <v>142006</v>
      </c>
      <c r="F271" t="n">
        <v>51735</v>
      </c>
      <c r="G271" t="n">
        <v>51765</v>
      </c>
      <c r="H271" t="inlineStr">
        <is>
          <t>شهریور 1420</t>
        </is>
      </c>
    </row>
    <row r="272">
      <c r="A272" t="n">
        <v>13980925</v>
      </c>
      <c r="B272" t="n">
        <v>43815</v>
      </c>
      <c r="C272" t="inlineStr">
        <is>
          <t>1398/09/25</t>
        </is>
      </c>
      <c r="E272" t="n">
        <v>142007</v>
      </c>
      <c r="F272" t="n">
        <v>51766</v>
      </c>
      <c r="G272" t="n">
        <v>51795</v>
      </c>
      <c r="H272" t="inlineStr">
        <is>
          <t>مهر 1420</t>
        </is>
      </c>
    </row>
    <row r="273">
      <c r="A273" t="n">
        <v>13980926</v>
      </c>
      <c r="B273" t="n">
        <v>43816</v>
      </c>
      <c r="C273" t="inlineStr">
        <is>
          <t>1398/09/26</t>
        </is>
      </c>
      <c r="E273" t="n">
        <v>142008</v>
      </c>
      <c r="F273" t="n">
        <v>51796</v>
      </c>
      <c r="G273" t="n">
        <v>51825</v>
      </c>
      <c r="H273" t="inlineStr">
        <is>
          <t>آبان 1420</t>
        </is>
      </c>
    </row>
    <row r="274">
      <c r="A274" t="n">
        <v>13980927</v>
      </c>
      <c r="B274" t="n">
        <v>43817</v>
      </c>
      <c r="C274" t="inlineStr">
        <is>
          <t>1398/09/27</t>
        </is>
      </c>
      <c r="E274" t="n">
        <v>142009</v>
      </c>
      <c r="F274" t="n">
        <v>51826</v>
      </c>
      <c r="G274" t="n">
        <v>51855</v>
      </c>
      <c r="H274" t="inlineStr">
        <is>
          <t>آذر 1420</t>
        </is>
      </c>
    </row>
    <row r="275">
      <c r="A275" t="n">
        <v>13980928</v>
      </c>
      <c r="B275" t="n">
        <v>43818</v>
      </c>
      <c r="C275" t="inlineStr">
        <is>
          <t>1398/09/28</t>
        </is>
      </c>
      <c r="E275" t="n">
        <v>142010</v>
      </c>
      <c r="F275" t="n">
        <v>51856</v>
      </c>
      <c r="G275" t="n">
        <v>51885</v>
      </c>
      <c r="H275" t="inlineStr">
        <is>
          <t>دی 1420</t>
        </is>
      </c>
    </row>
    <row r="276">
      <c r="A276" t="n">
        <v>13980929</v>
      </c>
      <c r="B276" t="n">
        <v>43819</v>
      </c>
      <c r="C276" t="inlineStr">
        <is>
          <t>1398/09/29</t>
        </is>
      </c>
      <c r="E276" t="n">
        <v>142011</v>
      </c>
      <c r="F276" t="n">
        <v>51886</v>
      </c>
      <c r="G276" t="n">
        <v>51915</v>
      </c>
      <c r="H276" t="inlineStr">
        <is>
          <t>بهمن 1420</t>
        </is>
      </c>
    </row>
    <row r="277">
      <c r="A277" t="n">
        <v>13980930</v>
      </c>
      <c r="B277" t="n">
        <v>43820</v>
      </c>
      <c r="C277" t="inlineStr">
        <is>
          <t>1398/09/30</t>
        </is>
      </c>
      <c r="E277" t="n">
        <v>142012</v>
      </c>
      <c r="F277" t="n">
        <v>51916</v>
      </c>
      <c r="G277" t="n">
        <v>51945</v>
      </c>
      <c r="H277" t="inlineStr">
        <is>
          <t>اسفند 1420</t>
        </is>
      </c>
    </row>
    <row r="278">
      <c r="A278" t="n">
        <v>13981001</v>
      </c>
      <c r="B278" t="n">
        <v>43821</v>
      </c>
      <c r="C278" t="inlineStr">
        <is>
          <t>1398/10/01</t>
        </is>
      </c>
      <c r="E278" t="n">
        <v>142101</v>
      </c>
      <c r="F278" t="n">
        <v>51946</v>
      </c>
      <c r="G278" t="n">
        <v>51976</v>
      </c>
      <c r="H278" t="inlineStr">
        <is>
          <t>فروردین 1421</t>
        </is>
      </c>
    </row>
    <row r="279">
      <c r="A279" t="n">
        <v>13981002</v>
      </c>
      <c r="B279" t="n">
        <v>43822</v>
      </c>
      <c r="C279" t="inlineStr">
        <is>
          <t>1398/10/02</t>
        </is>
      </c>
      <c r="E279" t="n">
        <v>142102</v>
      </c>
      <c r="F279" t="n">
        <v>51977</v>
      </c>
      <c r="G279" t="n">
        <v>52007</v>
      </c>
      <c r="H279" t="inlineStr">
        <is>
          <t>اردیبهشت 1421</t>
        </is>
      </c>
    </row>
    <row r="280">
      <c r="A280" t="n">
        <v>13981003</v>
      </c>
      <c r="B280" t="n">
        <v>43823</v>
      </c>
      <c r="C280" t="inlineStr">
        <is>
          <t>1398/10/03</t>
        </is>
      </c>
      <c r="E280" t="n">
        <v>142103</v>
      </c>
      <c r="F280" t="n">
        <v>52008</v>
      </c>
      <c r="G280" t="n">
        <v>52038</v>
      </c>
      <c r="H280" t="inlineStr">
        <is>
          <t>خرداد 1421</t>
        </is>
      </c>
    </row>
    <row r="281">
      <c r="A281" t="n">
        <v>13981004</v>
      </c>
      <c r="B281" t="n">
        <v>43824</v>
      </c>
      <c r="C281" t="inlineStr">
        <is>
          <t>1398/10/04</t>
        </is>
      </c>
      <c r="E281" t="n">
        <v>142104</v>
      </c>
      <c r="F281" t="n">
        <v>52039</v>
      </c>
      <c r="G281" t="n">
        <v>52069</v>
      </c>
      <c r="H281" t="inlineStr">
        <is>
          <t>تیر 1421</t>
        </is>
      </c>
    </row>
    <row r="282">
      <c r="A282" t="n">
        <v>13981005</v>
      </c>
      <c r="B282" t="n">
        <v>43825</v>
      </c>
      <c r="C282" t="inlineStr">
        <is>
          <t>1398/10/05</t>
        </is>
      </c>
      <c r="E282" t="n">
        <v>142105</v>
      </c>
      <c r="F282" t="n">
        <v>52070</v>
      </c>
      <c r="G282" t="n">
        <v>52100</v>
      </c>
      <c r="H282" t="inlineStr">
        <is>
          <t>مرداد 1421</t>
        </is>
      </c>
    </row>
    <row r="283">
      <c r="A283" t="n">
        <v>13981006</v>
      </c>
      <c r="B283" t="n">
        <v>43826</v>
      </c>
      <c r="C283" t="inlineStr">
        <is>
          <t>1398/10/06</t>
        </is>
      </c>
      <c r="E283" t="n">
        <v>142106</v>
      </c>
      <c r="F283" t="n">
        <v>52101</v>
      </c>
      <c r="G283" t="n">
        <v>52131</v>
      </c>
      <c r="H283" t="inlineStr">
        <is>
          <t>شهریور 1421</t>
        </is>
      </c>
    </row>
    <row r="284">
      <c r="A284" t="n">
        <v>13981007</v>
      </c>
      <c r="B284" t="n">
        <v>43827</v>
      </c>
      <c r="C284" t="inlineStr">
        <is>
          <t>1398/10/07</t>
        </is>
      </c>
      <c r="E284" t="n">
        <v>142107</v>
      </c>
      <c r="F284" t="n">
        <v>52132</v>
      </c>
      <c r="G284" t="n">
        <v>52161</v>
      </c>
      <c r="H284" t="inlineStr">
        <is>
          <t>مهر 1421</t>
        </is>
      </c>
    </row>
    <row r="285">
      <c r="A285" t="n">
        <v>13981008</v>
      </c>
      <c r="B285" t="n">
        <v>43828</v>
      </c>
      <c r="C285" t="inlineStr">
        <is>
          <t>1398/10/08</t>
        </is>
      </c>
      <c r="E285" t="n">
        <v>142108</v>
      </c>
      <c r="F285" t="n">
        <v>52162</v>
      </c>
      <c r="G285" t="n">
        <v>52191</v>
      </c>
      <c r="H285" t="inlineStr">
        <is>
          <t>آبان 1421</t>
        </is>
      </c>
    </row>
    <row r="286">
      <c r="A286" t="n">
        <v>13981009</v>
      </c>
      <c r="B286" t="n">
        <v>43829</v>
      </c>
      <c r="C286" t="inlineStr">
        <is>
          <t>1398/10/09</t>
        </is>
      </c>
      <c r="E286" t="n">
        <v>142109</v>
      </c>
      <c r="F286" t="n">
        <v>52192</v>
      </c>
      <c r="G286" t="n">
        <v>52221</v>
      </c>
      <c r="H286" t="inlineStr">
        <is>
          <t>آذر 1421</t>
        </is>
      </c>
    </row>
    <row r="287">
      <c r="A287" t="n">
        <v>13981010</v>
      </c>
      <c r="B287" t="n">
        <v>43830</v>
      </c>
      <c r="C287" t="inlineStr">
        <is>
          <t>1398/10/10</t>
        </is>
      </c>
      <c r="E287" t="n">
        <v>142110</v>
      </c>
      <c r="F287" t="n">
        <v>52222</v>
      </c>
      <c r="G287" t="n">
        <v>52251</v>
      </c>
      <c r="H287" t="inlineStr">
        <is>
          <t>دی 1421</t>
        </is>
      </c>
    </row>
    <row r="288">
      <c r="A288" t="n">
        <v>13981011</v>
      </c>
      <c r="B288" t="n">
        <v>43831</v>
      </c>
      <c r="C288" t="inlineStr">
        <is>
          <t>1398/10/11</t>
        </is>
      </c>
      <c r="E288" t="n">
        <v>142111</v>
      </c>
      <c r="F288" t="n">
        <v>52252</v>
      </c>
      <c r="G288" t="n">
        <v>52281</v>
      </c>
      <c r="H288" t="inlineStr">
        <is>
          <t>بهمن 1421</t>
        </is>
      </c>
    </row>
    <row r="289">
      <c r="A289" t="n">
        <v>13981012</v>
      </c>
      <c r="B289" t="n">
        <v>43832</v>
      </c>
      <c r="C289" t="inlineStr">
        <is>
          <t>1398/10/12</t>
        </is>
      </c>
      <c r="E289" t="n">
        <v>142112</v>
      </c>
      <c r="F289" t="n">
        <v>52282</v>
      </c>
      <c r="G289" t="n">
        <v>52310</v>
      </c>
      <c r="H289" t="inlineStr">
        <is>
          <t>اسفند 1421</t>
        </is>
      </c>
    </row>
    <row r="290">
      <c r="A290" t="n">
        <v>13981013</v>
      </c>
      <c r="B290" t="n">
        <v>43833</v>
      </c>
      <c r="C290" t="inlineStr">
        <is>
          <t>1398/10/13</t>
        </is>
      </c>
      <c r="E290" t="n">
        <v>142201</v>
      </c>
      <c r="F290" t="n">
        <v>52311</v>
      </c>
      <c r="G290" t="n">
        <v>52341</v>
      </c>
      <c r="H290" t="inlineStr">
        <is>
          <t>فروردین 1422</t>
        </is>
      </c>
    </row>
    <row r="291">
      <c r="A291" t="n">
        <v>13981014</v>
      </c>
      <c r="B291" t="n">
        <v>43834</v>
      </c>
      <c r="C291" t="inlineStr">
        <is>
          <t>1398/10/14</t>
        </is>
      </c>
      <c r="E291" t="n">
        <v>142202</v>
      </c>
      <c r="F291" t="n">
        <v>52342</v>
      </c>
      <c r="G291" t="n">
        <v>52372</v>
      </c>
      <c r="H291" t="inlineStr">
        <is>
          <t>اردیبهشت 1422</t>
        </is>
      </c>
    </row>
    <row r="292">
      <c r="A292" t="n">
        <v>13981015</v>
      </c>
      <c r="B292" t="n">
        <v>43835</v>
      </c>
      <c r="C292" t="inlineStr">
        <is>
          <t>1398/10/15</t>
        </is>
      </c>
      <c r="E292" t="n">
        <v>142203</v>
      </c>
      <c r="F292" t="n">
        <v>52373</v>
      </c>
      <c r="G292" t="n">
        <v>52403</v>
      </c>
      <c r="H292" t="inlineStr">
        <is>
          <t>خرداد 1422</t>
        </is>
      </c>
    </row>
    <row r="293">
      <c r="A293" t="n">
        <v>13981016</v>
      </c>
      <c r="B293" t="n">
        <v>43836</v>
      </c>
      <c r="C293" t="inlineStr">
        <is>
          <t>1398/10/16</t>
        </is>
      </c>
      <c r="E293" t="n">
        <v>142204</v>
      </c>
      <c r="F293" t="n">
        <v>52404</v>
      </c>
      <c r="G293" t="n">
        <v>52434</v>
      </c>
      <c r="H293" t="inlineStr">
        <is>
          <t>تیر 1422</t>
        </is>
      </c>
    </row>
    <row r="294">
      <c r="A294" t="n">
        <v>13981017</v>
      </c>
      <c r="B294" t="n">
        <v>43837</v>
      </c>
      <c r="C294" t="inlineStr">
        <is>
          <t>1398/10/17</t>
        </is>
      </c>
      <c r="E294" t="n">
        <v>142205</v>
      </c>
      <c r="F294" t="n">
        <v>52435</v>
      </c>
      <c r="G294" t="n">
        <v>52465</v>
      </c>
      <c r="H294" t="inlineStr">
        <is>
          <t>مرداد 1422</t>
        </is>
      </c>
    </row>
    <row r="295">
      <c r="A295" t="n">
        <v>13981018</v>
      </c>
      <c r="B295" t="n">
        <v>43838</v>
      </c>
      <c r="C295" t="inlineStr">
        <is>
          <t>1398/10/18</t>
        </is>
      </c>
      <c r="E295" t="n">
        <v>142206</v>
      </c>
      <c r="F295" t="n">
        <v>52466</v>
      </c>
      <c r="G295" t="n">
        <v>52496</v>
      </c>
      <c r="H295" t="inlineStr">
        <is>
          <t>شهریور 1422</t>
        </is>
      </c>
    </row>
    <row r="296">
      <c r="A296" t="n">
        <v>13981019</v>
      </c>
      <c r="B296" t="n">
        <v>43839</v>
      </c>
      <c r="C296" t="inlineStr">
        <is>
          <t>1398/10/19</t>
        </is>
      </c>
      <c r="E296" t="n">
        <v>142207</v>
      </c>
      <c r="F296" t="n">
        <v>52497</v>
      </c>
      <c r="G296" t="n">
        <v>52526</v>
      </c>
      <c r="H296" t="inlineStr">
        <is>
          <t>مهر 1422</t>
        </is>
      </c>
    </row>
    <row r="297">
      <c r="A297" t="n">
        <v>13981020</v>
      </c>
      <c r="B297" t="n">
        <v>43840</v>
      </c>
      <c r="C297" t="inlineStr">
        <is>
          <t>1398/10/20</t>
        </is>
      </c>
      <c r="E297" t="n">
        <v>142208</v>
      </c>
      <c r="F297" t="n">
        <v>52527</v>
      </c>
      <c r="G297" t="n">
        <v>52556</v>
      </c>
      <c r="H297" t="inlineStr">
        <is>
          <t>آبان 1422</t>
        </is>
      </c>
    </row>
    <row r="298">
      <c r="A298" t="n">
        <v>13981021</v>
      </c>
      <c r="B298" t="n">
        <v>43841</v>
      </c>
      <c r="C298" t="inlineStr">
        <is>
          <t>1398/10/21</t>
        </is>
      </c>
      <c r="E298" t="n">
        <v>142209</v>
      </c>
      <c r="F298" t="n">
        <v>52557</v>
      </c>
      <c r="G298" t="n">
        <v>52586</v>
      </c>
      <c r="H298" t="inlineStr">
        <is>
          <t>آذر 1422</t>
        </is>
      </c>
    </row>
    <row r="299">
      <c r="A299" t="n">
        <v>13981022</v>
      </c>
      <c r="B299" t="n">
        <v>43842</v>
      </c>
      <c r="C299" t="inlineStr">
        <is>
          <t>1398/10/22</t>
        </is>
      </c>
      <c r="E299" t="n">
        <v>142210</v>
      </c>
      <c r="F299" t="n">
        <v>52587</v>
      </c>
      <c r="G299" t="n">
        <v>52616</v>
      </c>
      <c r="H299" t="inlineStr">
        <is>
          <t>دی 1422</t>
        </is>
      </c>
    </row>
    <row r="300">
      <c r="A300" t="n">
        <v>13981023</v>
      </c>
      <c r="B300" t="n">
        <v>43843</v>
      </c>
      <c r="C300" t="inlineStr">
        <is>
          <t>1398/10/23</t>
        </is>
      </c>
      <c r="E300" t="n">
        <v>142211</v>
      </c>
      <c r="F300" t="n">
        <v>52617</v>
      </c>
      <c r="G300" t="n">
        <v>52646</v>
      </c>
      <c r="H300" t="inlineStr">
        <is>
          <t>بهمن 1422</t>
        </is>
      </c>
    </row>
    <row r="301">
      <c r="A301" t="n">
        <v>13981024</v>
      </c>
      <c r="B301" t="n">
        <v>43844</v>
      </c>
      <c r="C301" t="inlineStr">
        <is>
          <t>1398/10/24</t>
        </is>
      </c>
      <c r="E301" t="n">
        <v>142212</v>
      </c>
      <c r="F301" t="n">
        <v>52647</v>
      </c>
      <c r="G301" t="n">
        <v>52675</v>
      </c>
      <c r="H301" t="inlineStr">
        <is>
          <t>اسفند 1422</t>
        </is>
      </c>
    </row>
    <row r="302">
      <c r="A302" t="n">
        <v>13981025</v>
      </c>
      <c r="B302" t="n">
        <v>43845</v>
      </c>
      <c r="C302" t="inlineStr">
        <is>
          <t>1398/10/25</t>
        </is>
      </c>
      <c r="E302" t="n">
        <v>142301</v>
      </c>
      <c r="F302" t="n">
        <v>52676</v>
      </c>
      <c r="G302" t="n">
        <v>52706</v>
      </c>
      <c r="H302" t="inlineStr">
        <is>
          <t>فروردین 1423</t>
        </is>
      </c>
    </row>
    <row r="303">
      <c r="A303" t="n">
        <v>13981026</v>
      </c>
      <c r="B303" t="n">
        <v>43846</v>
      </c>
      <c r="C303" t="inlineStr">
        <is>
          <t>1398/10/26</t>
        </is>
      </c>
      <c r="E303" t="n">
        <v>142302</v>
      </c>
      <c r="F303" t="n">
        <v>52707</v>
      </c>
      <c r="G303" t="n">
        <v>52737</v>
      </c>
      <c r="H303" t="inlineStr">
        <is>
          <t>اردیبهشت 1423</t>
        </is>
      </c>
    </row>
    <row r="304">
      <c r="A304" t="n">
        <v>13981027</v>
      </c>
      <c r="B304" t="n">
        <v>43847</v>
      </c>
      <c r="C304" t="inlineStr">
        <is>
          <t>1398/10/27</t>
        </is>
      </c>
      <c r="E304" t="n">
        <v>142303</v>
      </c>
      <c r="F304" t="n">
        <v>52738</v>
      </c>
      <c r="G304" t="n">
        <v>52768</v>
      </c>
      <c r="H304" t="inlineStr">
        <is>
          <t>خرداد 1423</t>
        </is>
      </c>
    </row>
    <row r="305">
      <c r="A305" t="n">
        <v>13981028</v>
      </c>
      <c r="B305" t="n">
        <v>43848</v>
      </c>
      <c r="C305" t="inlineStr">
        <is>
          <t>1398/10/28</t>
        </is>
      </c>
      <c r="E305" t="n">
        <v>142304</v>
      </c>
      <c r="F305" t="n">
        <v>52769</v>
      </c>
      <c r="G305" t="n">
        <v>52799</v>
      </c>
      <c r="H305" t="inlineStr">
        <is>
          <t>تیر 1423</t>
        </is>
      </c>
    </row>
    <row r="306">
      <c r="A306" t="n">
        <v>13981029</v>
      </c>
      <c r="B306" t="n">
        <v>43849</v>
      </c>
      <c r="C306" t="inlineStr">
        <is>
          <t>1398/10/29</t>
        </is>
      </c>
      <c r="E306" t="n">
        <v>142305</v>
      </c>
      <c r="F306" t="n">
        <v>52800</v>
      </c>
      <c r="G306" t="n">
        <v>52830</v>
      </c>
      <c r="H306" t="inlineStr">
        <is>
          <t>مرداد 1423</t>
        </is>
      </c>
    </row>
    <row r="307">
      <c r="A307" t="n">
        <v>13981030</v>
      </c>
      <c r="B307" t="n">
        <v>43850</v>
      </c>
      <c r="C307" t="inlineStr">
        <is>
          <t>1398/10/30</t>
        </is>
      </c>
      <c r="E307" t="n">
        <v>142306</v>
      </c>
      <c r="F307" t="n">
        <v>52831</v>
      </c>
      <c r="G307" t="n">
        <v>52861</v>
      </c>
      <c r="H307" t="inlineStr">
        <is>
          <t>شهریور 1423</t>
        </is>
      </c>
    </row>
    <row r="308">
      <c r="A308" t="n">
        <v>13981101</v>
      </c>
      <c r="B308" t="n">
        <v>43851</v>
      </c>
      <c r="C308" t="inlineStr">
        <is>
          <t>1398/11/01</t>
        </is>
      </c>
      <c r="E308" t="n">
        <v>142307</v>
      </c>
      <c r="F308" t="n">
        <v>52862</v>
      </c>
      <c r="G308" t="n">
        <v>52891</v>
      </c>
      <c r="H308" t="inlineStr">
        <is>
          <t>مهر 1423</t>
        </is>
      </c>
    </row>
    <row r="309">
      <c r="A309" t="n">
        <v>13981102</v>
      </c>
      <c r="B309" t="n">
        <v>43852</v>
      </c>
      <c r="C309" t="inlineStr">
        <is>
          <t>1398/11/02</t>
        </is>
      </c>
      <c r="E309" t="n">
        <v>142308</v>
      </c>
      <c r="F309" t="n">
        <v>52892</v>
      </c>
      <c r="G309" t="n">
        <v>52921</v>
      </c>
      <c r="H309" t="inlineStr">
        <is>
          <t>آبان 1423</t>
        </is>
      </c>
    </row>
    <row r="310">
      <c r="A310" t="n">
        <v>13981103</v>
      </c>
      <c r="B310" t="n">
        <v>43853</v>
      </c>
      <c r="C310" t="inlineStr">
        <is>
          <t>1398/11/03</t>
        </is>
      </c>
      <c r="E310" t="n">
        <v>142309</v>
      </c>
      <c r="F310" t="n">
        <v>52922</v>
      </c>
      <c r="G310" t="n">
        <v>52951</v>
      </c>
      <c r="H310" t="inlineStr">
        <is>
          <t>آذر 1423</t>
        </is>
      </c>
    </row>
    <row r="311">
      <c r="A311" t="n">
        <v>13981104</v>
      </c>
      <c r="B311" t="n">
        <v>43854</v>
      </c>
      <c r="C311" t="inlineStr">
        <is>
          <t>1398/11/04</t>
        </is>
      </c>
      <c r="E311" t="n">
        <v>142310</v>
      </c>
      <c r="F311" t="n">
        <v>52952</v>
      </c>
      <c r="G311" t="n">
        <v>52981</v>
      </c>
      <c r="H311" t="inlineStr">
        <is>
          <t>دی 1423</t>
        </is>
      </c>
    </row>
    <row r="312">
      <c r="A312" t="n">
        <v>13981105</v>
      </c>
      <c r="B312" t="n">
        <v>43855</v>
      </c>
      <c r="C312" t="inlineStr">
        <is>
          <t>1398/11/05</t>
        </is>
      </c>
      <c r="E312" t="n">
        <v>142311</v>
      </c>
      <c r="F312" t="n">
        <v>52982</v>
      </c>
      <c r="G312" t="n">
        <v>53011</v>
      </c>
      <c r="H312" t="inlineStr">
        <is>
          <t>بهمن 1423</t>
        </is>
      </c>
    </row>
    <row r="313">
      <c r="A313" t="n">
        <v>13981106</v>
      </c>
      <c r="B313" t="n">
        <v>43856</v>
      </c>
      <c r="C313" t="inlineStr">
        <is>
          <t>1398/11/06</t>
        </is>
      </c>
      <c r="E313" t="n">
        <v>142312</v>
      </c>
      <c r="F313" t="n">
        <v>53012</v>
      </c>
      <c r="G313" t="n">
        <v>53040</v>
      </c>
      <c r="H313" t="inlineStr">
        <is>
          <t>اسفند 1423</t>
        </is>
      </c>
    </row>
    <row r="314">
      <c r="A314" t="n">
        <v>13981107</v>
      </c>
      <c r="B314" t="n">
        <v>43857</v>
      </c>
      <c r="C314" t="inlineStr">
        <is>
          <t>1398/11/07</t>
        </is>
      </c>
      <c r="E314" t="n">
        <v>142401</v>
      </c>
      <c r="F314" t="n">
        <v>53041</v>
      </c>
      <c r="G314" t="n">
        <v>53071</v>
      </c>
      <c r="H314" t="inlineStr">
        <is>
          <t>فروردین 1424</t>
        </is>
      </c>
    </row>
    <row r="315">
      <c r="A315" t="n">
        <v>13981108</v>
      </c>
      <c r="B315" t="n">
        <v>43858</v>
      </c>
      <c r="C315" t="inlineStr">
        <is>
          <t>1398/11/08</t>
        </is>
      </c>
      <c r="E315" t="n">
        <v>142402</v>
      </c>
      <c r="F315" t="n">
        <v>53072</v>
      </c>
      <c r="G315" t="n">
        <v>53102</v>
      </c>
      <c r="H315" t="inlineStr">
        <is>
          <t>اردیبهشت 1424</t>
        </is>
      </c>
    </row>
    <row r="316">
      <c r="A316" t="n">
        <v>13981109</v>
      </c>
      <c r="B316" t="n">
        <v>43859</v>
      </c>
      <c r="C316" t="inlineStr">
        <is>
          <t>1398/11/09</t>
        </is>
      </c>
      <c r="E316" t="n">
        <v>142403</v>
      </c>
      <c r="F316" t="n">
        <v>53103</v>
      </c>
      <c r="G316" t="n">
        <v>53133</v>
      </c>
      <c r="H316" t="inlineStr">
        <is>
          <t>خرداد 1424</t>
        </is>
      </c>
    </row>
    <row r="317">
      <c r="A317" t="n">
        <v>13981110</v>
      </c>
      <c r="B317" t="n">
        <v>43860</v>
      </c>
      <c r="C317" t="inlineStr">
        <is>
          <t>1398/11/10</t>
        </is>
      </c>
      <c r="E317" t="n">
        <v>142404</v>
      </c>
      <c r="F317" t="n">
        <v>53134</v>
      </c>
      <c r="G317" t="n">
        <v>53164</v>
      </c>
      <c r="H317" t="inlineStr">
        <is>
          <t>تیر 1424</t>
        </is>
      </c>
    </row>
    <row r="318">
      <c r="A318" t="n">
        <v>13981111</v>
      </c>
      <c r="B318" t="n">
        <v>43861</v>
      </c>
      <c r="C318" t="inlineStr">
        <is>
          <t>1398/11/11</t>
        </is>
      </c>
      <c r="E318" t="n">
        <v>142405</v>
      </c>
      <c r="F318" t="n">
        <v>53165</v>
      </c>
      <c r="G318" t="n">
        <v>53195</v>
      </c>
      <c r="H318" t="inlineStr">
        <is>
          <t>مرداد 1424</t>
        </is>
      </c>
    </row>
    <row r="319">
      <c r="A319" t="n">
        <v>13981112</v>
      </c>
      <c r="B319" t="n">
        <v>43862</v>
      </c>
      <c r="C319" t="inlineStr">
        <is>
          <t>1398/11/12</t>
        </is>
      </c>
      <c r="E319" t="n">
        <v>142406</v>
      </c>
      <c r="F319" t="n">
        <v>53196</v>
      </c>
      <c r="G319" t="n">
        <v>53226</v>
      </c>
      <c r="H319" t="inlineStr">
        <is>
          <t>شهریور 1424</t>
        </is>
      </c>
    </row>
    <row r="320">
      <c r="A320" t="n">
        <v>13981113</v>
      </c>
      <c r="B320" t="n">
        <v>43863</v>
      </c>
      <c r="C320" t="inlineStr">
        <is>
          <t>1398/11/13</t>
        </is>
      </c>
      <c r="E320" t="n">
        <v>142407</v>
      </c>
      <c r="F320" t="n">
        <v>53227</v>
      </c>
      <c r="G320" t="n">
        <v>53256</v>
      </c>
      <c r="H320" t="inlineStr">
        <is>
          <t>مهر 1424</t>
        </is>
      </c>
    </row>
    <row r="321">
      <c r="A321" t="n">
        <v>13981114</v>
      </c>
      <c r="B321" t="n">
        <v>43864</v>
      </c>
      <c r="C321" t="inlineStr">
        <is>
          <t>1398/11/14</t>
        </is>
      </c>
      <c r="E321" t="n">
        <v>142408</v>
      </c>
      <c r="F321" t="n">
        <v>53257</v>
      </c>
      <c r="G321" t="n">
        <v>53286</v>
      </c>
      <c r="H321" t="inlineStr">
        <is>
          <t>آبان 1424</t>
        </is>
      </c>
    </row>
    <row r="322">
      <c r="A322" t="n">
        <v>13981115</v>
      </c>
      <c r="B322" t="n">
        <v>43865</v>
      </c>
      <c r="C322" t="inlineStr">
        <is>
          <t>1398/11/15</t>
        </is>
      </c>
      <c r="E322" t="n">
        <v>142409</v>
      </c>
      <c r="F322" t="n">
        <v>53287</v>
      </c>
      <c r="G322" t="n">
        <v>53316</v>
      </c>
      <c r="H322" t="inlineStr">
        <is>
          <t>آذر 1424</t>
        </is>
      </c>
    </row>
    <row r="323">
      <c r="A323" t="n">
        <v>13981116</v>
      </c>
      <c r="B323" t="n">
        <v>43866</v>
      </c>
      <c r="C323" t="inlineStr">
        <is>
          <t>1398/11/16</t>
        </is>
      </c>
      <c r="E323" t="n">
        <v>142410</v>
      </c>
      <c r="F323" t="n">
        <v>53317</v>
      </c>
      <c r="G323" t="n">
        <v>53346</v>
      </c>
      <c r="H323" t="inlineStr">
        <is>
          <t>دی 1424</t>
        </is>
      </c>
    </row>
    <row r="324">
      <c r="A324" t="n">
        <v>13981117</v>
      </c>
      <c r="B324" t="n">
        <v>43867</v>
      </c>
      <c r="C324" t="inlineStr">
        <is>
          <t>1398/11/17</t>
        </is>
      </c>
      <c r="E324" t="n">
        <v>142411</v>
      </c>
      <c r="F324" t="n">
        <v>53347</v>
      </c>
      <c r="G324" t="n">
        <v>53376</v>
      </c>
      <c r="H324" t="inlineStr">
        <is>
          <t>بهمن 1424</t>
        </is>
      </c>
    </row>
    <row r="325">
      <c r="A325" t="n">
        <v>13981118</v>
      </c>
      <c r="B325" t="n">
        <v>43868</v>
      </c>
      <c r="C325" t="inlineStr">
        <is>
          <t>1398/11/18</t>
        </is>
      </c>
      <c r="E325" t="n">
        <v>142412</v>
      </c>
      <c r="F325" t="n">
        <v>53377</v>
      </c>
      <c r="G325" t="n">
        <v>53406</v>
      </c>
      <c r="H325" t="inlineStr">
        <is>
          <t>اسفند 1424</t>
        </is>
      </c>
    </row>
    <row r="326">
      <c r="A326" t="n">
        <v>13981119</v>
      </c>
      <c r="B326" t="n">
        <v>43869</v>
      </c>
      <c r="C326" t="inlineStr">
        <is>
          <t>1398/11/19</t>
        </is>
      </c>
      <c r="E326" t="n">
        <v>142501</v>
      </c>
      <c r="F326" t="n">
        <v>53407</v>
      </c>
      <c r="G326" t="n">
        <v>53437</v>
      </c>
      <c r="H326" t="inlineStr">
        <is>
          <t>فروردین 1425</t>
        </is>
      </c>
    </row>
    <row r="327">
      <c r="A327" t="n">
        <v>13981120</v>
      </c>
      <c r="B327" t="n">
        <v>43870</v>
      </c>
      <c r="C327" t="inlineStr">
        <is>
          <t>1398/11/20</t>
        </is>
      </c>
      <c r="E327" t="n">
        <v>142502</v>
      </c>
      <c r="F327" t="n">
        <v>53438</v>
      </c>
      <c r="G327" t="n">
        <v>53468</v>
      </c>
      <c r="H327" t="inlineStr">
        <is>
          <t>اردیبهشت 1425</t>
        </is>
      </c>
    </row>
    <row r="328">
      <c r="A328" t="n">
        <v>13981121</v>
      </c>
      <c r="B328" t="n">
        <v>43871</v>
      </c>
      <c r="C328" t="inlineStr">
        <is>
          <t>1398/11/21</t>
        </is>
      </c>
      <c r="E328" t="n">
        <v>142503</v>
      </c>
      <c r="F328" t="n">
        <v>53469</v>
      </c>
      <c r="G328" t="n">
        <v>53499</v>
      </c>
      <c r="H328" t="inlineStr">
        <is>
          <t>خرداد 1425</t>
        </is>
      </c>
    </row>
    <row r="329">
      <c r="A329" t="n">
        <v>13981122</v>
      </c>
      <c r="B329" t="n">
        <v>43872</v>
      </c>
      <c r="C329" t="inlineStr">
        <is>
          <t>1398/11/22</t>
        </is>
      </c>
      <c r="E329" t="n">
        <v>142504</v>
      </c>
      <c r="F329" t="n">
        <v>53500</v>
      </c>
      <c r="G329" t="n">
        <v>53530</v>
      </c>
      <c r="H329" t="inlineStr">
        <is>
          <t>تیر 1425</t>
        </is>
      </c>
    </row>
    <row r="330">
      <c r="A330" t="n">
        <v>13981123</v>
      </c>
      <c r="B330" t="n">
        <v>43873</v>
      </c>
      <c r="C330" t="inlineStr">
        <is>
          <t>1398/11/23</t>
        </is>
      </c>
      <c r="E330" t="n">
        <v>142505</v>
      </c>
      <c r="F330" t="n">
        <v>53531</v>
      </c>
      <c r="G330" t="n">
        <v>53561</v>
      </c>
      <c r="H330" t="inlineStr">
        <is>
          <t>مرداد 1425</t>
        </is>
      </c>
    </row>
    <row r="331">
      <c r="A331" t="n">
        <v>13981124</v>
      </c>
      <c r="B331" t="n">
        <v>43874</v>
      </c>
      <c r="C331" t="inlineStr">
        <is>
          <t>1398/11/24</t>
        </is>
      </c>
      <c r="E331" t="n">
        <v>142506</v>
      </c>
      <c r="F331" t="n">
        <v>53562</v>
      </c>
      <c r="G331" t="n">
        <v>53592</v>
      </c>
      <c r="H331" t="inlineStr">
        <is>
          <t>شهریور 1425</t>
        </is>
      </c>
    </row>
    <row r="332">
      <c r="A332" t="n">
        <v>13981125</v>
      </c>
      <c r="B332" t="n">
        <v>43875</v>
      </c>
      <c r="C332" t="inlineStr">
        <is>
          <t>1398/11/25</t>
        </is>
      </c>
      <c r="E332" t="n">
        <v>142507</v>
      </c>
      <c r="F332" t="n">
        <v>53593</v>
      </c>
      <c r="G332" t="n">
        <v>53622</v>
      </c>
      <c r="H332" t="inlineStr">
        <is>
          <t>مهر 1425</t>
        </is>
      </c>
    </row>
    <row r="333">
      <c r="A333" t="n">
        <v>13981126</v>
      </c>
      <c r="B333" t="n">
        <v>43876</v>
      </c>
      <c r="C333" t="inlineStr">
        <is>
          <t>1398/11/26</t>
        </is>
      </c>
      <c r="E333" t="n">
        <v>142508</v>
      </c>
      <c r="F333" t="n">
        <v>53623</v>
      </c>
      <c r="G333" t="n">
        <v>53652</v>
      </c>
      <c r="H333" t="inlineStr">
        <is>
          <t>آبان 1425</t>
        </is>
      </c>
    </row>
    <row r="334">
      <c r="A334" t="n">
        <v>13981127</v>
      </c>
      <c r="B334" t="n">
        <v>43877</v>
      </c>
      <c r="C334" t="inlineStr">
        <is>
          <t>1398/11/27</t>
        </is>
      </c>
      <c r="E334" t="n">
        <v>142509</v>
      </c>
      <c r="F334" t="n">
        <v>53653</v>
      </c>
      <c r="G334" t="n">
        <v>53682</v>
      </c>
      <c r="H334" t="inlineStr">
        <is>
          <t>آذر 1425</t>
        </is>
      </c>
    </row>
    <row r="335">
      <c r="A335" t="n">
        <v>13981128</v>
      </c>
      <c r="B335" t="n">
        <v>43878</v>
      </c>
      <c r="C335" t="inlineStr">
        <is>
          <t>1398/11/28</t>
        </is>
      </c>
      <c r="E335" t="n">
        <v>142510</v>
      </c>
      <c r="F335" t="n">
        <v>53683</v>
      </c>
      <c r="G335" t="n">
        <v>53712</v>
      </c>
      <c r="H335" t="inlineStr">
        <is>
          <t>دی 1425</t>
        </is>
      </c>
    </row>
    <row r="336">
      <c r="A336" t="n">
        <v>13981129</v>
      </c>
      <c r="B336" t="n">
        <v>43879</v>
      </c>
      <c r="C336" t="inlineStr">
        <is>
          <t>1398/11/29</t>
        </is>
      </c>
      <c r="E336" t="n">
        <v>142511</v>
      </c>
      <c r="F336" t="n">
        <v>53713</v>
      </c>
      <c r="G336" t="n">
        <v>53742</v>
      </c>
      <c r="H336" t="inlineStr">
        <is>
          <t>بهمن 1425</t>
        </is>
      </c>
    </row>
    <row r="337">
      <c r="A337" t="n">
        <v>13981130</v>
      </c>
      <c r="B337" t="n">
        <v>43880</v>
      </c>
      <c r="C337" t="inlineStr">
        <is>
          <t>1398/11/30</t>
        </is>
      </c>
      <c r="E337" t="n">
        <v>142512</v>
      </c>
      <c r="F337" t="n">
        <v>53743</v>
      </c>
      <c r="G337" t="n">
        <v>53771</v>
      </c>
      <c r="H337" t="inlineStr">
        <is>
          <t>اسفند 1425</t>
        </is>
      </c>
    </row>
    <row r="338">
      <c r="A338" t="n">
        <v>13981201</v>
      </c>
      <c r="B338" t="n">
        <v>43881</v>
      </c>
      <c r="C338" t="inlineStr">
        <is>
          <t>1398/12/01</t>
        </is>
      </c>
      <c r="E338" t="n">
        <v>142601</v>
      </c>
      <c r="F338" t="n">
        <v>53772</v>
      </c>
      <c r="G338" t="n">
        <v>53802</v>
      </c>
      <c r="H338" t="inlineStr">
        <is>
          <t>فروردین 1426</t>
        </is>
      </c>
    </row>
    <row r="339">
      <c r="A339" t="n">
        <v>13981202</v>
      </c>
      <c r="B339" t="n">
        <v>43882</v>
      </c>
      <c r="C339" t="inlineStr">
        <is>
          <t>1398/12/02</t>
        </is>
      </c>
      <c r="E339" t="n">
        <v>142602</v>
      </c>
      <c r="F339" t="n">
        <v>53803</v>
      </c>
      <c r="G339" t="n">
        <v>53833</v>
      </c>
      <c r="H339" t="inlineStr">
        <is>
          <t>اردیبهشت 1426</t>
        </is>
      </c>
    </row>
    <row r="340">
      <c r="A340" t="n">
        <v>13981203</v>
      </c>
      <c r="B340" t="n">
        <v>43883</v>
      </c>
      <c r="C340" t="inlineStr">
        <is>
          <t>1398/12/03</t>
        </is>
      </c>
      <c r="E340" t="n">
        <v>142603</v>
      </c>
      <c r="F340" t="n">
        <v>53834</v>
      </c>
      <c r="G340" t="n">
        <v>53864</v>
      </c>
      <c r="H340" t="inlineStr">
        <is>
          <t>خرداد 1426</t>
        </is>
      </c>
    </row>
    <row r="341">
      <c r="A341" t="n">
        <v>13981204</v>
      </c>
      <c r="B341" t="n">
        <v>43884</v>
      </c>
      <c r="C341" t="inlineStr">
        <is>
          <t>1398/12/04</t>
        </is>
      </c>
      <c r="E341" t="n">
        <v>142604</v>
      </c>
      <c r="F341" t="n">
        <v>53865</v>
      </c>
      <c r="G341" t="n">
        <v>53895</v>
      </c>
      <c r="H341" t="inlineStr">
        <is>
          <t>تیر 1426</t>
        </is>
      </c>
    </row>
    <row r="342">
      <c r="A342" t="n">
        <v>13981205</v>
      </c>
      <c r="B342" t="n">
        <v>43885</v>
      </c>
      <c r="C342" t="inlineStr">
        <is>
          <t>1398/12/05</t>
        </is>
      </c>
      <c r="E342" t="n">
        <v>142605</v>
      </c>
      <c r="F342" t="n">
        <v>53896</v>
      </c>
      <c r="G342" t="n">
        <v>53926</v>
      </c>
      <c r="H342" t="inlineStr">
        <is>
          <t>مرداد 1426</t>
        </is>
      </c>
    </row>
    <row r="343">
      <c r="A343" t="n">
        <v>13981206</v>
      </c>
      <c r="B343" t="n">
        <v>43886</v>
      </c>
      <c r="C343" t="inlineStr">
        <is>
          <t>1398/12/06</t>
        </is>
      </c>
      <c r="E343" t="n">
        <v>142606</v>
      </c>
      <c r="F343" t="n">
        <v>53927</v>
      </c>
      <c r="G343" t="n">
        <v>53957</v>
      </c>
      <c r="H343" t="inlineStr">
        <is>
          <t>شهریور 1426</t>
        </is>
      </c>
    </row>
    <row r="344">
      <c r="A344" t="n">
        <v>13981207</v>
      </c>
      <c r="B344" t="n">
        <v>43887</v>
      </c>
      <c r="C344" t="inlineStr">
        <is>
          <t>1398/12/07</t>
        </is>
      </c>
      <c r="E344" t="n">
        <v>142607</v>
      </c>
      <c r="F344" t="n">
        <v>53958</v>
      </c>
      <c r="G344" t="n">
        <v>53987</v>
      </c>
      <c r="H344" t="inlineStr">
        <is>
          <t>مهر 1426</t>
        </is>
      </c>
    </row>
    <row r="345">
      <c r="A345" t="n">
        <v>13981208</v>
      </c>
      <c r="B345" t="n">
        <v>43888</v>
      </c>
      <c r="C345" t="inlineStr">
        <is>
          <t>1398/12/08</t>
        </is>
      </c>
      <c r="E345" t="n">
        <v>142608</v>
      </c>
      <c r="F345" t="n">
        <v>53988</v>
      </c>
      <c r="G345" t="n">
        <v>54017</v>
      </c>
      <c r="H345" t="inlineStr">
        <is>
          <t>آبان 1426</t>
        </is>
      </c>
    </row>
    <row r="346">
      <c r="A346" t="n">
        <v>13981209</v>
      </c>
      <c r="B346" t="n">
        <v>43889</v>
      </c>
      <c r="C346" t="inlineStr">
        <is>
          <t>1398/12/09</t>
        </is>
      </c>
      <c r="E346" t="n">
        <v>142609</v>
      </c>
      <c r="F346" t="n">
        <v>54018</v>
      </c>
      <c r="G346" t="n">
        <v>54047</v>
      </c>
      <c r="H346" t="inlineStr">
        <is>
          <t>آذر 1426</t>
        </is>
      </c>
    </row>
    <row r="347">
      <c r="A347" t="n">
        <v>13981210</v>
      </c>
      <c r="B347" t="n">
        <v>43890</v>
      </c>
      <c r="C347" t="inlineStr">
        <is>
          <t>1398/12/10</t>
        </is>
      </c>
      <c r="E347" t="n">
        <v>142610</v>
      </c>
      <c r="F347" t="n">
        <v>54048</v>
      </c>
      <c r="G347" t="n">
        <v>54077</v>
      </c>
      <c r="H347" t="inlineStr">
        <is>
          <t>دی 1426</t>
        </is>
      </c>
    </row>
    <row r="348">
      <c r="A348" t="n">
        <v>13981211</v>
      </c>
      <c r="B348" t="n">
        <v>43891</v>
      </c>
      <c r="C348" t="inlineStr">
        <is>
          <t>1398/12/11</t>
        </is>
      </c>
      <c r="E348" t="n">
        <v>142611</v>
      </c>
      <c r="F348" t="n">
        <v>54078</v>
      </c>
      <c r="G348" t="n">
        <v>54107</v>
      </c>
      <c r="H348" t="inlineStr">
        <is>
          <t>بهمن 1426</t>
        </is>
      </c>
    </row>
    <row r="349">
      <c r="A349" t="n">
        <v>13981212</v>
      </c>
      <c r="B349" t="n">
        <v>43892</v>
      </c>
      <c r="C349" t="inlineStr">
        <is>
          <t>1398/12/12</t>
        </is>
      </c>
      <c r="E349" t="n">
        <v>142612</v>
      </c>
      <c r="F349" t="n">
        <v>54108</v>
      </c>
      <c r="G349" t="n">
        <v>54136</v>
      </c>
      <c r="H349" t="inlineStr">
        <is>
          <t>اسفند 1426</t>
        </is>
      </c>
    </row>
    <row r="350">
      <c r="A350" t="n">
        <v>13981213</v>
      </c>
      <c r="B350" t="n">
        <v>43893</v>
      </c>
      <c r="C350" t="inlineStr">
        <is>
          <t>1398/12/13</t>
        </is>
      </c>
      <c r="E350" t="n">
        <v>142701</v>
      </c>
      <c r="F350" t="n">
        <v>54137</v>
      </c>
      <c r="G350" t="n">
        <v>54167</v>
      </c>
      <c r="H350" t="inlineStr">
        <is>
          <t>فروردین 1427</t>
        </is>
      </c>
    </row>
    <row r="351">
      <c r="A351" t="n">
        <v>13981214</v>
      </c>
      <c r="B351" t="n">
        <v>43894</v>
      </c>
      <c r="C351" t="inlineStr">
        <is>
          <t>1398/12/14</t>
        </is>
      </c>
      <c r="E351" t="n">
        <v>142702</v>
      </c>
      <c r="F351" t="n">
        <v>54168</v>
      </c>
      <c r="G351" t="n">
        <v>54198</v>
      </c>
      <c r="H351" t="inlineStr">
        <is>
          <t>اردیبهشت 1427</t>
        </is>
      </c>
    </row>
    <row r="352">
      <c r="A352" t="n">
        <v>13981215</v>
      </c>
      <c r="B352" t="n">
        <v>43895</v>
      </c>
      <c r="C352" t="inlineStr">
        <is>
          <t>1398/12/15</t>
        </is>
      </c>
      <c r="E352" t="n">
        <v>142703</v>
      </c>
      <c r="F352" t="n">
        <v>54199</v>
      </c>
      <c r="G352" t="n">
        <v>54229</v>
      </c>
      <c r="H352" t="inlineStr">
        <is>
          <t>خرداد 1427</t>
        </is>
      </c>
    </row>
    <row r="353">
      <c r="A353" t="n">
        <v>13981216</v>
      </c>
      <c r="B353" t="n">
        <v>43896</v>
      </c>
      <c r="C353" t="inlineStr">
        <is>
          <t>1398/12/16</t>
        </is>
      </c>
      <c r="E353" t="n">
        <v>142704</v>
      </c>
      <c r="F353" t="n">
        <v>54230</v>
      </c>
      <c r="G353" t="n">
        <v>54260</v>
      </c>
      <c r="H353" t="inlineStr">
        <is>
          <t>تیر 1427</t>
        </is>
      </c>
    </row>
    <row r="354">
      <c r="A354" t="n">
        <v>13981217</v>
      </c>
      <c r="B354" t="n">
        <v>43897</v>
      </c>
      <c r="C354" t="inlineStr">
        <is>
          <t>1398/12/17</t>
        </is>
      </c>
      <c r="E354" t="n">
        <v>142705</v>
      </c>
      <c r="F354" t="n">
        <v>54261</v>
      </c>
      <c r="G354" t="n">
        <v>54291</v>
      </c>
      <c r="H354" t="inlineStr">
        <is>
          <t>مرداد 1427</t>
        </is>
      </c>
    </row>
    <row r="355">
      <c r="A355" t="n">
        <v>13981218</v>
      </c>
      <c r="B355" t="n">
        <v>43898</v>
      </c>
      <c r="C355" t="inlineStr">
        <is>
          <t>1398/12/18</t>
        </is>
      </c>
      <c r="E355" t="n">
        <v>142706</v>
      </c>
      <c r="F355" t="n">
        <v>54292</v>
      </c>
      <c r="G355" t="n">
        <v>54322</v>
      </c>
      <c r="H355" t="inlineStr">
        <is>
          <t>شهریور 1427</t>
        </is>
      </c>
    </row>
    <row r="356">
      <c r="A356" t="n">
        <v>13981219</v>
      </c>
      <c r="B356" t="n">
        <v>43899</v>
      </c>
      <c r="C356" t="inlineStr">
        <is>
          <t>1398/12/19</t>
        </is>
      </c>
      <c r="E356" t="n">
        <v>142707</v>
      </c>
      <c r="F356" t="n">
        <v>54323</v>
      </c>
      <c r="G356" t="n">
        <v>54352</v>
      </c>
      <c r="H356" t="inlineStr">
        <is>
          <t>مهر 1427</t>
        </is>
      </c>
    </row>
    <row r="357">
      <c r="A357" t="n">
        <v>13981220</v>
      </c>
      <c r="B357" t="n">
        <v>43900</v>
      </c>
      <c r="C357" t="inlineStr">
        <is>
          <t>1398/12/20</t>
        </is>
      </c>
      <c r="E357" t="n">
        <v>142708</v>
      </c>
      <c r="F357" t="n">
        <v>54353</v>
      </c>
      <c r="G357" t="n">
        <v>54382</v>
      </c>
      <c r="H357" t="inlineStr">
        <is>
          <t>آبان 1427</t>
        </is>
      </c>
    </row>
    <row r="358">
      <c r="A358" t="n">
        <v>13981221</v>
      </c>
      <c r="B358" t="n">
        <v>43901</v>
      </c>
      <c r="C358" t="inlineStr">
        <is>
          <t>1398/12/21</t>
        </is>
      </c>
      <c r="E358" t="n">
        <v>142709</v>
      </c>
      <c r="F358" t="n">
        <v>54383</v>
      </c>
      <c r="G358" t="n">
        <v>54412</v>
      </c>
      <c r="H358" t="inlineStr">
        <is>
          <t>آذر 1427</t>
        </is>
      </c>
    </row>
    <row r="359">
      <c r="A359" t="n">
        <v>13981222</v>
      </c>
      <c r="B359" t="n">
        <v>43902</v>
      </c>
      <c r="C359" t="inlineStr">
        <is>
          <t>1398/12/22</t>
        </is>
      </c>
      <c r="E359" t="n">
        <v>142710</v>
      </c>
      <c r="F359" t="n">
        <v>54413</v>
      </c>
      <c r="G359" t="n">
        <v>54442</v>
      </c>
      <c r="H359" t="inlineStr">
        <is>
          <t>دی 1427</t>
        </is>
      </c>
    </row>
    <row r="360">
      <c r="A360" t="n">
        <v>13981223</v>
      </c>
      <c r="B360" t="n">
        <v>43903</v>
      </c>
      <c r="C360" t="inlineStr">
        <is>
          <t>1398/12/23</t>
        </is>
      </c>
      <c r="E360" t="n">
        <v>142711</v>
      </c>
      <c r="F360" t="n">
        <v>54443</v>
      </c>
      <c r="G360" t="n">
        <v>54472</v>
      </c>
      <c r="H360" t="inlineStr">
        <is>
          <t>بهمن 1427</t>
        </is>
      </c>
    </row>
    <row r="361">
      <c r="A361" t="n">
        <v>13981224</v>
      </c>
      <c r="B361" t="n">
        <v>43904</v>
      </c>
      <c r="C361" t="inlineStr">
        <is>
          <t>1398/12/24</t>
        </is>
      </c>
      <c r="E361" t="n">
        <v>142712</v>
      </c>
      <c r="F361" t="n">
        <v>54473</v>
      </c>
      <c r="G361" t="n">
        <v>54501</v>
      </c>
      <c r="H361" t="inlineStr">
        <is>
          <t>اسفند 1427</t>
        </is>
      </c>
    </row>
    <row r="362">
      <c r="A362" t="n">
        <v>13981225</v>
      </c>
      <c r="B362" t="n">
        <v>43905</v>
      </c>
      <c r="C362" t="inlineStr">
        <is>
          <t>1398/12/25</t>
        </is>
      </c>
      <c r="E362" t="n">
        <v>142801</v>
      </c>
      <c r="F362" t="n">
        <v>54502</v>
      </c>
      <c r="G362" t="n">
        <v>54532</v>
      </c>
      <c r="H362" t="inlineStr">
        <is>
          <t>فروردین 1428</t>
        </is>
      </c>
    </row>
    <row r="363">
      <c r="A363" t="n">
        <v>13981226</v>
      </c>
      <c r="B363" t="n">
        <v>43906</v>
      </c>
      <c r="C363" t="inlineStr">
        <is>
          <t>1398/12/26</t>
        </is>
      </c>
      <c r="E363" t="n">
        <v>142802</v>
      </c>
      <c r="F363" t="n">
        <v>54533</v>
      </c>
      <c r="G363" t="n">
        <v>54563</v>
      </c>
      <c r="H363" t="inlineStr">
        <is>
          <t>اردیبهشت 1428</t>
        </is>
      </c>
    </row>
    <row r="364">
      <c r="A364" t="n">
        <v>13981227</v>
      </c>
      <c r="B364" t="n">
        <v>43907</v>
      </c>
      <c r="C364" t="inlineStr">
        <is>
          <t>1398/12/27</t>
        </is>
      </c>
      <c r="E364" t="n">
        <v>142803</v>
      </c>
      <c r="F364" t="n">
        <v>54564</v>
      </c>
      <c r="G364" t="n">
        <v>54594</v>
      </c>
      <c r="H364" t="inlineStr">
        <is>
          <t>خرداد 1428</t>
        </is>
      </c>
    </row>
    <row r="365">
      <c r="A365" t="n">
        <v>13981228</v>
      </c>
      <c r="B365" t="n">
        <v>43908</v>
      </c>
      <c r="C365" t="inlineStr">
        <is>
          <t>1398/12/28</t>
        </is>
      </c>
      <c r="E365" t="n">
        <v>142804</v>
      </c>
      <c r="F365" t="n">
        <v>54595</v>
      </c>
      <c r="G365" t="n">
        <v>54625</v>
      </c>
      <c r="H365" t="inlineStr">
        <is>
          <t>تیر 1428</t>
        </is>
      </c>
    </row>
    <row r="366">
      <c r="A366" t="n">
        <v>13981229</v>
      </c>
      <c r="B366" t="n">
        <v>43909</v>
      </c>
      <c r="C366" t="inlineStr">
        <is>
          <t>1398/12/29</t>
        </is>
      </c>
      <c r="E366" t="n">
        <v>142805</v>
      </c>
      <c r="F366" t="n">
        <v>54626</v>
      </c>
      <c r="G366" t="n">
        <v>54656</v>
      </c>
      <c r="H366" t="inlineStr">
        <is>
          <t>مرداد 1428</t>
        </is>
      </c>
    </row>
    <row r="367">
      <c r="A367" t="n">
        <v>13990101</v>
      </c>
      <c r="B367" t="n">
        <v>43910</v>
      </c>
      <c r="C367" t="inlineStr">
        <is>
          <t>1399/01/01</t>
        </is>
      </c>
      <c r="E367" t="n">
        <v>142806</v>
      </c>
      <c r="F367" t="n">
        <v>54657</v>
      </c>
      <c r="G367" t="n">
        <v>54687</v>
      </c>
      <c r="H367" t="inlineStr">
        <is>
          <t>شهریور 1428</t>
        </is>
      </c>
    </row>
    <row r="368">
      <c r="A368" t="n">
        <v>13990102</v>
      </c>
      <c r="B368" t="n">
        <v>43911</v>
      </c>
      <c r="C368" t="inlineStr">
        <is>
          <t>1399/01/02</t>
        </is>
      </c>
      <c r="E368" t="n">
        <v>142807</v>
      </c>
      <c r="F368" t="n">
        <v>54688</v>
      </c>
      <c r="G368" t="n">
        <v>54717</v>
      </c>
      <c r="H368" t="inlineStr">
        <is>
          <t>مهر 1428</t>
        </is>
      </c>
    </row>
    <row r="369">
      <c r="A369" t="n">
        <v>13990103</v>
      </c>
      <c r="B369" t="n">
        <v>43912</v>
      </c>
      <c r="C369" t="inlineStr">
        <is>
          <t>1399/01/03</t>
        </is>
      </c>
      <c r="E369" t="n">
        <v>142808</v>
      </c>
      <c r="F369" t="n">
        <v>54718</v>
      </c>
      <c r="G369" t="n">
        <v>54747</v>
      </c>
      <c r="H369" t="inlineStr">
        <is>
          <t>آبان 1428</t>
        </is>
      </c>
    </row>
    <row r="370">
      <c r="A370" t="n">
        <v>13990104</v>
      </c>
      <c r="B370" t="n">
        <v>43913</v>
      </c>
      <c r="C370" t="inlineStr">
        <is>
          <t>1399/01/04</t>
        </is>
      </c>
      <c r="E370" t="n">
        <v>142809</v>
      </c>
      <c r="F370" t="n">
        <v>54748</v>
      </c>
      <c r="G370" t="n">
        <v>54777</v>
      </c>
      <c r="H370" t="inlineStr">
        <is>
          <t>آذر 1428</t>
        </is>
      </c>
    </row>
    <row r="371">
      <c r="A371" t="n">
        <v>13990105</v>
      </c>
      <c r="B371" t="n">
        <v>43914</v>
      </c>
      <c r="C371" t="inlineStr">
        <is>
          <t>1399/01/05</t>
        </is>
      </c>
      <c r="E371" t="n">
        <v>142810</v>
      </c>
      <c r="F371" t="n">
        <v>54778</v>
      </c>
      <c r="G371" t="n">
        <v>54807</v>
      </c>
      <c r="H371" t="inlineStr">
        <is>
          <t>دی 1428</t>
        </is>
      </c>
    </row>
    <row r="372">
      <c r="A372" t="n">
        <v>13990106</v>
      </c>
      <c r="B372" t="n">
        <v>43915</v>
      </c>
      <c r="C372" t="inlineStr">
        <is>
          <t>1399/01/06</t>
        </is>
      </c>
      <c r="E372" t="n">
        <v>142811</v>
      </c>
      <c r="F372" t="n">
        <v>54808</v>
      </c>
      <c r="G372" t="n">
        <v>54837</v>
      </c>
      <c r="H372" t="inlineStr">
        <is>
          <t>بهمن 1428</t>
        </is>
      </c>
    </row>
    <row r="373">
      <c r="A373" t="n">
        <v>13990107</v>
      </c>
      <c r="B373" t="n">
        <v>43916</v>
      </c>
      <c r="C373" t="inlineStr">
        <is>
          <t>1399/01/07</t>
        </is>
      </c>
      <c r="E373" t="n">
        <v>142812</v>
      </c>
      <c r="F373" t="n">
        <v>54838</v>
      </c>
      <c r="G373" t="n">
        <v>54867</v>
      </c>
      <c r="H373" t="inlineStr">
        <is>
          <t>اسفند 1428</t>
        </is>
      </c>
    </row>
    <row r="374">
      <c r="A374" t="n">
        <v>13990108</v>
      </c>
      <c r="B374" t="n">
        <v>43917</v>
      </c>
      <c r="C374" t="inlineStr">
        <is>
          <t>1399/01/08</t>
        </is>
      </c>
      <c r="E374" t="n">
        <v>142901</v>
      </c>
      <c r="F374" t="n">
        <v>54868</v>
      </c>
      <c r="G374" t="n">
        <v>54898</v>
      </c>
      <c r="H374" t="inlineStr">
        <is>
          <t>فروردین 1429</t>
        </is>
      </c>
    </row>
    <row r="375">
      <c r="A375" t="n">
        <v>13990109</v>
      </c>
      <c r="B375" t="n">
        <v>43918</v>
      </c>
      <c r="C375" t="inlineStr">
        <is>
          <t>1399/01/09</t>
        </is>
      </c>
      <c r="E375" t="n">
        <v>142902</v>
      </c>
      <c r="F375" t="n">
        <v>54899</v>
      </c>
      <c r="G375" t="n">
        <v>54929</v>
      </c>
      <c r="H375" t="inlineStr">
        <is>
          <t>اردیبهشت 1429</t>
        </is>
      </c>
    </row>
    <row r="376">
      <c r="A376" t="n">
        <v>13990110</v>
      </c>
      <c r="B376" t="n">
        <v>43919</v>
      </c>
      <c r="C376" t="inlineStr">
        <is>
          <t>1399/01/10</t>
        </is>
      </c>
      <c r="E376" t="n">
        <v>142903</v>
      </c>
      <c r="F376" t="n">
        <v>54930</v>
      </c>
      <c r="G376" t="n">
        <v>54960</v>
      </c>
      <c r="H376" t="inlineStr">
        <is>
          <t>خرداد 1429</t>
        </is>
      </c>
    </row>
    <row r="377">
      <c r="A377" t="n">
        <v>13990111</v>
      </c>
      <c r="B377" t="n">
        <v>43920</v>
      </c>
      <c r="C377" t="inlineStr">
        <is>
          <t>1399/01/11</t>
        </is>
      </c>
      <c r="E377" t="n">
        <v>142904</v>
      </c>
      <c r="F377" t="n">
        <v>54961</v>
      </c>
      <c r="G377" t="n">
        <v>54991</v>
      </c>
      <c r="H377" t="inlineStr">
        <is>
          <t>تیر 1429</t>
        </is>
      </c>
    </row>
    <row r="378">
      <c r="A378" t="n">
        <v>13990112</v>
      </c>
      <c r="B378" t="n">
        <v>43921</v>
      </c>
      <c r="C378" t="inlineStr">
        <is>
          <t>1399/01/12</t>
        </is>
      </c>
      <c r="E378" t="n">
        <v>142905</v>
      </c>
      <c r="F378" t="n">
        <v>54992</v>
      </c>
      <c r="G378" t="n">
        <v>55022</v>
      </c>
      <c r="H378" t="inlineStr">
        <is>
          <t>مرداد 1429</t>
        </is>
      </c>
    </row>
    <row r="379">
      <c r="A379" t="n">
        <v>13990113</v>
      </c>
      <c r="B379" t="n">
        <v>43922</v>
      </c>
      <c r="C379" t="inlineStr">
        <is>
          <t>1399/01/13</t>
        </is>
      </c>
      <c r="E379" t="n">
        <v>142906</v>
      </c>
      <c r="F379" t="n">
        <v>55023</v>
      </c>
      <c r="G379" t="n">
        <v>55053</v>
      </c>
      <c r="H379" t="inlineStr">
        <is>
          <t>شهریور 1429</t>
        </is>
      </c>
    </row>
    <row r="380">
      <c r="A380" t="n">
        <v>13990114</v>
      </c>
      <c r="B380" t="n">
        <v>43923</v>
      </c>
      <c r="C380" t="inlineStr">
        <is>
          <t>1399/01/14</t>
        </is>
      </c>
      <c r="E380" t="n">
        <v>142907</v>
      </c>
      <c r="F380" t="n">
        <v>55054</v>
      </c>
      <c r="G380" t="n">
        <v>55083</v>
      </c>
      <c r="H380" t="inlineStr">
        <is>
          <t>مهر 1429</t>
        </is>
      </c>
    </row>
    <row r="381">
      <c r="A381" t="n">
        <v>13990115</v>
      </c>
      <c r="B381" t="n">
        <v>43924</v>
      </c>
      <c r="C381" t="inlineStr">
        <is>
          <t>1399/01/15</t>
        </is>
      </c>
      <c r="E381" t="n">
        <v>142908</v>
      </c>
      <c r="F381" t="n">
        <v>55084</v>
      </c>
      <c r="G381" t="n">
        <v>55113</v>
      </c>
      <c r="H381" t="inlineStr">
        <is>
          <t>آبان 1429</t>
        </is>
      </c>
    </row>
    <row r="382">
      <c r="A382" t="n">
        <v>13990116</v>
      </c>
      <c r="B382" t="n">
        <v>43925</v>
      </c>
      <c r="C382" t="inlineStr">
        <is>
          <t>1399/01/16</t>
        </is>
      </c>
      <c r="E382" t="n">
        <v>142909</v>
      </c>
      <c r="F382" t="n">
        <v>55114</v>
      </c>
      <c r="G382" t="n">
        <v>55143</v>
      </c>
      <c r="H382" t="inlineStr">
        <is>
          <t>آذر 1429</t>
        </is>
      </c>
    </row>
    <row r="383">
      <c r="A383" t="n">
        <v>13990117</v>
      </c>
      <c r="B383" t="n">
        <v>43926</v>
      </c>
      <c r="C383" t="inlineStr">
        <is>
          <t>1399/01/17</t>
        </is>
      </c>
      <c r="E383" t="n">
        <v>142910</v>
      </c>
      <c r="F383" t="n">
        <v>55144</v>
      </c>
      <c r="G383" t="n">
        <v>55173</v>
      </c>
      <c r="H383" t="inlineStr">
        <is>
          <t>دی 1429</t>
        </is>
      </c>
    </row>
    <row r="384">
      <c r="A384" t="n">
        <v>13990118</v>
      </c>
      <c r="B384" t="n">
        <v>43927</v>
      </c>
      <c r="C384" t="inlineStr">
        <is>
          <t>1399/01/18</t>
        </is>
      </c>
      <c r="E384" t="n">
        <v>142911</v>
      </c>
      <c r="F384" t="n">
        <v>55174</v>
      </c>
      <c r="G384" t="n">
        <v>55203</v>
      </c>
      <c r="H384" t="inlineStr">
        <is>
          <t>بهمن 1429</t>
        </is>
      </c>
    </row>
    <row r="385">
      <c r="A385" t="n">
        <v>13990119</v>
      </c>
      <c r="B385" t="n">
        <v>43928</v>
      </c>
      <c r="C385" t="inlineStr">
        <is>
          <t>1399/01/19</t>
        </is>
      </c>
      <c r="E385" t="n">
        <v>142912</v>
      </c>
      <c r="F385" t="n">
        <v>55204</v>
      </c>
      <c r="G385" t="n">
        <v>55232</v>
      </c>
      <c r="H385" t="inlineStr">
        <is>
          <t>اسفند 1429</t>
        </is>
      </c>
    </row>
    <row r="386">
      <c r="A386" t="n">
        <v>13990120</v>
      </c>
      <c r="B386" t="n">
        <v>43929</v>
      </c>
      <c r="C386" t="inlineStr">
        <is>
          <t>1399/01/20</t>
        </is>
      </c>
      <c r="E386" t="n">
        <v>143001</v>
      </c>
      <c r="F386" t="n">
        <v>55233</v>
      </c>
      <c r="G386" t="n">
        <v>55263</v>
      </c>
      <c r="H386" t="inlineStr">
        <is>
          <t>فروردین 1430</t>
        </is>
      </c>
    </row>
    <row r="387">
      <c r="A387" t="n">
        <v>13990121</v>
      </c>
      <c r="B387" t="n">
        <v>43930</v>
      </c>
      <c r="C387" t="inlineStr">
        <is>
          <t>1399/01/21</t>
        </is>
      </c>
      <c r="E387" t="n">
        <v>143002</v>
      </c>
      <c r="F387" t="n">
        <v>55264</v>
      </c>
      <c r="G387" t="n">
        <v>55294</v>
      </c>
      <c r="H387" t="inlineStr">
        <is>
          <t>اردیبهشت 1430</t>
        </is>
      </c>
    </row>
    <row r="388">
      <c r="A388" t="n">
        <v>13990122</v>
      </c>
      <c r="B388" t="n">
        <v>43931</v>
      </c>
      <c r="C388" t="inlineStr">
        <is>
          <t>1399/01/22</t>
        </is>
      </c>
      <c r="E388" t="n">
        <v>143003</v>
      </c>
      <c r="F388" t="n">
        <v>55295</v>
      </c>
      <c r="G388" t="n">
        <v>55325</v>
      </c>
      <c r="H388" t="inlineStr">
        <is>
          <t>خرداد 1430</t>
        </is>
      </c>
    </row>
    <row r="389">
      <c r="A389" t="n">
        <v>13990123</v>
      </c>
      <c r="B389" t="n">
        <v>43932</v>
      </c>
      <c r="C389" t="inlineStr">
        <is>
          <t>1399/01/23</t>
        </is>
      </c>
      <c r="E389" t="n">
        <v>143004</v>
      </c>
      <c r="F389" t="n">
        <v>55326</v>
      </c>
      <c r="G389" t="n">
        <v>55356</v>
      </c>
      <c r="H389" t="inlineStr">
        <is>
          <t>تیر 1430</t>
        </is>
      </c>
    </row>
    <row r="390">
      <c r="A390" t="n">
        <v>13990124</v>
      </c>
      <c r="B390" t="n">
        <v>43933</v>
      </c>
      <c r="C390" t="inlineStr">
        <is>
          <t>1399/01/24</t>
        </is>
      </c>
      <c r="E390" t="n">
        <v>143005</v>
      </c>
      <c r="F390" t="n">
        <v>55357</v>
      </c>
      <c r="G390" t="n">
        <v>55387</v>
      </c>
      <c r="H390" t="inlineStr">
        <is>
          <t>مرداد 1430</t>
        </is>
      </c>
    </row>
    <row r="391">
      <c r="A391" t="n">
        <v>13990125</v>
      </c>
      <c r="B391" t="n">
        <v>43934</v>
      </c>
      <c r="C391" t="inlineStr">
        <is>
          <t>1399/01/25</t>
        </is>
      </c>
      <c r="E391" t="n">
        <v>143006</v>
      </c>
      <c r="F391" t="n">
        <v>55388</v>
      </c>
      <c r="G391" t="n">
        <v>55418</v>
      </c>
      <c r="H391" t="inlineStr">
        <is>
          <t>شهریور 1430</t>
        </is>
      </c>
    </row>
    <row r="392">
      <c r="A392" t="n">
        <v>13990126</v>
      </c>
      <c r="B392" t="n">
        <v>43935</v>
      </c>
      <c r="C392" t="inlineStr">
        <is>
          <t>1399/01/26</t>
        </is>
      </c>
      <c r="E392" t="n">
        <v>143007</v>
      </c>
      <c r="F392" t="n">
        <v>55419</v>
      </c>
      <c r="G392" t="n">
        <v>55448</v>
      </c>
      <c r="H392" t="inlineStr">
        <is>
          <t>مهر 1430</t>
        </is>
      </c>
    </row>
    <row r="393">
      <c r="A393" t="n">
        <v>13990127</v>
      </c>
      <c r="B393" t="n">
        <v>43936</v>
      </c>
      <c r="C393" t="inlineStr">
        <is>
          <t>1399/01/27</t>
        </is>
      </c>
      <c r="E393" t="n">
        <v>143008</v>
      </c>
      <c r="F393" t="n">
        <v>55449</v>
      </c>
      <c r="G393" t="n">
        <v>55478</v>
      </c>
      <c r="H393" t="inlineStr">
        <is>
          <t>آبان 1430</t>
        </is>
      </c>
    </row>
    <row r="394">
      <c r="A394" t="n">
        <v>13990128</v>
      </c>
      <c r="B394" t="n">
        <v>43937</v>
      </c>
      <c r="C394" t="inlineStr">
        <is>
          <t>1399/01/28</t>
        </is>
      </c>
      <c r="E394" t="n">
        <v>143009</v>
      </c>
      <c r="F394" t="n">
        <v>55479</v>
      </c>
      <c r="G394" t="n">
        <v>55508</v>
      </c>
      <c r="H394" t="inlineStr">
        <is>
          <t>آذر 1430</t>
        </is>
      </c>
    </row>
    <row r="395">
      <c r="A395" t="n">
        <v>13990129</v>
      </c>
      <c r="B395" t="n">
        <v>43938</v>
      </c>
      <c r="C395" t="inlineStr">
        <is>
          <t>1399/01/29</t>
        </is>
      </c>
      <c r="E395" t="n">
        <v>143010</v>
      </c>
      <c r="F395" t="n">
        <v>55509</v>
      </c>
      <c r="G395" t="n">
        <v>55538</v>
      </c>
      <c r="H395" t="inlineStr">
        <is>
          <t>دی 1430</t>
        </is>
      </c>
    </row>
    <row r="396">
      <c r="A396" t="n">
        <v>13990130</v>
      </c>
      <c r="B396" t="n">
        <v>43939</v>
      </c>
      <c r="C396" t="inlineStr">
        <is>
          <t>1399/01/30</t>
        </is>
      </c>
      <c r="E396" t="n">
        <v>143011</v>
      </c>
      <c r="F396" t="n">
        <v>55539</v>
      </c>
      <c r="G396" t="n">
        <v>55568</v>
      </c>
      <c r="H396" t="inlineStr">
        <is>
          <t>بهمن 1430</t>
        </is>
      </c>
    </row>
    <row r="397">
      <c r="A397" t="n">
        <v>13990131</v>
      </c>
      <c r="B397" t="n">
        <v>43940</v>
      </c>
      <c r="C397" t="inlineStr">
        <is>
          <t>1399/01/31</t>
        </is>
      </c>
      <c r="E397" t="n">
        <v>143012</v>
      </c>
      <c r="F397" t="n">
        <v>55569</v>
      </c>
      <c r="G397" t="n">
        <v>55597</v>
      </c>
      <c r="H397" t="inlineStr">
        <is>
          <t>اسفند 1430</t>
        </is>
      </c>
    </row>
    <row r="398">
      <c r="A398" t="n">
        <v>13990201</v>
      </c>
      <c r="B398" t="n">
        <v>43941</v>
      </c>
      <c r="C398" t="inlineStr">
        <is>
          <t>1399/02/01</t>
        </is>
      </c>
      <c r="E398" t="n">
        <v>143101</v>
      </c>
      <c r="F398" t="n">
        <v>55598</v>
      </c>
      <c r="G398" t="n">
        <v>55628</v>
      </c>
      <c r="H398" t="inlineStr">
        <is>
          <t>فروردین 1431</t>
        </is>
      </c>
    </row>
    <row r="399">
      <c r="A399" t="n">
        <v>13990202</v>
      </c>
      <c r="B399" t="n">
        <v>43942</v>
      </c>
      <c r="C399" t="inlineStr">
        <is>
          <t>1399/02/02</t>
        </is>
      </c>
      <c r="E399" t="n">
        <v>143102</v>
      </c>
      <c r="F399" t="n">
        <v>55629</v>
      </c>
      <c r="G399" t="n">
        <v>55659</v>
      </c>
      <c r="H399" t="inlineStr">
        <is>
          <t>اردیبهشت 1431</t>
        </is>
      </c>
    </row>
    <row r="400">
      <c r="A400" t="n">
        <v>13990203</v>
      </c>
      <c r="B400" t="n">
        <v>43943</v>
      </c>
      <c r="C400" t="inlineStr">
        <is>
          <t>1399/02/03</t>
        </is>
      </c>
      <c r="E400" t="n">
        <v>143103</v>
      </c>
      <c r="F400" t="n">
        <v>55660</v>
      </c>
      <c r="G400" t="n">
        <v>55690</v>
      </c>
      <c r="H400" t="inlineStr">
        <is>
          <t>خرداد 1431</t>
        </is>
      </c>
    </row>
    <row r="401">
      <c r="A401" t="n">
        <v>13990204</v>
      </c>
      <c r="B401" t="n">
        <v>43944</v>
      </c>
      <c r="C401" t="inlineStr">
        <is>
          <t>1399/02/04</t>
        </is>
      </c>
      <c r="E401" t="n">
        <v>143104</v>
      </c>
      <c r="F401" t="n">
        <v>55691</v>
      </c>
      <c r="G401" t="n">
        <v>55721</v>
      </c>
      <c r="H401" t="inlineStr">
        <is>
          <t>تیر 1431</t>
        </is>
      </c>
    </row>
    <row r="402">
      <c r="A402" t="n">
        <v>13990205</v>
      </c>
      <c r="B402" t="n">
        <v>43945</v>
      </c>
      <c r="C402" t="inlineStr">
        <is>
          <t>1399/02/05</t>
        </is>
      </c>
      <c r="E402" t="n">
        <v>143105</v>
      </c>
      <c r="F402" t="n">
        <v>55722</v>
      </c>
      <c r="G402" t="n">
        <v>55752</v>
      </c>
      <c r="H402" t="inlineStr">
        <is>
          <t>مرداد 1431</t>
        </is>
      </c>
    </row>
    <row r="403">
      <c r="A403" t="n">
        <v>13990206</v>
      </c>
      <c r="B403" t="n">
        <v>43946</v>
      </c>
      <c r="C403" t="inlineStr">
        <is>
          <t>1399/02/06</t>
        </is>
      </c>
      <c r="E403" t="n">
        <v>143106</v>
      </c>
      <c r="F403" t="n">
        <v>55753</v>
      </c>
      <c r="G403" t="n">
        <v>55783</v>
      </c>
      <c r="H403" t="inlineStr">
        <is>
          <t>شهریور 1431</t>
        </is>
      </c>
    </row>
    <row r="404">
      <c r="A404" t="n">
        <v>13990207</v>
      </c>
      <c r="B404" t="n">
        <v>43947</v>
      </c>
      <c r="C404" t="inlineStr">
        <is>
          <t>1399/02/07</t>
        </is>
      </c>
      <c r="E404" t="n">
        <v>143107</v>
      </c>
      <c r="F404" t="n">
        <v>55784</v>
      </c>
      <c r="G404" t="n">
        <v>55813</v>
      </c>
      <c r="H404" t="inlineStr">
        <is>
          <t>مهر 1431</t>
        </is>
      </c>
    </row>
    <row r="405">
      <c r="A405" t="n">
        <v>13990208</v>
      </c>
      <c r="B405" t="n">
        <v>43948</v>
      </c>
      <c r="C405" t="inlineStr">
        <is>
          <t>1399/02/08</t>
        </is>
      </c>
      <c r="E405" t="n">
        <v>143108</v>
      </c>
      <c r="F405" t="n">
        <v>55814</v>
      </c>
      <c r="G405" t="n">
        <v>55843</v>
      </c>
      <c r="H405" t="inlineStr">
        <is>
          <t>آبان 1431</t>
        </is>
      </c>
    </row>
    <row r="406">
      <c r="A406" t="n">
        <v>13990209</v>
      </c>
      <c r="B406" t="n">
        <v>43949</v>
      </c>
      <c r="C406" t="inlineStr">
        <is>
          <t>1399/02/09</t>
        </is>
      </c>
      <c r="E406" t="n">
        <v>143109</v>
      </c>
      <c r="F406" t="n">
        <v>55844</v>
      </c>
      <c r="G406" t="n">
        <v>55873</v>
      </c>
      <c r="H406" t="inlineStr">
        <is>
          <t>آذر 1431</t>
        </is>
      </c>
    </row>
    <row r="407">
      <c r="A407" t="n">
        <v>13990210</v>
      </c>
      <c r="B407" t="n">
        <v>43950</v>
      </c>
      <c r="C407" t="inlineStr">
        <is>
          <t>1399/02/10</t>
        </is>
      </c>
      <c r="E407" t="n">
        <v>143110</v>
      </c>
      <c r="F407" t="n">
        <v>55874</v>
      </c>
      <c r="G407" t="n">
        <v>55903</v>
      </c>
      <c r="H407" t="inlineStr">
        <is>
          <t>دی 1431</t>
        </is>
      </c>
    </row>
    <row r="408">
      <c r="A408" t="n">
        <v>13990211</v>
      </c>
      <c r="B408" t="n">
        <v>43951</v>
      </c>
      <c r="C408" t="inlineStr">
        <is>
          <t>1399/02/11</t>
        </is>
      </c>
      <c r="E408" t="n">
        <v>143111</v>
      </c>
      <c r="F408" t="n">
        <v>55904</v>
      </c>
      <c r="G408" t="n">
        <v>55933</v>
      </c>
      <c r="H408" t="inlineStr">
        <is>
          <t>بهمن 1431</t>
        </is>
      </c>
    </row>
    <row r="409">
      <c r="A409" t="n">
        <v>13990212</v>
      </c>
      <c r="B409" t="n">
        <v>43952</v>
      </c>
      <c r="C409" t="inlineStr">
        <is>
          <t>1399/02/12</t>
        </is>
      </c>
      <c r="E409" t="n">
        <v>143112</v>
      </c>
      <c r="F409" t="n">
        <v>55934</v>
      </c>
      <c r="G409" t="n">
        <v>55962</v>
      </c>
      <c r="H409" t="inlineStr">
        <is>
          <t>اسفند 1431</t>
        </is>
      </c>
    </row>
    <row r="410">
      <c r="A410" t="n">
        <v>13990213</v>
      </c>
      <c r="B410" t="n">
        <v>43953</v>
      </c>
      <c r="C410" t="inlineStr">
        <is>
          <t>1399/02/13</t>
        </is>
      </c>
      <c r="E410" t="n">
        <v>143201</v>
      </c>
      <c r="F410" t="n">
        <v>55963</v>
      </c>
      <c r="G410" t="n">
        <v>55993</v>
      </c>
      <c r="H410" t="inlineStr">
        <is>
          <t>فروردین 1432</t>
        </is>
      </c>
    </row>
    <row r="411">
      <c r="A411" t="n">
        <v>13990214</v>
      </c>
      <c r="B411" t="n">
        <v>43954</v>
      </c>
      <c r="C411" t="inlineStr">
        <is>
          <t>1399/02/14</t>
        </is>
      </c>
      <c r="E411" t="n">
        <v>143202</v>
      </c>
      <c r="F411" t="n">
        <v>55994</v>
      </c>
      <c r="G411" t="n">
        <v>56024</v>
      </c>
      <c r="H411" t="inlineStr">
        <is>
          <t>اردیبهشت 1432</t>
        </is>
      </c>
    </row>
    <row r="412">
      <c r="A412" t="n">
        <v>13990215</v>
      </c>
      <c r="B412" t="n">
        <v>43955</v>
      </c>
      <c r="C412" t="inlineStr">
        <is>
          <t>1399/02/15</t>
        </is>
      </c>
      <c r="E412" t="n">
        <v>143203</v>
      </c>
      <c r="F412" t="n">
        <v>56025</v>
      </c>
      <c r="G412" t="n">
        <v>56055</v>
      </c>
      <c r="H412" t="inlineStr">
        <is>
          <t>خرداد 1432</t>
        </is>
      </c>
    </row>
    <row r="413">
      <c r="A413" t="n">
        <v>13990216</v>
      </c>
      <c r="B413" t="n">
        <v>43956</v>
      </c>
      <c r="C413" t="inlineStr">
        <is>
          <t>1399/02/16</t>
        </is>
      </c>
      <c r="E413" t="n">
        <v>143204</v>
      </c>
      <c r="F413" t="n">
        <v>56056</v>
      </c>
      <c r="G413" t="n">
        <v>56086</v>
      </c>
      <c r="H413" t="inlineStr">
        <is>
          <t>تیر 1432</t>
        </is>
      </c>
    </row>
    <row r="414">
      <c r="A414" t="n">
        <v>13990217</v>
      </c>
      <c r="B414" t="n">
        <v>43957</v>
      </c>
      <c r="C414" t="inlineStr">
        <is>
          <t>1399/02/17</t>
        </is>
      </c>
      <c r="E414" t="n">
        <v>143205</v>
      </c>
      <c r="F414" t="n">
        <v>56087</v>
      </c>
      <c r="G414" t="n">
        <v>56117</v>
      </c>
      <c r="H414" t="inlineStr">
        <is>
          <t>مرداد 1432</t>
        </is>
      </c>
    </row>
    <row r="415">
      <c r="A415" t="n">
        <v>13990218</v>
      </c>
      <c r="B415" t="n">
        <v>43958</v>
      </c>
      <c r="C415" t="inlineStr">
        <is>
          <t>1399/02/18</t>
        </is>
      </c>
      <c r="E415" t="n">
        <v>143206</v>
      </c>
      <c r="F415" t="n">
        <v>56118</v>
      </c>
      <c r="G415" t="n">
        <v>56148</v>
      </c>
      <c r="H415" t="inlineStr">
        <is>
          <t>شهریور 1432</t>
        </is>
      </c>
    </row>
    <row r="416">
      <c r="A416" t="n">
        <v>13990219</v>
      </c>
      <c r="B416" t="n">
        <v>43959</v>
      </c>
      <c r="C416" t="inlineStr">
        <is>
          <t>1399/02/19</t>
        </is>
      </c>
      <c r="E416" t="n">
        <v>143207</v>
      </c>
      <c r="F416" t="n">
        <v>56149</v>
      </c>
      <c r="G416" t="n">
        <v>56178</v>
      </c>
      <c r="H416" t="inlineStr">
        <is>
          <t>مهر 1432</t>
        </is>
      </c>
    </row>
    <row r="417">
      <c r="A417" t="n">
        <v>13990220</v>
      </c>
      <c r="B417" t="n">
        <v>43960</v>
      </c>
      <c r="C417" t="inlineStr">
        <is>
          <t>1399/02/20</t>
        </is>
      </c>
      <c r="E417" t="n">
        <v>143208</v>
      </c>
      <c r="F417" t="n">
        <v>56179</v>
      </c>
      <c r="G417" t="n">
        <v>56208</v>
      </c>
      <c r="H417" t="inlineStr">
        <is>
          <t>آبان 1432</t>
        </is>
      </c>
    </row>
    <row r="418">
      <c r="A418" t="n">
        <v>13990221</v>
      </c>
      <c r="B418" t="n">
        <v>43961</v>
      </c>
      <c r="C418" t="inlineStr">
        <is>
          <t>1399/02/21</t>
        </is>
      </c>
      <c r="E418" t="n">
        <v>143209</v>
      </c>
      <c r="F418" t="n">
        <v>56209</v>
      </c>
      <c r="G418" t="n">
        <v>56238</v>
      </c>
      <c r="H418" t="inlineStr">
        <is>
          <t>آذر 1432</t>
        </is>
      </c>
    </row>
    <row r="419">
      <c r="A419" t="n">
        <v>13990222</v>
      </c>
      <c r="B419" t="n">
        <v>43962</v>
      </c>
      <c r="C419" t="inlineStr">
        <is>
          <t>1399/02/22</t>
        </is>
      </c>
      <c r="E419" t="n">
        <v>143210</v>
      </c>
      <c r="F419" t="n">
        <v>56239</v>
      </c>
      <c r="G419" t="n">
        <v>56268</v>
      </c>
      <c r="H419" t="inlineStr">
        <is>
          <t>دی 1432</t>
        </is>
      </c>
    </row>
    <row r="420">
      <c r="A420" t="n">
        <v>13990223</v>
      </c>
      <c r="B420" t="n">
        <v>43963</v>
      </c>
      <c r="C420" t="inlineStr">
        <is>
          <t>1399/02/23</t>
        </is>
      </c>
      <c r="E420" t="n">
        <v>143211</v>
      </c>
      <c r="F420" t="n">
        <v>56269</v>
      </c>
      <c r="G420" t="n">
        <v>56298</v>
      </c>
      <c r="H420" t="inlineStr">
        <is>
          <t>بهمن 1432</t>
        </is>
      </c>
    </row>
    <row r="421">
      <c r="A421" t="n">
        <v>13990224</v>
      </c>
      <c r="B421" t="n">
        <v>43964</v>
      </c>
      <c r="C421" t="inlineStr">
        <is>
          <t>1399/02/24</t>
        </is>
      </c>
      <c r="E421" t="n">
        <v>143212</v>
      </c>
      <c r="F421" t="n">
        <v>56299</v>
      </c>
      <c r="G421" t="n">
        <v>56328</v>
      </c>
      <c r="H421" t="inlineStr">
        <is>
          <t>اسفند 1432</t>
        </is>
      </c>
    </row>
    <row r="422">
      <c r="A422" t="n">
        <v>13990225</v>
      </c>
      <c r="B422" t="n">
        <v>43965</v>
      </c>
      <c r="C422" t="inlineStr">
        <is>
          <t>1399/02/25</t>
        </is>
      </c>
      <c r="E422" t="n">
        <v>143301</v>
      </c>
      <c r="F422" t="n">
        <v>56329</v>
      </c>
      <c r="G422" t="n">
        <v>56359</v>
      </c>
      <c r="H422" t="inlineStr">
        <is>
          <t>فروردین 1433</t>
        </is>
      </c>
    </row>
    <row r="423">
      <c r="A423" t="n">
        <v>13990226</v>
      </c>
      <c r="B423" t="n">
        <v>43966</v>
      </c>
      <c r="C423" t="inlineStr">
        <is>
          <t>1399/02/26</t>
        </is>
      </c>
      <c r="E423" t="n">
        <v>143302</v>
      </c>
      <c r="F423" t="n">
        <v>56360</v>
      </c>
      <c r="G423" t="n">
        <v>56390</v>
      </c>
      <c r="H423" t="inlineStr">
        <is>
          <t>اردیبهشت 1433</t>
        </is>
      </c>
    </row>
    <row r="424">
      <c r="A424" t="n">
        <v>13990227</v>
      </c>
      <c r="B424" t="n">
        <v>43967</v>
      </c>
      <c r="C424" t="inlineStr">
        <is>
          <t>1399/02/27</t>
        </is>
      </c>
      <c r="E424" t="n">
        <v>143303</v>
      </c>
      <c r="F424" t="n">
        <v>56391</v>
      </c>
      <c r="G424" t="n">
        <v>56421</v>
      </c>
      <c r="H424" t="inlineStr">
        <is>
          <t>خرداد 1433</t>
        </is>
      </c>
    </row>
    <row r="425">
      <c r="A425" t="n">
        <v>13990228</v>
      </c>
      <c r="B425" t="n">
        <v>43968</v>
      </c>
      <c r="C425" t="inlineStr">
        <is>
          <t>1399/02/28</t>
        </is>
      </c>
      <c r="E425" t="n">
        <v>143304</v>
      </c>
      <c r="F425" t="n">
        <v>56422</v>
      </c>
      <c r="G425" t="n">
        <v>56452</v>
      </c>
      <c r="H425" t="inlineStr">
        <is>
          <t>تیر 1433</t>
        </is>
      </c>
    </row>
    <row r="426">
      <c r="A426" t="n">
        <v>13990229</v>
      </c>
      <c r="B426" t="n">
        <v>43969</v>
      </c>
      <c r="C426" t="inlineStr">
        <is>
          <t>1399/02/29</t>
        </is>
      </c>
      <c r="E426" t="n">
        <v>143305</v>
      </c>
      <c r="F426" t="n">
        <v>56453</v>
      </c>
      <c r="G426" t="n">
        <v>56483</v>
      </c>
      <c r="H426" t="inlineStr">
        <is>
          <t>مرداد 1433</t>
        </is>
      </c>
    </row>
    <row r="427">
      <c r="A427" t="n">
        <v>13990230</v>
      </c>
      <c r="B427" t="n">
        <v>43970</v>
      </c>
      <c r="C427" t="inlineStr">
        <is>
          <t>1399/02/30</t>
        </is>
      </c>
      <c r="E427" t="n">
        <v>143306</v>
      </c>
      <c r="F427" t="n">
        <v>56484</v>
      </c>
      <c r="G427" t="n">
        <v>56514</v>
      </c>
      <c r="H427" t="inlineStr">
        <is>
          <t>شهریور 1433</t>
        </is>
      </c>
    </row>
    <row r="428">
      <c r="A428" t="n">
        <v>13990231</v>
      </c>
      <c r="B428" t="n">
        <v>43971</v>
      </c>
      <c r="C428" t="inlineStr">
        <is>
          <t>1399/02/31</t>
        </is>
      </c>
      <c r="E428" t="n">
        <v>143307</v>
      </c>
      <c r="F428" t="n">
        <v>56515</v>
      </c>
      <c r="G428" t="n">
        <v>56544</v>
      </c>
      <c r="H428" t="inlineStr">
        <is>
          <t>مهر 1433</t>
        </is>
      </c>
    </row>
    <row r="429">
      <c r="A429" t="n">
        <v>13990301</v>
      </c>
      <c r="B429" t="n">
        <v>43972</v>
      </c>
      <c r="C429" t="inlineStr">
        <is>
          <t>1399/03/01</t>
        </is>
      </c>
      <c r="E429" t="n">
        <v>143308</v>
      </c>
      <c r="F429" t="n">
        <v>56545</v>
      </c>
      <c r="G429" t="n">
        <v>56574</v>
      </c>
      <c r="H429" t="inlineStr">
        <is>
          <t>آبان 1433</t>
        </is>
      </c>
    </row>
    <row r="430">
      <c r="A430" t="n">
        <v>13990302</v>
      </c>
      <c r="B430" t="n">
        <v>43973</v>
      </c>
      <c r="C430" t="inlineStr">
        <is>
          <t>1399/03/02</t>
        </is>
      </c>
      <c r="E430" t="n">
        <v>143309</v>
      </c>
      <c r="F430" t="n">
        <v>56575</v>
      </c>
      <c r="G430" t="n">
        <v>56604</v>
      </c>
      <c r="H430" t="inlineStr">
        <is>
          <t>آذر 1433</t>
        </is>
      </c>
    </row>
    <row r="431">
      <c r="A431" t="n">
        <v>13990303</v>
      </c>
      <c r="B431" t="n">
        <v>43974</v>
      </c>
      <c r="C431" t="inlineStr">
        <is>
          <t>1399/03/03</t>
        </is>
      </c>
      <c r="E431" t="n">
        <v>143310</v>
      </c>
      <c r="F431" t="n">
        <v>56605</v>
      </c>
      <c r="G431" t="n">
        <v>56634</v>
      </c>
      <c r="H431" t="inlineStr">
        <is>
          <t>دی 1433</t>
        </is>
      </c>
    </row>
    <row r="432">
      <c r="A432" t="n">
        <v>13990304</v>
      </c>
      <c r="B432" t="n">
        <v>43975</v>
      </c>
      <c r="C432" t="inlineStr">
        <is>
          <t>1399/03/04</t>
        </is>
      </c>
      <c r="E432" t="n">
        <v>143311</v>
      </c>
      <c r="F432" t="n">
        <v>56635</v>
      </c>
      <c r="G432" t="n">
        <v>56664</v>
      </c>
      <c r="H432" t="inlineStr">
        <is>
          <t>بهمن 1433</t>
        </is>
      </c>
    </row>
    <row r="433">
      <c r="A433" t="n">
        <v>13990305</v>
      </c>
      <c r="B433" t="n">
        <v>43976</v>
      </c>
      <c r="C433" t="inlineStr">
        <is>
          <t>1399/03/05</t>
        </is>
      </c>
      <c r="E433" t="n">
        <v>143312</v>
      </c>
      <c r="F433" t="n">
        <v>56665</v>
      </c>
      <c r="G433" t="n">
        <v>56693</v>
      </c>
      <c r="H433" t="inlineStr">
        <is>
          <t>اسفند 1433</t>
        </is>
      </c>
    </row>
    <row r="434">
      <c r="A434" t="n">
        <v>13990306</v>
      </c>
      <c r="B434" t="n">
        <v>43977</v>
      </c>
      <c r="C434" t="inlineStr">
        <is>
          <t>1399/03/06</t>
        </is>
      </c>
      <c r="E434" t="n">
        <v>143401</v>
      </c>
      <c r="F434" t="n">
        <v>56694</v>
      </c>
      <c r="G434" t="n">
        <v>56724</v>
      </c>
      <c r="H434" t="inlineStr">
        <is>
          <t>فروردین 1434</t>
        </is>
      </c>
    </row>
    <row r="435">
      <c r="A435" t="n">
        <v>13990307</v>
      </c>
      <c r="B435" t="n">
        <v>43978</v>
      </c>
      <c r="C435" t="inlineStr">
        <is>
          <t>1399/03/07</t>
        </is>
      </c>
      <c r="E435" t="n">
        <v>143402</v>
      </c>
      <c r="F435" t="n">
        <v>56725</v>
      </c>
      <c r="G435" t="n">
        <v>56755</v>
      </c>
      <c r="H435" t="inlineStr">
        <is>
          <t>اردیبهشت 1434</t>
        </is>
      </c>
    </row>
    <row r="436">
      <c r="A436" t="n">
        <v>13990308</v>
      </c>
      <c r="B436" t="n">
        <v>43979</v>
      </c>
      <c r="C436" t="inlineStr">
        <is>
          <t>1399/03/08</t>
        </is>
      </c>
      <c r="E436" t="n">
        <v>143403</v>
      </c>
      <c r="F436" t="n">
        <v>56756</v>
      </c>
      <c r="G436" t="n">
        <v>56786</v>
      </c>
      <c r="H436" t="inlineStr">
        <is>
          <t>خرداد 1434</t>
        </is>
      </c>
    </row>
    <row r="437">
      <c r="A437" t="n">
        <v>13990309</v>
      </c>
      <c r="B437" t="n">
        <v>43980</v>
      </c>
      <c r="C437" t="inlineStr">
        <is>
          <t>1399/03/09</t>
        </is>
      </c>
      <c r="E437" t="n">
        <v>143404</v>
      </c>
      <c r="F437" t="n">
        <v>56787</v>
      </c>
      <c r="G437" t="n">
        <v>56817</v>
      </c>
      <c r="H437" t="inlineStr">
        <is>
          <t>تیر 1434</t>
        </is>
      </c>
    </row>
    <row r="438">
      <c r="A438" t="n">
        <v>13990310</v>
      </c>
      <c r="B438" t="n">
        <v>43981</v>
      </c>
      <c r="C438" t="inlineStr">
        <is>
          <t>1399/03/10</t>
        </is>
      </c>
      <c r="E438" t="n">
        <v>143405</v>
      </c>
      <c r="F438" t="n">
        <v>56818</v>
      </c>
      <c r="G438" t="n">
        <v>56848</v>
      </c>
      <c r="H438" t="inlineStr">
        <is>
          <t>مرداد 1434</t>
        </is>
      </c>
    </row>
    <row r="439">
      <c r="A439" t="n">
        <v>13990311</v>
      </c>
      <c r="B439" t="n">
        <v>43982</v>
      </c>
      <c r="C439" t="inlineStr">
        <is>
          <t>1399/03/11</t>
        </is>
      </c>
      <c r="E439" t="n">
        <v>143406</v>
      </c>
      <c r="F439" t="n">
        <v>56849</v>
      </c>
      <c r="G439" t="n">
        <v>56879</v>
      </c>
      <c r="H439" t="inlineStr">
        <is>
          <t>شهریور 1434</t>
        </is>
      </c>
    </row>
    <row r="440">
      <c r="A440" t="n">
        <v>13990312</v>
      </c>
      <c r="B440" t="n">
        <v>43983</v>
      </c>
      <c r="C440" t="inlineStr">
        <is>
          <t>1399/03/12</t>
        </is>
      </c>
      <c r="E440" t="n">
        <v>143407</v>
      </c>
      <c r="F440" t="n">
        <v>56880</v>
      </c>
      <c r="G440" t="n">
        <v>56909</v>
      </c>
      <c r="H440" t="inlineStr">
        <is>
          <t>مهر 1434</t>
        </is>
      </c>
    </row>
    <row r="441">
      <c r="A441" t="n">
        <v>13990313</v>
      </c>
      <c r="B441" t="n">
        <v>43984</v>
      </c>
      <c r="C441" t="inlineStr">
        <is>
          <t>1399/03/13</t>
        </is>
      </c>
      <c r="E441" t="n">
        <v>143408</v>
      </c>
      <c r="F441" t="n">
        <v>56910</v>
      </c>
      <c r="G441" t="n">
        <v>56939</v>
      </c>
      <c r="H441" t="inlineStr">
        <is>
          <t>آبان 1434</t>
        </is>
      </c>
    </row>
    <row r="442">
      <c r="A442" t="n">
        <v>13990314</v>
      </c>
      <c r="B442" t="n">
        <v>43985</v>
      </c>
      <c r="C442" t="inlineStr">
        <is>
          <t>1399/03/14</t>
        </is>
      </c>
      <c r="E442" t="n">
        <v>143409</v>
      </c>
      <c r="F442" t="n">
        <v>56940</v>
      </c>
      <c r="G442" t="n">
        <v>56969</v>
      </c>
      <c r="H442" t="inlineStr">
        <is>
          <t>آذر 1434</t>
        </is>
      </c>
    </row>
    <row r="443">
      <c r="A443" t="n">
        <v>13990315</v>
      </c>
      <c r="B443" t="n">
        <v>43986</v>
      </c>
      <c r="C443" t="inlineStr">
        <is>
          <t>1399/03/15</t>
        </is>
      </c>
      <c r="E443" t="n">
        <v>143410</v>
      </c>
      <c r="F443" t="n">
        <v>56970</v>
      </c>
      <c r="G443" t="n">
        <v>56999</v>
      </c>
      <c r="H443" t="inlineStr">
        <is>
          <t>دی 1434</t>
        </is>
      </c>
    </row>
    <row r="444">
      <c r="A444" t="n">
        <v>13990316</v>
      </c>
      <c r="B444" t="n">
        <v>43987</v>
      </c>
      <c r="C444" t="inlineStr">
        <is>
          <t>1399/03/16</t>
        </is>
      </c>
      <c r="E444" t="n">
        <v>143411</v>
      </c>
      <c r="F444" t="n">
        <v>57000</v>
      </c>
      <c r="G444" t="n">
        <v>57029</v>
      </c>
      <c r="H444" t="inlineStr">
        <is>
          <t>بهمن 1434</t>
        </is>
      </c>
    </row>
    <row r="445">
      <c r="A445" t="n">
        <v>13990317</v>
      </c>
      <c r="B445" t="n">
        <v>43988</v>
      </c>
      <c r="C445" t="inlineStr">
        <is>
          <t>1399/03/17</t>
        </is>
      </c>
      <c r="E445" t="n">
        <v>143412</v>
      </c>
      <c r="F445" t="n">
        <v>57030</v>
      </c>
      <c r="G445" t="n">
        <v>57058</v>
      </c>
      <c r="H445" t="inlineStr">
        <is>
          <t>اسفند 1434</t>
        </is>
      </c>
    </row>
    <row r="446">
      <c r="A446" t="n">
        <v>13990318</v>
      </c>
      <c r="B446" t="n">
        <v>43989</v>
      </c>
      <c r="C446" t="inlineStr">
        <is>
          <t>1399/03/18</t>
        </is>
      </c>
      <c r="E446" t="n">
        <v>143501</v>
      </c>
      <c r="F446" t="n">
        <v>57059</v>
      </c>
      <c r="G446" t="n">
        <v>57089</v>
      </c>
      <c r="H446" t="inlineStr">
        <is>
          <t>فروردین 1435</t>
        </is>
      </c>
    </row>
    <row r="447">
      <c r="A447" t="n">
        <v>13990319</v>
      </c>
      <c r="B447" t="n">
        <v>43990</v>
      </c>
      <c r="C447" t="inlineStr">
        <is>
          <t>1399/03/19</t>
        </is>
      </c>
      <c r="E447" t="n">
        <v>143502</v>
      </c>
      <c r="F447" t="n">
        <v>57090</v>
      </c>
      <c r="G447" t="n">
        <v>57120</v>
      </c>
      <c r="H447" t="inlineStr">
        <is>
          <t>اردیبهشت 1435</t>
        </is>
      </c>
    </row>
    <row r="448">
      <c r="A448" t="n">
        <v>13990320</v>
      </c>
      <c r="B448" t="n">
        <v>43991</v>
      </c>
      <c r="C448" t="inlineStr">
        <is>
          <t>1399/03/20</t>
        </is>
      </c>
      <c r="E448" t="n">
        <v>143503</v>
      </c>
      <c r="F448" t="n">
        <v>57121</v>
      </c>
      <c r="G448" t="n">
        <v>57151</v>
      </c>
      <c r="H448" t="inlineStr">
        <is>
          <t>خرداد 1435</t>
        </is>
      </c>
    </row>
    <row r="449">
      <c r="A449" t="n">
        <v>13990321</v>
      </c>
      <c r="B449" t="n">
        <v>43992</v>
      </c>
      <c r="C449" t="inlineStr">
        <is>
          <t>1399/03/21</t>
        </is>
      </c>
      <c r="E449" t="n">
        <v>143504</v>
      </c>
      <c r="F449" t="n">
        <v>57152</v>
      </c>
      <c r="G449" t="n">
        <v>57182</v>
      </c>
      <c r="H449" t="inlineStr">
        <is>
          <t>تیر 1435</t>
        </is>
      </c>
    </row>
    <row r="450">
      <c r="A450" t="n">
        <v>13990322</v>
      </c>
      <c r="B450" t="n">
        <v>43993</v>
      </c>
      <c r="C450" t="inlineStr">
        <is>
          <t>1399/03/22</t>
        </is>
      </c>
      <c r="E450" t="n">
        <v>143505</v>
      </c>
      <c r="F450" t="n">
        <v>57183</v>
      </c>
      <c r="G450" t="n">
        <v>57213</v>
      </c>
      <c r="H450" t="inlineStr">
        <is>
          <t>مرداد 1435</t>
        </is>
      </c>
    </row>
    <row r="451">
      <c r="A451" t="n">
        <v>13990323</v>
      </c>
      <c r="B451" t="n">
        <v>43994</v>
      </c>
      <c r="C451" t="inlineStr">
        <is>
          <t>1399/03/23</t>
        </is>
      </c>
      <c r="E451" t="n">
        <v>143506</v>
      </c>
      <c r="F451" t="n">
        <v>57214</v>
      </c>
      <c r="G451" t="n">
        <v>57244</v>
      </c>
      <c r="H451" t="inlineStr">
        <is>
          <t>شهریور 1435</t>
        </is>
      </c>
    </row>
    <row r="452">
      <c r="A452" t="n">
        <v>13990324</v>
      </c>
      <c r="B452" t="n">
        <v>43995</v>
      </c>
      <c r="C452" t="inlineStr">
        <is>
          <t>1399/03/24</t>
        </is>
      </c>
      <c r="E452" t="n">
        <v>143507</v>
      </c>
      <c r="F452" t="n">
        <v>57245</v>
      </c>
      <c r="G452" t="n">
        <v>57274</v>
      </c>
      <c r="H452" t="inlineStr">
        <is>
          <t>مهر 1435</t>
        </is>
      </c>
    </row>
    <row r="453">
      <c r="A453" t="n">
        <v>13990325</v>
      </c>
      <c r="B453" t="n">
        <v>43996</v>
      </c>
      <c r="C453" t="inlineStr">
        <is>
          <t>1399/03/25</t>
        </is>
      </c>
      <c r="E453" t="n">
        <v>143508</v>
      </c>
      <c r="F453" t="n">
        <v>57275</v>
      </c>
      <c r="G453" t="n">
        <v>57304</v>
      </c>
      <c r="H453" t="inlineStr">
        <is>
          <t>آبان 1435</t>
        </is>
      </c>
    </row>
    <row r="454">
      <c r="A454" t="n">
        <v>13990326</v>
      </c>
      <c r="B454" t="n">
        <v>43997</v>
      </c>
      <c r="C454" t="inlineStr">
        <is>
          <t>1399/03/26</t>
        </is>
      </c>
      <c r="E454" t="n">
        <v>143509</v>
      </c>
      <c r="F454" t="n">
        <v>57305</v>
      </c>
      <c r="G454" t="n">
        <v>57334</v>
      </c>
      <c r="H454" t="inlineStr">
        <is>
          <t>آذر 1435</t>
        </is>
      </c>
    </row>
    <row r="455">
      <c r="A455" t="n">
        <v>13990327</v>
      </c>
      <c r="B455" t="n">
        <v>43998</v>
      </c>
      <c r="C455" t="inlineStr">
        <is>
          <t>1399/03/27</t>
        </is>
      </c>
      <c r="E455" t="n">
        <v>143510</v>
      </c>
      <c r="F455" t="n">
        <v>57335</v>
      </c>
      <c r="G455" t="n">
        <v>57364</v>
      </c>
      <c r="H455" t="inlineStr">
        <is>
          <t>دی 1435</t>
        </is>
      </c>
    </row>
    <row r="456">
      <c r="A456" t="n">
        <v>13990328</v>
      </c>
      <c r="B456" t="n">
        <v>43999</v>
      </c>
      <c r="C456" t="inlineStr">
        <is>
          <t>1399/03/28</t>
        </is>
      </c>
      <c r="E456" t="n">
        <v>143511</v>
      </c>
      <c r="F456" t="n">
        <v>57365</v>
      </c>
      <c r="G456" t="n">
        <v>57394</v>
      </c>
      <c r="H456" t="inlineStr">
        <is>
          <t>بهمن 1435</t>
        </is>
      </c>
    </row>
    <row r="457">
      <c r="A457" t="n">
        <v>13990329</v>
      </c>
      <c r="B457" t="n">
        <v>44000</v>
      </c>
      <c r="C457" t="inlineStr">
        <is>
          <t>1399/03/29</t>
        </is>
      </c>
      <c r="E457" t="n">
        <v>143512</v>
      </c>
      <c r="F457" t="n">
        <v>57395</v>
      </c>
      <c r="G457" t="n">
        <v>57423</v>
      </c>
      <c r="H457" t="inlineStr">
        <is>
          <t>اسفند 1435</t>
        </is>
      </c>
    </row>
    <row r="458">
      <c r="A458" t="n">
        <v>13990330</v>
      </c>
      <c r="B458" t="n">
        <v>44001</v>
      </c>
      <c r="C458" t="inlineStr">
        <is>
          <t>1399/03/30</t>
        </is>
      </c>
      <c r="E458" t="n">
        <v>143601</v>
      </c>
      <c r="F458" t="n">
        <v>57424</v>
      </c>
      <c r="G458" t="n">
        <v>57454</v>
      </c>
      <c r="H458" t="inlineStr">
        <is>
          <t>فروردین 1436</t>
        </is>
      </c>
    </row>
    <row r="459">
      <c r="A459" t="n">
        <v>13990331</v>
      </c>
      <c r="B459" t="n">
        <v>44002</v>
      </c>
      <c r="C459" t="inlineStr">
        <is>
          <t>1399/03/31</t>
        </is>
      </c>
      <c r="E459" t="n">
        <v>143602</v>
      </c>
      <c r="F459" t="n">
        <v>57455</v>
      </c>
      <c r="G459" t="n">
        <v>57485</v>
      </c>
      <c r="H459" t="inlineStr">
        <is>
          <t>اردیبهشت 1436</t>
        </is>
      </c>
    </row>
    <row r="460">
      <c r="A460" t="n">
        <v>13990401</v>
      </c>
      <c r="B460" t="n">
        <v>44003</v>
      </c>
      <c r="C460" t="inlineStr">
        <is>
          <t>1399/04/01</t>
        </is>
      </c>
      <c r="E460" t="n">
        <v>143603</v>
      </c>
      <c r="F460" t="n">
        <v>57486</v>
      </c>
      <c r="G460" t="n">
        <v>57516</v>
      </c>
      <c r="H460" t="inlineStr">
        <is>
          <t>خرداد 1436</t>
        </is>
      </c>
    </row>
    <row r="461">
      <c r="A461" t="n">
        <v>13990402</v>
      </c>
      <c r="B461" t="n">
        <v>44004</v>
      </c>
      <c r="C461" t="inlineStr">
        <is>
          <t>1399/04/02</t>
        </is>
      </c>
      <c r="E461" t="n">
        <v>143604</v>
      </c>
      <c r="F461" t="n">
        <v>57517</v>
      </c>
      <c r="G461" t="n">
        <v>57547</v>
      </c>
      <c r="H461" t="inlineStr">
        <is>
          <t>تیر 1436</t>
        </is>
      </c>
    </row>
    <row r="462">
      <c r="A462" t="n">
        <v>13990403</v>
      </c>
      <c r="B462" t="n">
        <v>44005</v>
      </c>
      <c r="C462" t="inlineStr">
        <is>
          <t>1399/04/03</t>
        </is>
      </c>
      <c r="E462" t="n">
        <v>143605</v>
      </c>
      <c r="F462" t="n">
        <v>57548</v>
      </c>
      <c r="G462" t="n">
        <v>57578</v>
      </c>
      <c r="H462" t="inlineStr">
        <is>
          <t>مرداد 1436</t>
        </is>
      </c>
    </row>
    <row r="463">
      <c r="A463" t="n">
        <v>13990404</v>
      </c>
      <c r="B463" t="n">
        <v>44006</v>
      </c>
      <c r="C463" t="inlineStr">
        <is>
          <t>1399/04/04</t>
        </is>
      </c>
      <c r="E463" t="n">
        <v>143606</v>
      </c>
      <c r="F463" t="n">
        <v>57579</v>
      </c>
      <c r="G463" t="n">
        <v>57609</v>
      </c>
      <c r="H463" t="inlineStr">
        <is>
          <t>شهریور 1436</t>
        </is>
      </c>
    </row>
    <row r="464">
      <c r="A464" t="n">
        <v>13990405</v>
      </c>
      <c r="B464" t="n">
        <v>44007</v>
      </c>
      <c r="C464" t="inlineStr">
        <is>
          <t>1399/04/05</t>
        </is>
      </c>
      <c r="E464" t="n">
        <v>143607</v>
      </c>
      <c r="F464" t="n">
        <v>57610</v>
      </c>
      <c r="G464" t="n">
        <v>57639</v>
      </c>
      <c r="H464" t="inlineStr">
        <is>
          <t>مهر 1436</t>
        </is>
      </c>
    </row>
    <row r="465">
      <c r="A465" t="n">
        <v>13990406</v>
      </c>
      <c r="B465" t="n">
        <v>44008</v>
      </c>
      <c r="C465" t="inlineStr">
        <is>
          <t>1399/04/06</t>
        </is>
      </c>
      <c r="E465" t="n">
        <v>143608</v>
      </c>
      <c r="F465" t="n">
        <v>57640</v>
      </c>
      <c r="G465" t="n">
        <v>57669</v>
      </c>
      <c r="H465" t="inlineStr">
        <is>
          <t>آبان 1436</t>
        </is>
      </c>
    </row>
    <row r="466">
      <c r="A466" t="n">
        <v>13990407</v>
      </c>
      <c r="B466" t="n">
        <v>44009</v>
      </c>
      <c r="C466" t="inlineStr">
        <is>
          <t>1399/04/07</t>
        </is>
      </c>
      <c r="E466" t="n">
        <v>143609</v>
      </c>
      <c r="F466" t="n">
        <v>57670</v>
      </c>
      <c r="G466" t="n">
        <v>57699</v>
      </c>
      <c r="H466" t="inlineStr">
        <is>
          <t>آذر 1436</t>
        </is>
      </c>
    </row>
    <row r="467">
      <c r="A467" t="n">
        <v>13990408</v>
      </c>
      <c r="B467" t="n">
        <v>44010</v>
      </c>
      <c r="C467" t="inlineStr">
        <is>
          <t>1399/04/08</t>
        </is>
      </c>
      <c r="E467" t="n">
        <v>143610</v>
      </c>
      <c r="F467" t="n">
        <v>57700</v>
      </c>
      <c r="G467" t="n">
        <v>57729</v>
      </c>
      <c r="H467" t="inlineStr">
        <is>
          <t>دی 1436</t>
        </is>
      </c>
    </row>
    <row r="468">
      <c r="A468" t="n">
        <v>13990409</v>
      </c>
      <c r="B468" t="n">
        <v>44011</v>
      </c>
      <c r="C468" t="inlineStr">
        <is>
          <t>1399/04/09</t>
        </is>
      </c>
      <c r="E468" t="n">
        <v>143611</v>
      </c>
      <c r="F468" t="n">
        <v>57730</v>
      </c>
      <c r="G468" t="n">
        <v>57759</v>
      </c>
      <c r="H468" t="inlineStr">
        <is>
          <t>بهمن 1436</t>
        </is>
      </c>
    </row>
    <row r="469">
      <c r="A469" t="n">
        <v>13990410</v>
      </c>
      <c r="B469" t="n">
        <v>44012</v>
      </c>
      <c r="C469" t="inlineStr">
        <is>
          <t>1399/04/10</t>
        </is>
      </c>
      <c r="E469" t="n">
        <v>143612</v>
      </c>
      <c r="F469" t="n">
        <v>57760</v>
      </c>
      <c r="G469" t="n">
        <v>57789</v>
      </c>
      <c r="H469" t="inlineStr">
        <is>
          <t>اسفند 1436</t>
        </is>
      </c>
    </row>
    <row r="470">
      <c r="A470" t="n">
        <v>13990411</v>
      </c>
      <c r="B470" t="n">
        <v>44013</v>
      </c>
      <c r="C470" t="inlineStr">
        <is>
          <t>1399/04/11</t>
        </is>
      </c>
      <c r="E470" t="n">
        <v>143701</v>
      </c>
      <c r="F470" t="n">
        <v>57790</v>
      </c>
      <c r="G470" t="n">
        <v>57820</v>
      </c>
      <c r="H470" t="inlineStr">
        <is>
          <t>فروردین 1437</t>
        </is>
      </c>
    </row>
    <row r="471">
      <c r="A471" t="n">
        <v>13990412</v>
      </c>
      <c r="B471" t="n">
        <v>44014</v>
      </c>
      <c r="C471" t="inlineStr">
        <is>
          <t>1399/04/12</t>
        </is>
      </c>
      <c r="E471" t="n">
        <v>143702</v>
      </c>
      <c r="F471" t="n">
        <v>57821</v>
      </c>
      <c r="G471" t="n">
        <v>57851</v>
      </c>
      <c r="H471" t="inlineStr">
        <is>
          <t>اردیبهشت 1437</t>
        </is>
      </c>
    </row>
    <row r="472">
      <c r="A472" t="n">
        <v>13990413</v>
      </c>
      <c r="B472" t="n">
        <v>44015</v>
      </c>
      <c r="C472" t="inlineStr">
        <is>
          <t>1399/04/13</t>
        </is>
      </c>
      <c r="E472" t="n">
        <v>143703</v>
      </c>
      <c r="F472" t="n">
        <v>57852</v>
      </c>
      <c r="G472" t="n">
        <v>57882</v>
      </c>
      <c r="H472" t="inlineStr">
        <is>
          <t>خرداد 1437</t>
        </is>
      </c>
    </row>
    <row r="473">
      <c r="A473" t="n">
        <v>13990414</v>
      </c>
      <c r="B473" t="n">
        <v>44016</v>
      </c>
      <c r="C473" t="inlineStr">
        <is>
          <t>1399/04/14</t>
        </is>
      </c>
      <c r="E473" t="n">
        <v>143704</v>
      </c>
      <c r="F473" t="n">
        <v>57883</v>
      </c>
      <c r="G473" t="n">
        <v>57913</v>
      </c>
      <c r="H473" t="inlineStr">
        <is>
          <t>تیر 1437</t>
        </is>
      </c>
    </row>
    <row r="474">
      <c r="A474" t="n">
        <v>13990415</v>
      </c>
      <c r="B474" t="n">
        <v>44017</v>
      </c>
      <c r="C474" t="inlineStr">
        <is>
          <t>1399/04/15</t>
        </is>
      </c>
      <c r="E474" t="n">
        <v>143705</v>
      </c>
      <c r="F474" t="n">
        <v>57914</v>
      </c>
      <c r="G474" t="n">
        <v>57944</v>
      </c>
      <c r="H474" t="inlineStr">
        <is>
          <t>مرداد 1437</t>
        </is>
      </c>
    </row>
    <row r="475">
      <c r="A475" t="n">
        <v>13990416</v>
      </c>
      <c r="B475" t="n">
        <v>44018</v>
      </c>
      <c r="C475" t="inlineStr">
        <is>
          <t>1399/04/16</t>
        </is>
      </c>
      <c r="E475" t="n">
        <v>143706</v>
      </c>
      <c r="F475" t="n">
        <v>57945</v>
      </c>
      <c r="G475" t="n">
        <v>57975</v>
      </c>
      <c r="H475" t="inlineStr">
        <is>
          <t>شهریور 1437</t>
        </is>
      </c>
    </row>
    <row r="476">
      <c r="A476" t="n">
        <v>13990417</v>
      </c>
      <c r="B476" t="n">
        <v>44019</v>
      </c>
      <c r="C476" t="inlineStr">
        <is>
          <t>1399/04/17</t>
        </is>
      </c>
      <c r="E476" t="n">
        <v>143707</v>
      </c>
      <c r="F476" t="n">
        <v>57976</v>
      </c>
      <c r="G476" t="n">
        <v>58005</v>
      </c>
      <c r="H476" t="inlineStr">
        <is>
          <t>مهر 1437</t>
        </is>
      </c>
    </row>
    <row r="477">
      <c r="A477" t="n">
        <v>13990418</v>
      </c>
      <c r="B477" t="n">
        <v>44020</v>
      </c>
      <c r="C477" t="inlineStr">
        <is>
          <t>1399/04/18</t>
        </is>
      </c>
      <c r="E477" t="n">
        <v>143708</v>
      </c>
      <c r="F477" t="n">
        <v>58006</v>
      </c>
      <c r="G477" t="n">
        <v>58035</v>
      </c>
      <c r="H477" t="inlineStr">
        <is>
          <t>آبان 1437</t>
        </is>
      </c>
    </row>
    <row r="478">
      <c r="A478" t="n">
        <v>13990419</v>
      </c>
      <c r="B478" t="n">
        <v>44021</v>
      </c>
      <c r="C478" t="inlineStr">
        <is>
          <t>1399/04/19</t>
        </is>
      </c>
      <c r="E478" t="n">
        <v>143709</v>
      </c>
      <c r="F478" t="n">
        <v>58036</v>
      </c>
      <c r="G478" t="n">
        <v>58065</v>
      </c>
      <c r="H478" t="inlineStr">
        <is>
          <t>آذر 1437</t>
        </is>
      </c>
    </row>
    <row r="479">
      <c r="A479" t="n">
        <v>13990420</v>
      </c>
      <c r="B479" t="n">
        <v>44022</v>
      </c>
      <c r="C479" t="inlineStr">
        <is>
          <t>1399/04/20</t>
        </is>
      </c>
      <c r="E479" t="n">
        <v>143710</v>
      </c>
      <c r="F479" t="n">
        <v>58066</v>
      </c>
      <c r="G479" t="n">
        <v>58095</v>
      </c>
      <c r="H479" t="inlineStr">
        <is>
          <t>دی 1437</t>
        </is>
      </c>
    </row>
    <row r="480">
      <c r="A480" t="n">
        <v>13990421</v>
      </c>
      <c r="B480" t="n">
        <v>44023</v>
      </c>
      <c r="C480" t="inlineStr">
        <is>
          <t>1399/04/21</t>
        </is>
      </c>
      <c r="E480" t="n">
        <v>143711</v>
      </c>
      <c r="F480" t="n">
        <v>58096</v>
      </c>
      <c r="G480" t="n">
        <v>58125</v>
      </c>
      <c r="H480" t="inlineStr">
        <is>
          <t>بهمن 1437</t>
        </is>
      </c>
    </row>
    <row r="481">
      <c r="A481" t="n">
        <v>13990422</v>
      </c>
      <c r="B481" t="n">
        <v>44024</v>
      </c>
      <c r="C481" t="inlineStr">
        <is>
          <t>1399/04/22</t>
        </is>
      </c>
      <c r="E481" t="n">
        <v>143712</v>
      </c>
      <c r="F481" t="n">
        <v>58126</v>
      </c>
      <c r="G481" t="n">
        <v>58154</v>
      </c>
      <c r="H481" t="inlineStr">
        <is>
          <t>اسفند 1437</t>
        </is>
      </c>
    </row>
    <row r="482">
      <c r="A482" t="n">
        <v>13990423</v>
      </c>
      <c r="B482" t="n">
        <v>44025</v>
      </c>
      <c r="C482" t="inlineStr">
        <is>
          <t>1399/04/23</t>
        </is>
      </c>
      <c r="E482" t="n">
        <v>143801</v>
      </c>
      <c r="F482" t="n">
        <v>58155</v>
      </c>
      <c r="G482" t="n">
        <v>58185</v>
      </c>
      <c r="H482" t="inlineStr">
        <is>
          <t>فروردین 1438</t>
        </is>
      </c>
    </row>
    <row r="483">
      <c r="A483" t="n">
        <v>13990424</v>
      </c>
      <c r="B483" t="n">
        <v>44026</v>
      </c>
      <c r="C483" t="inlineStr">
        <is>
          <t>1399/04/24</t>
        </is>
      </c>
      <c r="E483" t="n">
        <v>143802</v>
      </c>
      <c r="F483" t="n">
        <v>58186</v>
      </c>
      <c r="G483" t="n">
        <v>58216</v>
      </c>
      <c r="H483" t="inlineStr">
        <is>
          <t>اردیبهشت 1438</t>
        </is>
      </c>
    </row>
    <row r="484">
      <c r="A484" t="n">
        <v>13990425</v>
      </c>
      <c r="B484" t="n">
        <v>44027</v>
      </c>
      <c r="C484" t="inlineStr">
        <is>
          <t>1399/04/25</t>
        </is>
      </c>
      <c r="E484" t="n">
        <v>143803</v>
      </c>
      <c r="F484" t="n">
        <v>58217</v>
      </c>
      <c r="G484" t="n">
        <v>58247</v>
      </c>
      <c r="H484" t="inlineStr">
        <is>
          <t>خرداد 1438</t>
        </is>
      </c>
    </row>
    <row r="485">
      <c r="A485" t="n">
        <v>13990426</v>
      </c>
      <c r="B485" t="n">
        <v>44028</v>
      </c>
      <c r="C485" t="inlineStr">
        <is>
          <t>1399/04/26</t>
        </is>
      </c>
      <c r="E485" t="n">
        <v>143804</v>
      </c>
      <c r="F485" t="n">
        <v>58248</v>
      </c>
      <c r="G485" t="n">
        <v>58278</v>
      </c>
      <c r="H485" t="inlineStr">
        <is>
          <t>تیر 1438</t>
        </is>
      </c>
    </row>
    <row r="486">
      <c r="A486" t="n">
        <v>13990427</v>
      </c>
      <c r="B486" t="n">
        <v>44029</v>
      </c>
      <c r="C486" t="inlineStr">
        <is>
          <t>1399/04/27</t>
        </is>
      </c>
      <c r="E486" t="n">
        <v>143805</v>
      </c>
      <c r="F486" t="n">
        <v>58279</v>
      </c>
      <c r="G486" t="n">
        <v>58309</v>
      </c>
      <c r="H486" t="inlineStr">
        <is>
          <t>مرداد 1438</t>
        </is>
      </c>
    </row>
    <row r="487">
      <c r="A487" t="n">
        <v>13990428</v>
      </c>
      <c r="B487" t="n">
        <v>44030</v>
      </c>
      <c r="C487" t="inlineStr">
        <is>
          <t>1399/04/28</t>
        </is>
      </c>
      <c r="E487" t="n">
        <v>143806</v>
      </c>
      <c r="F487" t="n">
        <v>58310</v>
      </c>
      <c r="G487" t="n">
        <v>58340</v>
      </c>
      <c r="H487" t="inlineStr">
        <is>
          <t>شهریور 1438</t>
        </is>
      </c>
    </row>
    <row r="488">
      <c r="A488" t="n">
        <v>13990429</v>
      </c>
      <c r="B488" t="n">
        <v>44031</v>
      </c>
      <c r="C488" t="inlineStr">
        <is>
          <t>1399/04/29</t>
        </is>
      </c>
      <c r="E488" t="n">
        <v>143807</v>
      </c>
      <c r="F488" t="n">
        <v>58341</v>
      </c>
      <c r="G488" t="n">
        <v>58370</v>
      </c>
      <c r="H488" t="inlineStr">
        <is>
          <t>مهر 1438</t>
        </is>
      </c>
    </row>
    <row r="489">
      <c r="A489" t="n">
        <v>13990430</v>
      </c>
      <c r="B489" t="n">
        <v>44032</v>
      </c>
      <c r="C489" t="inlineStr">
        <is>
          <t>1399/04/30</t>
        </is>
      </c>
      <c r="E489" t="n">
        <v>143808</v>
      </c>
      <c r="F489" t="n">
        <v>58371</v>
      </c>
      <c r="G489" t="n">
        <v>58400</v>
      </c>
      <c r="H489" t="inlineStr">
        <is>
          <t>آبان 1438</t>
        </is>
      </c>
    </row>
    <row r="490">
      <c r="A490" t="n">
        <v>13990431</v>
      </c>
      <c r="B490" t="n">
        <v>44033</v>
      </c>
      <c r="C490" t="inlineStr">
        <is>
          <t>1399/04/31</t>
        </is>
      </c>
      <c r="E490" t="n">
        <v>143809</v>
      </c>
      <c r="F490" t="n">
        <v>58401</v>
      </c>
      <c r="G490" t="n">
        <v>58430</v>
      </c>
      <c r="H490" t="inlineStr">
        <is>
          <t>آذر 1438</t>
        </is>
      </c>
    </row>
    <row r="491">
      <c r="A491" t="n">
        <v>13990501</v>
      </c>
      <c r="B491" t="n">
        <v>44034</v>
      </c>
      <c r="C491" t="inlineStr">
        <is>
          <t>1399/05/01</t>
        </is>
      </c>
      <c r="E491" t="n">
        <v>143810</v>
      </c>
      <c r="F491" t="n">
        <v>58431</v>
      </c>
      <c r="G491" t="n">
        <v>58460</v>
      </c>
      <c r="H491" t="inlineStr">
        <is>
          <t>دی 1438</t>
        </is>
      </c>
    </row>
    <row r="492">
      <c r="A492" t="n">
        <v>13990502</v>
      </c>
      <c r="B492" t="n">
        <v>44035</v>
      </c>
      <c r="C492" t="inlineStr">
        <is>
          <t>1399/05/02</t>
        </is>
      </c>
      <c r="E492" t="n">
        <v>143811</v>
      </c>
      <c r="F492" t="n">
        <v>58461</v>
      </c>
      <c r="G492" t="n">
        <v>58490</v>
      </c>
      <c r="H492" t="inlineStr">
        <is>
          <t>بهمن 1438</t>
        </is>
      </c>
    </row>
    <row r="493">
      <c r="A493" t="n">
        <v>13990503</v>
      </c>
      <c r="B493" t="n">
        <v>44036</v>
      </c>
      <c r="C493" t="inlineStr">
        <is>
          <t>1399/05/03</t>
        </is>
      </c>
      <c r="E493" t="n">
        <v>143812</v>
      </c>
      <c r="F493" t="n">
        <v>58491</v>
      </c>
      <c r="G493" t="n">
        <v>58519</v>
      </c>
      <c r="H493" t="inlineStr">
        <is>
          <t>اسفند 1438</t>
        </is>
      </c>
    </row>
    <row r="494">
      <c r="A494" t="n">
        <v>13990504</v>
      </c>
      <c r="B494" t="n">
        <v>44037</v>
      </c>
      <c r="C494" t="inlineStr">
        <is>
          <t>1399/05/04</t>
        </is>
      </c>
      <c r="E494" t="n">
        <v>143901</v>
      </c>
      <c r="F494" t="n">
        <v>58520</v>
      </c>
      <c r="G494" t="n">
        <v>58550</v>
      </c>
      <c r="H494" t="inlineStr">
        <is>
          <t>فروردین 1439</t>
        </is>
      </c>
    </row>
    <row r="495">
      <c r="A495" t="n">
        <v>13990505</v>
      </c>
      <c r="B495" t="n">
        <v>44038</v>
      </c>
      <c r="C495" t="inlineStr">
        <is>
          <t>1399/05/05</t>
        </is>
      </c>
      <c r="E495" t="n">
        <v>143902</v>
      </c>
      <c r="F495" t="n">
        <v>58551</v>
      </c>
      <c r="G495" t="n">
        <v>58581</v>
      </c>
      <c r="H495" t="inlineStr">
        <is>
          <t>اردیبهشت 1439</t>
        </is>
      </c>
    </row>
    <row r="496">
      <c r="A496" t="n">
        <v>13990506</v>
      </c>
      <c r="B496" t="n">
        <v>44039</v>
      </c>
      <c r="C496" t="inlineStr">
        <is>
          <t>1399/05/06</t>
        </is>
      </c>
      <c r="E496" t="n">
        <v>143903</v>
      </c>
      <c r="F496" t="n">
        <v>58582</v>
      </c>
      <c r="G496" t="n">
        <v>58612</v>
      </c>
      <c r="H496" t="inlineStr">
        <is>
          <t>خرداد 1439</t>
        </is>
      </c>
    </row>
    <row r="497">
      <c r="A497" t="n">
        <v>13990507</v>
      </c>
      <c r="B497" t="n">
        <v>44040</v>
      </c>
      <c r="C497" t="inlineStr">
        <is>
          <t>1399/05/07</t>
        </is>
      </c>
      <c r="E497" t="n">
        <v>143904</v>
      </c>
      <c r="F497" t="n">
        <v>58613</v>
      </c>
      <c r="G497" t="n">
        <v>58643</v>
      </c>
      <c r="H497" t="inlineStr">
        <is>
          <t>تیر 1439</t>
        </is>
      </c>
    </row>
    <row r="498">
      <c r="A498" t="n">
        <v>13990508</v>
      </c>
      <c r="B498" t="n">
        <v>44041</v>
      </c>
      <c r="C498" t="inlineStr">
        <is>
          <t>1399/05/08</t>
        </is>
      </c>
      <c r="E498" t="n">
        <v>143905</v>
      </c>
      <c r="F498" t="n">
        <v>58644</v>
      </c>
      <c r="G498" t="n">
        <v>58674</v>
      </c>
      <c r="H498" t="inlineStr">
        <is>
          <t>مرداد 1439</t>
        </is>
      </c>
    </row>
    <row r="499">
      <c r="A499" t="n">
        <v>13990509</v>
      </c>
      <c r="B499" t="n">
        <v>44042</v>
      </c>
      <c r="C499" t="inlineStr">
        <is>
          <t>1399/05/09</t>
        </is>
      </c>
      <c r="E499" t="n">
        <v>143906</v>
      </c>
      <c r="F499" t="n">
        <v>58675</v>
      </c>
      <c r="G499" t="n">
        <v>58705</v>
      </c>
      <c r="H499" t="inlineStr">
        <is>
          <t>شهریور 1439</t>
        </is>
      </c>
    </row>
    <row r="500">
      <c r="A500" t="n">
        <v>13990510</v>
      </c>
      <c r="B500" t="n">
        <v>44043</v>
      </c>
      <c r="C500" t="inlineStr">
        <is>
          <t>1399/05/10</t>
        </is>
      </c>
      <c r="E500" t="n">
        <v>143907</v>
      </c>
      <c r="F500" t="n">
        <v>58706</v>
      </c>
      <c r="G500" t="n">
        <v>58735</v>
      </c>
      <c r="H500" t="inlineStr">
        <is>
          <t>مهر 1439</t>
        </is>
      </c>
    </row>
    <row r="501">
      <c r="A501" t="n">
        <v>13990511</v>
      </c>
      <c r="B501" t="n">
        <v>44044</v>
      </c>
      <c r="C501" t="inlineStr">
        <is>
          <t>1399/05/11</t>
        </is>
      </c>
      <c r="E501" t="n">
        <v>143908</v>
      </c>
      <c r="F501" t="n">
        <v>58736</v>
      </c>
      <c r="G501" t="n">
        <v>58765</v>
      </c>
      <c r="H501" t="inlineStr">
        <is>
          <t>آبان 1439</t>
        </is>
      </c>
    </row>
    <row r="502">
      <c r="A502" t="n">
        <v>13990512</v>
      </c>
      <c r="B502" t="n">
        <v>44045</v>
      </c>
      <c r="C502" t="inlineStr">
        <is>
          <t>1399/05/12</t>
        </is>
      </c>
      <c r="E502" t="n">
        <v>143909</v>
      </c>
      <c r="F502" t="n">
        <v>58766</v>
      </c>
      <c r="G502" t="n">
        <v>58795</v>
      </c>
      <c r="H502" t="inlineStr">
        <is>
          <t>آذر 1439</t>
        </is>
      </c>
    </row>
    <row r="503">
      <c r="A503" t="n">
        <v>13990513</v>
      </c>
      <c r="B503" t="n">
        <v>44046</v>
      </c>
      <c r="C503" t="inlineStr">
        <is>
          <t>1399/05/13</t>
        </is>
      </c>
      <c r="E503" t="n">
        <v>143910</v>
      </c>
      <c r="F503" t="n">
        <v>58796</v>
      </c>
      <c r="G503" t="n">
        <v>58825</v>
      </c>
      <c r="H503" t="inlineStr">
        <is>
          <t>دی 1439</t>
        </is>
      </c>
    </row>
    <row r="504">
      <c r="A504" t="n">
        <v>13990514</v>
      </c>
      <c r="B504" t="n">
        <v>44047</v>
      </c>
      <c r="C504" t="inlineStr">
        <is>
          <t>1399/05/14</t>
        </is>
      </c>
      <c r="E504" t="n">
        <v>143911</v>
      </c>
      <c r="F504" t="n">
        <v>58826</v>
      </c>
      <c r="G504" t="n">
        <v>58855</v>
      </c>
      <c r="H504" t="inlineStr">
        <is>
          <t>بهمن 1439</t>
        </is>
      </c>
    </row>
    <row r="505">
      <c r="A505" t="n">
        <v>13990515</v>
      </c>
      <c r="B505" t="n">
        <v>44048</v>
      </c>
      <c r="C505" t="inlineStr">
        <is>
          <t>1399/05/15</t>
        </is>
      </c>
      <c r="E505" t="n">
        <v>143912</v>
      </c>
      <c r="F505" t="n">
        <v>58856</v>
      </c>
      <c r="G505" t="n">
        <v>58884</v>
      </c>
      <c r="H505" t="inlineStr">
        <is>
          <t>اسفند 1439</t>
        </is>
      </c>
    </row>
    <row r="506">
      <c r="A506" t="n">
        <v>13990516</v>
      </c>
      <c r="B506" t="n">
        <v>44049</v>
      </c>
      <c r="C506" t="inlineStr">
        <is>
          <t>1399/05/16</t>
        </is>
      </c>
      <c r="E506" t="n">
        <v>144001</v>
      </c>
      <c r="F506" t="n">
        <v>58885</v>
      </c>
      <c r="G506" t="n">
        <v>58915</v>
      </c>
      <c r="H506" t="inlineStr">
        <is>
          <t>فروردین 1440</t>
        </is>
      </c>
    </row>
    <row r="507">
      <c r="A507" t="n">
        <v>13990517</v>
      </c>
      <c r="B507" t="n">
        <v>44050</v>
      </c>
      <c r="C507" t="inlineStr">
        <is>
          <t>1399/05/17</t>
        </is>
      </c>
      <c r="E507" t="n">
        <v>144002</v>
      </c>
      <c r="F507" t="n">
        <v>58916</v>
      </c>
      <c r="G507" t="n">
        <v>58946</v>
      </c>
      <c r="H507" t="inlineStr">
        <is>
          <t>اردیبهشت 1440</t>
        </is>
      </c>
    </row>
    <row r="508">
      <c r="A508" t="n">
        <v>13990518</v>
      </c>
      <c r="B508" t="n">
        <v>44051</v>
      </c>
      <c r="C508" t="inlineStr">
        <is>
          <t>1399/05/18</t>
        </is>
      </c>
      <c r="E508" t="n">
        <v>144003</v>
      </c>
      <c r="F508" t="n">
        <v>58947</v>
      </c>
      <c r="G508" t="n">
        <v>58977</v>
      </c>
      <c r="H508" t="inlineStr">
        <is>
          <t>خرداد 1440</t>
        </is>
      </c>
    </row>
    <row r="509">
      <c r="A509" t="n">
        <v>13990519</v>
      </c>
      <c r="B509" t="n">
        <v>44052</v>
      </c>
      <c r="C509" t="inlineStr">
        <is>
          <t>1399/05/19</t>
        </is>
      </c>
      <c r="E509" t="n">
        <v>144004</v>
      </c>
      <c r="F509" t="n">
        <v>58978</v>
      </c>
      <c r="G509" t="n">
        <v>59008</v>
      </c>
      <c r="H509" t="inlineStr">
        <is>
          <t>تیر 1440</t>
        </is>
      </c>
    </row>
    <row r="510">
      <c r="A510" t="n">
        <v>13990520</v>
      </c>
      <c r="B510" t="n">
        <v>44053</v>
      </c>
      <c r="C510" t="inlineStr">
        <is>
          <t>1399/05/20</t>
        </is>
      </c>
      <c r="E510" t="n">
        <v>144005</v>
      </c>
      <c r="F510" t="n">
        <v>59009</v>
      </c>
      <c r="G510" t="n">
        <v>59039</v>
      </c>
      <c r="H510" t="inlineStr">
        <is>
          <t>مرداد 1440</t>
        </is>
      </c>
    </row>
    <row r="511">
      <c r="A511" t="n">
        <v>13990521</v>
      </c>
      <c r="B511" t="n">
        <v>44054</v>
      </c>
      <c r="C511" t="inlineStr">
        <is>
          <t>1399/05/21</t>
        </is>
      </c>
      <c r="E511" t="n">
        <v>144006</v>
      </c>
      <c r="F511" t="n">
        <v>59040</v>
      </c>
      <c r="G511" t="n">
        <v>59070</v>
      </c>
      <c r="H511" t="inlineStr">
        <is>
          <t>شهریور 1440</t>
        </is>
      </c>
    </row>
    <row r="512">
      <c r="A512" t="n">
        <v>13990522</v>
      </c>
      <c r="B512" t="n">
        <v>44055</v>
      </c>
      <c r="C512" t="inlineStr">
        <is>
          <t>1399/05/22</t>
        </is>
      </c>
      <c r="E512" t="n">
        <v>144007</v>
      </c>
      <c r="F512" t="n">
        <v>59071</v>
      </c>
      <c r="G512" t="n">
        <v>59100</v>
      </c>
      <c r="H512" t="inlineStr">
        <is>
          <t>مهر 1440</t>
        </is>
      </c>
    </row>
    <row r="513">
      <c r="A513" t="n">
        <v>13990523</v>
      </c>
      <c r="B513" t="n">
        <v>44056</v>
      </c>
      <c r="C513" t="inlineStr">
        <is>
          <t>1399/05/23</t>
        </is>
      </c>
      <c r="E513" t="n">
        <v>144008</v>
      </c>
      <c r="F513" t="n">
        <v>59101</v>
      </c>
      <c r="G513" t="n">
        <v>59130</v>
      </c>
      <c r="H513" t="inlineStr">
        <is>
          <t>آبان 1440</t>
        </is>
      </c>
    </row>
    <row r="514">
      <c r="A514" t="n">
        <v>13990524</v>
      </c>
      <c r="B514" t="n">
        <v>44057</v>
      </c>
      <c r="C514" t="inlineStr">
        <is>
          <t>1399/05/24</t>
        </is>
      </c>
      <c r="E514" t="n">
        <v>144009</v>
      </c>
      <c r="F514" t="n">
        <v>59131</v>
      </c>
      <c r="G514" t="n">
        <v>59160</v>
      </c>
      <c r="H514" t="inlineStr">
        <is>
          <t>آذر 1440</t>
        </is>
      </c>
    </row>
    <row r="515">
      <c r="A515" t="n">
        <v>13990525</v>
      </c>
      <c r="B515" t="n">
        <v>44058</v>
      </c>
      <c r="C515" t="inlineStr">
        <is>
          <t>1399/05/25</t>
        </is>
      </c>
      <c r="E515" t="n">
        <v>144010</v>
      </c>
      <c r="F515" t="n">
        <v>59161</v>
      </c>
      <c r="G515" t="n">
        <v>59190</v>
      </c>
      <c r="H515" t="inlineStr">
        <is>
          <t>دی 1440</t>
        </is>
      </c>
    </row>
    <row r="516">
      <c r="A516" t="n">
        <v>13990526</v>
      </c>
      <c r="B516" t="n">
        <v>44059</v>
      </c>
      <c r="C516" t="inlineStr">
        <is>
          <t>1399/05/26</t>
        </is>
      </c>
      <c r="E516" t="n">
        <v>144011</v>
      </c>
      <c r="F516" t="n">
        <v>59191</v>
      </c>
      <c r="G516" t="n">
        <v>59220</v>
      </c>
      <c r="H516" t="inlineStr">
        <is>
          <t>بهمن 1440</t>
        </is>
      </c>
    </row>
    <row r="517">
      <c r="A517" t="n">
        <v>13990527</v>
      </c>
      <c r="B517" t="n">
        <v>44060</v>
      </c>
      <c r="C517" t="inlineStr">
        <is>
          <t>1399/05/27</t>
        </is>
      </c>
      <c r="E517" t="n">
        <v>144012</v>
      </c>
      <c r="F517" t="n">
        <v>59221</v>
      </c>
      <c r="G517" t="n">
        <v>59249</v>
      </c>
      <c r="H517" t="inlineStr">
        <is>
          <t>اسفند 1440</t>
        </is>
      </c>
    </row>
    <row r="518">
      <c r="A518" t="n">
        <v>13990528</v>
      </c>
      <c r="B518" t="n">
        <v>44061</v>
      </c>
      <c r="C518" t="inlineStr">
        <is>
          <t>1399/05/28</t>
        </is>
      </c>
      <c r="E518" t="n">
        <v>144101</v>
      </c>
      <c r="F518" t="n">
        <v>59250</v>
      </c>
      <c r="G518" t="n">
        <v>59280</v>
      </c>
      <c r="H518" t="inlineStr">
        <is>
          <t>فروردین 1441</t>
        </is>
      </c>
    </row>
    <row r="519">
      <c r="A519" t="n">
        <v>13990529</v>
      </c>
      <c r="B519" t="n">
        <v>44062</v>
      </c>
      <c r="C519" t="inlineStr">
        <is>
          <t>1399/05/29</t>
        </is>
      </c>
      <c r="E519" t="n">
        <v>144102</v>
      </c>
      <c r="F519" t="n">
        <v>59281</v>
      </c>
      <c r="G519" t="n">
        <v>59311</v>
      </c>
      <c r="H519" t="inlineStr">
        <is>
          <t>اردیبهشت 1441</t>
        </is>
      </c>
    </row>
    <row r="520">
      <c r="A520" t="n">
        <v>13990530</v>
      </c>
      <c r="B520" t="n">
        <v>44063</v>
      </c>
      <c r="C520" t="inlineStr">
        <is>
          <t>1399/05/30</t>
        </is>
      </c>
      <c r="E520" t="n">
        <v>144103</v>
      </c>
      <c r="F520" t="n">
        <v>59312</v>
      </c>
      <c r="G520" t="n">
        <v>59342</v>
      </c>
      <c r="H520" t="inlineStr">
        <is>
          <t>خرداد 1441</t>
        </is>
      </c>
    </row>
    <row r="521">
      <c r="A521" t="n">
        <v>13990531</v>
      </c>
      <c r="B521" t="n">
        <v>44064</v>
      </c>
      <c r="C521" t="inlineStr">
        <is>
          <t>1399/05/31</t>
        </is>
      </c>
      <c r="E521" t="n">
        <v>144104</v>
      </c>
      <c r="F521" t="n">
        <v>59343</v>
      </c>
      <c r="G521" t="n">
        <v>59373</v>
      </c>
      <c r="H521" t="inlineStr">
        <is>
          <t>تیر 1441</t>
        </is>
      </c>
    </row>
    <row r="522">
      <c r="A522" t="n">
        <v>13990601</v>
      </c>
      <c r="B522" t="n">
        <v>44065</v>
      </c>
      <c r="C522" t="inlineStr">
        <is>
          <t>1399/06/01</t>
        </is>
      </c>
      <c r="E522" t="n">
        <v>144105</v>
      </c>
      <c r="F522" t="n">
        <v>59374</v>
      </c>
      <c r="G522" t="n">
        <v>59404</v>
      </c>
      <c r="H522" t="inlineStr">
        <is>
          <t>مرداد 1441</t>
        </is>
      </c>
    </row>
    <row r="523">
      <c r="A523" t="n">
        <v>13990602</v>
      </c>
      <c r="B523" t="n">
        <v>44066</v>
      </c>
      <c r="C523" t="inlineStr">
        <is>
          <t>1399/06/02</t>
        </is>
      </c>
      <c r="E523" t="n">
        <v>144106</v>
      </c>
      <c r="F523" t="n">
        <v>59405</v>
      </c>
      <c r="G523" t="n">
        <v>59435</v>
      </c>
      <c r="H523" t="inlineStr">
        <is>
          <t>شهریور 1441</t>
        </is>
      </c>
    </row>
    <row r="524">
      <c r="A524" t="n">
        <v>13990603</v>
      </c>
      <c r="B524" t="n">
        <v>44067</v>
      </c>
      <c r="C524" t="inlineStr">
        <is>
          <t>1399/06/03</t>
        </is>
      </c>
      <c r="E524" t="n">
        <v>144107</v>
      </c>
      <c r="F524" t="n">
        <v>59436</v>
      </c>
      <c r="G524" t="n">
        <v>59465</v>
      </c>
      <c r="H524" t="inlineStr">
        <is>
          <t>مهر 1441</t>
        </is>
      </c>
    </row>
    <row r="525">
      <c r="A525" t="n">
        <v>13990604</v>
      </c>
      <c r="B525" t="n">
        <v>44068</v>
      </c>
      <c r="C525" t="inlineStr">
        <is>
          <t>1399/06/04</t>
        </is>
      </c>
      <c r="E525" t="n">
        <v>144108</v>
      </c>
      <c r="F525" t="n">
        <v>59466</v>
      </c>
      <c r="G525" t="n">
        <v>59495</v>
      </c>
      <c r="H525" t="inlineStr">
        <is>
          <t>آبان 1441</t>
        </is>
      </c>
    </row>
    <row r="526">
      <c r="A526" t="n">
        <v>13990605</v>
      </c>
      <c r="B526" t="n">
        <v>44069</v>
      </c>
      <c r="C526" t="inlineStr">
        <is>
          <t>1399/06/05</t>
        </is>
      </c>
      <c r="E526" t="n">
        <v>144109</v>
      </c>
      <c r="F526" t="n">
        <v>59496</v>
      </c>
      <c r="G526" t="n">
        <v>59525</v>
      </c>
      <c r="H526" t="inlineStr">
        <is>
          <t>آذر 1441</t>
        </is>
      </c>
    </row>
    <row r="527">
      <c r="A527" t="n">
        <v>13990606</v>
      </c>
      <c r="B527" t="n">
        <v>44070</v>
      </c>
      <c r="C527" t="inlineStr">
        <is>
          <t>1399/06/06</t>
        </is>
      </c>
      <c r="E527" t="n">
        <v>144110</v>
      </c>
      <c r="F527" t="n">
        <v>59526</v>
      </c>
      <c r="G527" t="n">
        <v>59555</v>
      </c>
      <c r="H527" t="inlineStr">
        <is>
          <t>دی 1441</t>
        </is>
      </c>
    </row>
    <row r="528">
      <c r="A528" t="n">
        <v>13990607</v>
      </c>
      <c r="B528" t="n">
        <v>44071</v>
      </c>
      <c r="C528" t="inlineStr">
        <is>
          <t>1399/06/07</t>
        </is>
      </c>
      <c r="E528" t="n">
        <v>144111</v>
      </c>
      <c r="F528" t="n">
        <v>59556</v>
      </c>
      <c r="G528" t="n">
        <v>59585</v>
      </c>
      <c r="H528" t="inlineStr">
        <is>
          <t>بهمن 1441</t>
        </is>
      </c>
    </row>
    <row r="529">
      <c r="A529" t="n">
        <v>13990608</v>
      </c>
      <c r="B529" t="n">
        <v>44072</v>
      </c>
      <c r="C529" t="inlineStr">
        <is>
          <t>1399/06/08</t>
        </is>
      </c>
      <c r="E529" t="n">
        <v>144112</v>
      </c>
      <c r="F529" t="n">
        <v>59586</v>
      </c>
      <c r="G529" t="n">
        <v>59615</v>
      </c>
      <c r="H529" t="inlineStr">
        <is>
          <t>اسفند 1441</t>
        </is>
      </c>
    </row>
    <row r="530">
      <c r="A530" t="n">
        <v>13990609</v>
      </c>
      <c r="B530" t="n">
        <v>44073</v>
      </c>
      <c r="C530" t="inlineStr">
        <is>
          <t>1399/06/09</t>
        </is>
      </c>
      <c r="E530" t="n">
        <v>144201</v>
      </c>
      <c r="F530" t="n">
        <v>59616</v>
      </c>
      <c r="G530" t="n">
        <v>59646</v>
      </c>
      <c r="H530" t="inlineStr">
        <is>
          <t>فروردین 1442</t>
        </is>
      </c>
    </row>
    <row r="531">
      <c r="A531" t="n">
        <v>13990610</v>
      </c>
      <c r="B531" t="n">
        <v>44074</v>
      </c>
      <c r="C531" t="inlineStr">
        <is>
          <t>1399/06/10</t>
        </is>
      </c>
      <c r="E531" t="n">
        <v>144202</v>
      </c>
      <c r="F531" t="n">
        <v>59647</v>
      </c>
      <c r="G531" t="n">
        <v>59677</v>
      </c>
      <c r="H531" t="inlineStr">
        <is>
          <t>اردیبهشت 1442</t>
        </is>
      </c>
    </row>
    <row r="532">
      <c r="A532" t="n">
        <v>13990611</v>
      </c>
      <c r="B532" t="n">
        <v>44075</v>
      </c>
      <c r="C532" t="inlineStr">
        <is>
          <t>1399/06/11</t>
        </is>
      </c>
      <c r="E532" t="n">
        <v>144203</v>
      </c>
      <c r="F532" t="n">
        <v>59678</v>
      </c>
      <c r="G532" t="n">
        <v>59708</v>
      </c>
      <c r="H532" t="inlineStr">
        <is>
          <t>خرداد 1442</t>
        </is>
      </c>
    </row>
    <row r="533">
      <c r="A533" t="n">
        <v>13990612</v>
      </c>
      <c r="B533" t="n">
        <v>44076</v>
      </c>
      <c r="C533" t="inlineStr">
        <is>
          <t>1399/06/12</t>
        </is>
      </c>
      <c r="E533" t="n">
        <v>144204</v>
      </c>
      <c r="F533" t="n">
        <v>59709</v>
      </c>
      <c r="G533" t="n">
        <v>59739</v>
      </c>
      <c r="H533" t="inlineStr">
        <is>
          <t>تیر 1442</t>
        </is>
      </c>
    </row>
    <row r="534">
      <c r="A534" t="n">
        <v>13990613</v>
      </c>
      <c r="B534" t="n">
        <v>44077</v>
      </c>
      <c r="C534" t="inlineStr">
        <is>
          <t>1399/06/13</t>
        </is>
      </c>
      <c r="E534" t="n">
        <v>144205</v>
      </c>
      <c r="F534" t="n">
        <v>59740</v>
      </c>
      <c r="G534" t="n">
        <v>59770</v>
      </c>
      <c r="H534" t="inlineStr">
        <is>
          <t>مرداد 1442</t>
        </is>
      </c>
    </row>
    <row r="535">
      <c r="A535" t="n">
        <v>13990614</v>
      </c>
      <c r="B535" t="n">
        <v>44078</v>
      </c>
      <c r="C535" t="inlineStr">
        <is>
          <t>1399/06/14</t>
        </is>
      </c>
      <c r="E535" t="n">
        <v>144206</v>
      </c>
      <c r="F535" t="n">
        <v>59771</v>
      </c>
      <c r="G535" t="n">
        <v>59801</v>
      </c>
      <c r="H535" t="inlineStr">
        <is>
          <t>شهریور 1442</t>
        </is>
      </c>
    </row>
    <row r="536">
      <c r="A536" t="n">
        <v>13990615</v>
      </c>
      <c r="B536" t="n">
        <v>44079</v>
      </c>
      <c r="C536" t="inlineStr">
        <is>
          <t>1399/06/15</t>
        </is>
      </c>
      <c r="E536" t="n">
        <v>144207</v>
      </c>
      <c r="F536" t="n">
        <v>59802</v>
      </c>
      <c r="G536" t="n">
        <v>59831</v>
      </c>
      <c r="H536" t="inlineStr">
        <is>
          <t>مهر 1442</t>
        </is>
      </c>
    </row>
    <row r="537">
      <c r="A537" t="n">
        <v>13990616</v>
      </c>
      <c r="B537" t="n">
        <v>44080</v>
      </c>
      <c r="C537" t="inlineStr">
        <is>
          <t>1399/06/16</t>
        </is>
      </c>
      <c r="E537" t="n">
        <v>144208</v>
      </c>
      <c r="F537" t="n">
        <v>59832</v>
      </c>
      <c r="G537" t="n">
        <v>59861</v>
      </c>
      <c r="H537" t="inlineStr">
        <is>
          <t>آبان 1442</t>
        </is>
      </c>
    </row>
    <row r="538">
      <c r="A538" t="n">
        <v>13990617</v>
      </c>
      <c r="B538" t="n">
        <v>44081</v>
      </c>
      <c r="C538" t="inlineStr">
        <is>
          <t>1399/06/17</t>
        </is>
      </c>
      <c r="E538" t="n">
        <v>144209</v>
      </c>
      <c r="F538" t="n">
        <v>59862</v>
      </c>
      <c r="G538" t="n">
        <v>59891</v>
      </c>
      <c r="H538" t="inlineStr">
        <is>
          <t>آذر 1442</t>
        </is>
      </c>
    </row>
    <row r="539">
      <c r="A539" t="n">
        <v>13990618</v>
      </c>
      <c r="B539" t="n">
        <v>44082</v>
      </c>
      <c r="C539" t="inlineStr">
        <is>
          <t>1399/06/18</t>
        </is>
      </c>
      <c r="E539" t="n">
        <v>144210</v>
      </c>
      <c r="F539" t="n">
        <v>59892</v>
      </c>
      <c r="G539" t="n">
        <v>59921</v>
      </c>
      <c r="H539" t="inlineStr">
        <is>
          <t>دی 1442</t>
        </is>
      </c>
    </row>
    <row r="540">
      <c r="A540" t="n">
        <v>13990619</v>
      </c>
      <c r="B540" t="n">
        <v>44083</v>
      </c>
      <c r="C540" t="inlineStr">
        <is>
          <t>1399/06/19</t>
        </is>
      </c>
      <c r="E540" t="n">
        <v>144211</v>
      </c>
      <c r="F540" t="n">
        <v>59922</v>
      </c>
      <c r="G540" t="n">
        <v>59951</v>
      </c>
      <c r="H540" t="inlineStr">
        <is>
          <t>بهمن 1442</t>
        </is>
      </c>
    </row>
    <row r="541">
      <c r="A541" t="n">
        <v>13990620</v>
      </c>
      <c r="B541" t="n">
        <v>44084</v>
      </c>
      <c r="C541" t="inlineStr">
        <is>
          <t>1399/06/20</t>
        </is>
      </c>
      <c r="E541" t="n">
        <v>144212</v>
      </c>
      <c r="F541" t="n">
        <v>59952</v>
      </c>
      <c r="G541" t="n">
        <v>59980</v>
      </c>
      <c r="H541" t="inlineStr">
        <is>
          <t>اسفند 1442</t>
        </is>
      </c>
    </row>
    <row r="542">
      <c r="A542" t="n">
        <v>13990621</v>
      </c>
      <c r="B542" t="n">
        <v>44085</v>
      </c>
      <c r="C542" t="inlineStr">
        <is>
          <t>1399/06/21</t>
        </is>
      </c>
      <c r="E542" t="n">
        <v>144301</v>
      </c>
      <c r="F542" t="n">
        <v>59981</v>
      </c>
      <c r="G542" t="n">
        <v>60011</v>
      </c>
      <c r="H542" t="inlineStr">
        <is>
          <t>فروردین 1443</t>
        </is>
      </c>
    </row>
    <row r="543">
      <c r="A543" t="n">
        <v>13990622</v>
      </c>
      <c r="B543" t="n">
        <v>44086</v>
      </c>
      <c r="C543" t="inlineStr">
        <is>
          <t>1399/06/22</t>
        </is>
      </c>
      <c r="E543" t="n">
        <v>144302</v>
      </c>
      <c r="F543" t="n">
        <v>60012</v>
      </c>
      <c r="G543" t="n">
        <v>60042</v>
      </c>
      <c r="H543" t="inlineStr">
        <is>
          <t>اردیبهشت 1443</t>
        </is>
      </c>
    </row>
    <row r="544">
      <c r="A544" t="n">
        <v>13990623</v>
      </c>
      <c r="B544" t="n">
        <v>44087</v>
      </c>
      <c r="C544" t="inlineStr">
        <is>
          <t>1399/06/23</t>
        </is>
      </c>
      <c r="E544" t="n">
        <v>144303</v>
      </c>
      <c r="F544" t="n">
        <v>60043</v>
      </c>
      <c r="G544" t="n">
        <v>60073</v>
      </c>
      <c r="H544" t="inlineStr">
        <is>
          <t>خرداد 1443</t>
        </is>
      </c>
    </row>
    <row r="545">
      <c r="A545" t="n">
        <v>13990624</v>
      </c>
      <c r="B545" t="n">
        <v>44088</v>
      </c>
      <c r="C545" t="inlineStr">
        <is>
          <t>1399/06/24</t>
        </is>
      </c>
      <c r="E545" t="n">
        <v>144304</v>
      </c>
      <c r="F545" t="n">
        <v>60074</v>
      </c>
      <c r="G545" t="n">
        <v>60104</v>
      </c>
      <c r="H545" t="inlineStr">
        <is>
          <t>تیر 1443</t>
        </is>
      </c>
    </row>
    <row r="546">
      <c r="A546" t="n">
        <v>13990625</v>
      </c>
      <c r="B546" t="n">
        <v>44089</v>
      </c>
      <c r="C546" t="inlineStr">
        <is>
          <t>1399/06/25</t>
        </is>
      </c>
      <c r="E546" t="n">
        <v>144305</v>
      </c>
      <c r="F546" t="n">
        <v>60105</v>
      </c>
      <c r="G546" t="n">
        <v>60135</v>
      </c>
      <c r="H546" t="inlineStr">
        <is>
          <t>مرداد 1443</t>
        </is>
      </c>
    </row>
    <row r="547">
      <c r="A547" t="n">
        <v>13990626</v>
      </c>
      <c r="B547" t="n">
        <v>44090</v>
      </c>
      <c r="C547" t="inlineStr">
        <is>
          <t>1399/06/26</t>
        </is>
      </c>
      <c r="E547" t="n">
        <v>144306</v>
      </c>
      <c r="F547" t="n">
        <v>60136</v>
      </c>
      <c r="G547" t="n">
        <v>60166</v>
      </c>
      <c r="H547" t="inlineStr">
        <is>
          <t>شهریور 1443</t>
        </is>
      </c>
    </row>
    <row r="548">
      <c r="A548" t="n">
        <v>13990627</v>
      </c>
      <c r="B548" t="n">
        <v>44091</v>
      </c>
      <c r="C548" t="inlineStr">
        <is>
          <t>1399/06/27</t>
        </is>
      </c>
      <c r="E548" t="n">
        <v>144307</v>
      </c>
      <c r="F548" t="n">
        <v>60167</v>
      </c>
      <c r="G548" t="n">
        <v>60196</v>
      </c>
      <c r="H548" t="inlineStr">
        <is>
          <t>مهر 1443</t>
        </is>
      </c>
    </row>
    <row r="549">
      <c r="A549" t="n">
        <v>13990628</v>
      </c>
      <c r="B549" t="n">
        <v>44092</v>
      </c>
      <c r="C549" t="inlineStr">
        <is>
          <t>1399/06/28</t>
        </is>
      </c>
      <c r="E549" t="n">
        <v>144308</v>
      </c>
      <c r="F549" t="n">
        <v>60197</v>
      </c>
      <c r="G549" t="n">
        <v>60226</v>
      </c>
      <c r="H549" t="inlineStr">
        <is>
          <t>آبان 1443</t>
        </is>
      </c>
    </row>
    <row r="550">
      <c r="A550" t="n">
        <v>13990629</v>
      </c>
      <c r="B550" t="n">
        <v>44093</v>
      </c>
      <c r="C550" t="inlineStr">
        <is>
          <t>1399/06/29</t>
        </is>
      </c>
      <c r="E550" t="n">
        <v>144309</v>
      </c>
      <c r="F550" t="n">
        <v>60227</v>
      </c>
      <c r="G550" t="n">
        <v>60256</v>
      </c>
      <c r="H550" t="inlineStr">
        <is>
          <t>آذر 1443</t>
        </is>
      </c>
    </row>
    <row r="551">
      <c r="A551" t="n">
        <v>13990630</v>
      </c>
      <c r="B551" t="n">
        <v>44094</v>
      </c>
      <c r="C551" t="inlineStr">
        <is>
          <t>1399/06/30</t>
        </is>
      </c>
      <c r="E551" t="n">
        <v>144310</v>
      </c>
      <c r="F551" t="n">
        <v>60257</v>
      </c>
      <c r="G551" t="n">
        <v>60286</v>
      </c>
      <c r="H551" t="inlineStr">
        <is>
          <t>دی 1443</t>
        </is>
      </c>
    </row>
    <row r="552">
      <c r="A552" t="n">
        <v>13990631</v>
      </c>
      <c r="B552" t="n">
        <v>44095</v>
      </c>
      <c r="C552" t="inlineStr">
        <is>
          <t>1399/06/31</t>
        </is>
      </c>
      <c r="E552" t="n">
        <v>144311</v>
      </c>
      <c r="F552" t="n">
        <v>60287</v>
      </c>
      <c r="G552" t="n">
        <v>60316</v>
      </c>
      <c r="H552" t="inlineStr">
        <is>
          <t>بهمن 1443</t>
        </is>
      </c>
    </row>
    <row r="553">
      <c r="A553" t="n">
        <v>13990701</v>
      </c>
      <c r="B553" t="n">
        <v>44096</v>
      </c>
      <c r="C553" t="inlineStr">
        <is>
          <t>1399/07/01</t>
        </is>
      </c>
      <c r="E553" t="n">
        <v>144312</v>
      </c>
      <c r="F553" t="n">
        <v>60317</v>
      </c>
      <c r="G553" t="n">
        <v>60345</v>
      </c>
      <c r="H553" t="inlineStr">
        <is>
          <t>اسفند 1443</t>
        </is>
      </c>
    </row>
    <row r="554">
      <c r="A554" t="n">
        <v>13990702</v>
      </c>
      <c r="B554" t="n">
        <v>44097</v>
      </c>
      <c r="C554" t="inlineStr">
        <is>
          <t>1399/07/02</t>
        </is>
      </c>
      <c r="E554" t="n">
        <v>144401</v>
      </c>
      <c r="F554" t="n">
        <v>60346</v>
      </c>
      <c r="G554" t="n">
        <v>60376</v>
      </c>
      <c r="H554" t="inlineStr">
        <is>
          <t>فروردین 1444</t>
        </is>
      </c>
    </row>
    <row r="555">
      <c r="A555" t="n">
        <v>13990703</v>
      </c>
      <c r="B555" t="n">
        <v>44098</v>
      </c>
      <c r="C555" t="inlineStr">
        <is>
          <t>1399/07/03</t>
        </is>
      </c>
      <c r="E555" t="n">
        <v>144402</v>
      </c>
      <c r="F555" t="n">
        <v>60377</v>
      </c>
      <c r="G555" t="n">
        <v>60407</v>
      </c>
      <c r="H555" t="inlineStr">
        <is>
          <t>اردیبهشت 1444</t>
        </is>
      </c>
    </row>
    <row r="556">
      <c r="A556" t="n">
        <v>13990704</v>
      </c>
      <c r="B556" t="n">
        <v>44099</v>
      </c>
      <c r="C556" t="inlineStr">
        <is>
          <t>1399/07/04</t>
        </is>
      </c>
      <c r="E556" t="n">
        <v>144403</v>
      </c>
      <c r="F556" t="n">
        <v>60408</v>
      </c>
      <c r="G556" t="n">
        <v>60438</v>
      </c>
      <c r="H556" t="inlineStr">
        <is>
          <t>خرداد 1444</t>
        </is>
      </c>
    </row>
    <row r="557">
      <c r="A557" t="n">
        <v>13990705</v>
      </c>
      <c r="B557" t="n">
        <v>44100</v>
      </c>
      <c r="C557" t="inlineStr">
        <is>
          <t>1399/07/05</t>
        </is>
      </c>
      <c r="E557" t="n">
        <v>144404</v>
      </c>
      <c r="F557" t="n">
        <v>60439</v>
      </c>
      <c r="G557" t="n">
        <v>60469</v>
      </c>
      <c r="H557" t="inlineStr">
        <is>
          <t>تیر 1444</t>
        </is>
      </c>
    </row>
    <row r="558">
      <c r="A558" t="n">
        <v>13990706</v>
      </c>
      <c r="B558" t="n">
        <v>44101</v>
      </c>
      <c r="C558" t="inlineStr">
        <is>
          <t>1399/07/06</t>
        </is>
      </c>
      <c r="E558" t="n">
        <v>144405</v>
      </c>
      <c r="F558" t="n">
        <v>60470</v>
      </c>
      <c r="G558" t="n">
        <v>60500</v>
      </c>
      <c r="H558" t="inlineStr">
        <is>
          <t>مرداد 1444</t>
        </is>
      </c>
    </row>
    <row r="559">
      <c r="A559" t="n">
        <v>13990707</v>
      </c>
      <c r="B559" t="n">
        <v>44102</v>
      </c>
      <c r="C559" t="inlineStr">
        <is>
          <t>1399/07/07</t>
        </is>
      </c>
      <c r="E559" t="n">
        <v>144406</v>
      </c>
      <c r="F559" t="n">
        <v>60501</v>
      </c>
      <c r="G559" t="n">
        <v>60531</v>
      </c>
      <c r="H559" t="inlineStr">
        <is>
          <t>شهریور 1444</t>
        </is>
      </c>
    </row>
    <row r="560">
      <c r="A560" t="n">
        <v>13990708</v>
      </c>
      <c r="B560" t="n">
        <v>44103</v>
      </c>
      <c r="C560" t="inlineStr">
        <is>
          <t>1399/07/08</t>
        </is>
      </c>
      <c r="E560" t="n">
        <v>144407</v>
      </c>
      <c r="F560" t="n">
        <v>60532</v>
      </c>
      <c r="G560" t="n">
        <v>60561</v>
      </c>
      <c r="H560" t="inlineStr">
        <is>
          <t>مهر 1444</t>
        </is>
      </c>
    </row>
    <row r="561">
      <c r="A561" t="n">
        <v>13990709</v>
      </c>
      <c r="B561" t="n">
        <v>44104</v>
      </c>
      <c r="C561" t="inlineStr">
        <is>
          <t>1399/07/09</t>
        </is>
      </c>
      <c r="E561" t="n">
        <v>144408</v>
      </c>
      <c r="F561" t="n">
        <v>60562</v>
      </c>
      <c r="G561" t="n">
        <v>60591</v>
      </c>
      <c r="H561" t="inlineStr">
        <is>
          <t>آبان 1444</t>
        </is>
      </c>
    </row>
    <row r="562">
      <c r="A562" t="n">
        <v>13990710</v>
      </c>
      <c r="B562" t="n">
        <v>44105</v>
      </c>
      <c r="C562" t="inlineStr">
        <is>
          <t>1399/07/10</t>
        </is>
      </c>
      <c r="E562" t="n">
        <v>144409</v>
      </c>
      <c r="F562" t="n">
        <v>60592</v>
      </c>
      <c r="G562" t="n">
        <v>60621</v>
      </c>
      <c r="H562" t="inlineStr">
        <is>
          <t>آذر 1444</t>
        </is>
      </c>
    </row>
    <row r="563">
      <c r="A563" t="n">
        <v>13990711</v>
      </c>
      <c r="B563" t="n">
        <v>44106</v>
      </c>
      <c r="C563" t="inlineStr">
        <is>
          <t>1399/07/11</t>
        </is>
      </c>
      <c r="E563" t="n">
        <v>144410</v>
      </c>
      <c r="F563" t="n">
        <v>60622</v>
      </c>
      <c r="G563" t="n">
        <v>60651</v>
      </c>
      <c r="H563" t="inlineStr">
        <is>
          <t>دی 1444</t>
        </is>
      </c>
    </row>
    <row r="564">
      <c r="A564" t="n">
        <v>13990712</v>
      </c>
      <c r="B564" t="n">
        <v>44107</v>
      </c>
      <c r="C564" t="inlineStr">
        <is>
          <t>1399/07/12</t>
        </is>
      </c>
      <c r="E564" t="n">
        <v>144411</v>
      </c>
      <c r="F564" t="n">
        <v>60652</v>
      </c>
      <c r="G564" t="n">
        <v>60681</v>
      </c>
      <c r="H564" t="inlineStr">
        <is>
          <t>بهمن 1444</t>
        </is>
      </c>
    </row>
    <row r="565">
      <c r="A565" t="n">
        <v>13990713</v>
      </c>
      <c r="B565" t="n">
        <v>44108</v>
      </c>
      <c r="C565" t="inlineStr">
        <is>
          <t>1399/07/13</t>
        </is>
      </c>
      <c r="E565" t="n">
        <v>144412</v>
      </c>
      <c r="F565" t="n">
        <v>60682</v>
      </c>
      <c r="G565" t="n">
        <v>60710</v>
      </c>
      <c r="H565" t="inlineStr">
        <is>
          <t>اسفند 1444</t>
        </is>
      </c>
    </row>
    <row r="566">
      <c r="A566" t="n">
        <v>13990714</v>
      </c>
      <c r="B566" t="n">
        <v>44109</v>
      </c>
      <c r="C566" t="inlineStr">
        <is>
          <t>1399/07/14</t>
        </is>
      </c>
      <c r="E566" t="n">
        <v>144501</v>
      </c>
      <c r="F566" t="n">
        <v>60711</v>
      </c>
      <c r="G566" t="n">
        <v>60741</v>
      </c>
      <c r="H566" t="inlineStr">
        <is>
          <t>فروردین 1445</t>
        </is>
      </c>
    </row>
    <row r="567">
      <c r="A567" t="n">
        <v>13990715</v>
      </c>
      <c r="B567" t="n">
        <v>44110</v>
      </c>
      <c r="C567" t="inlineStr">
        <is>
          <t>1399/07/15</t>
        </is>
      </c>
      <c r="E567" t="n">
        <v>144502</v>
      </c>
      <c r="F567" t="n">
        <v>60742</v>
      </c>
      <c r="G567" t="n">
        <v>60772</v>
      </c>
      <c r="H567" t="inlineStr">
        <is>
          <t>اردیبهشت 1445</t>
        </is>
      </c>
    </row>
    <row r="568">
      <c r="A568" t="n">
        <v>13990716</v>
      </c>
      <c r="B568" t="n">
        <v>44111</v>
      </c>
      <c r="C568" t="inlineStr">
        <is>
          <t>1399/07/16</t>
        </is>
      </c>
      <c r="E568" t="n">
        <v>144503</v>
      </c>
      <c r="F568" t="n">
        <v>60773</v>
      </c>
      <c r="G568" t="n">
        <v>60803</v>
      </c>
      <c r="H568" t="inlineStr">
        <is>
          <t>خرداد 1445</t>
        </is>
      </c>
    </row>
    <row r="569">
      <c r="A569" t="n">
        <v>13990717</v>
      </c>
      <c r="B569" t="n">
        <v>44112</v>
      </c>
      <c r="C569" t="inlineStr">
        <is>
          <t>1399/07/17</t>
        </is>
      </c>
      <c r="E569" t="n">
        <v>144504</v>
      </c>
      <c r="F569" t="n">
        <v>60804</v>
      </c>
      <c r="G569" t="n">
        <v>60834</v>
      </c>
      <c r="H569" t="inlineStr">
        <is>
          <t>تیر 1445</t>
        </is>
      </c>
    </row>
    <row r="570">
      <c r="A570" t="n">
        <v>13990718</v>
      </c>
      <c r="B570" t="n">
        <v>44113</v>
      </c>
      <c r="C570" t="inlineStr">
        <is>
          <t>1399/07/18</t>
        </is>
      </c>
      <c r="E570" t="n">
        <v>144505</v>
      </c>
      <c r="F570" t="n">
        <v>60835</v>
      </c>
      <c r="G570" t="n">
        <v>60865</v>
      </c>
      <c r="H570" t="inlineStr">
        <is>
          <t>مرداد 1445</t>
        </is>
      </c>
    </row>
    <row r="571">
      <c r="A571" t="n">
        <v>13990719</v>
      </c>
      <c r="B571" t="n">
        <v>44114</v>
      </c>
      <c r="C571" t="inlineStr">
        <is>
          <t>1399/07/19</t>
        </is>
      </c>
      <c r="E571" t="n">
        <v>144506</v>
      </c>
      <c r="F571" t="n">
        <v>60866</v>
      </c>
      <c r="G571" t="n">
        <v>60896</v>
      </c>
      <c r="H571" t="inlineStr">
        <is>
          <t>شهریور 1445</t>
        </is>
      </c>
    </row>
    <row r="572">
      <c r="A572" t="n">
        <v>13990720</v>
      </c>
      <c r="B572" t="n">
        <v>44115</v>
      </c>
      <c r="C572" t="inlineStr">
        <is>
          <t>1399/07/20</t>
        </is>
      </c>
      <c r="E572" t="n">
        <v>144507</v>
      </c>
      <c r="F572" t="n">
        <v>60897</v>
      </c>
      <c r="G572" t="n">
        <v>60926</v>
      </c>
      <c r="H572" t="inlineStr">
        <is>
          <t>مهر 1445</t>
        </is>
      </c>
    </row>
    <row r="573">
      <c r="A573" t="n">
        <v>13990721</v>
      </c>
      <c r="B573" t="n">
        <v>44116</v>
      </c>
      <c r="C573" t="inlineStr">
        <is>
          <t>1399/07/21</t>
        </is>
      </c>
      <c r="E573" t="n">
        <v>144508</v>
      </c>
      <c r="F573" t="n">
        <v>60927</v>
      </c>
      <c r="G573" t="n">
        <v>60956</v>
      </c>
      <c r="H573" t="inlineStr">
        <is>
          <t>آبان 1445</t>
        </is>
      </c>
    </row>
    <row r="574">
      <c r="A574" t="n">
        <v>13990722</v>
      </c>
      <c r="B574" t="n">
        <v>44117</v>
      </c>
      <c r="C574" t="inlineStr">
        <is>
          <t>1399/07/22</t>
        </is>
      </c>
      <c r="E574" t="n">
        <v>144509</v>
      </c>
      <c r="F574" t="n">
        <v>60957</v>
      </c>
      <c r="G574" t="n">
        <v>60986</v>
      </c>
      <c r="H574" t="inlineStr">
        <is>
          <t>آذر 1445</t>
        </is>
      </c>
    </row>
    <row r="575">
      <c r="A575" t="n">
        <v>13990723</v>
      </c>
      <c r="B575" t="n">
        <v>44118</v>
      </c>
      <c r="C575" t="inlineStr">
        <is>
          <t>1399/07/23</t>
        </is>
      </c>
      <c r="E575" t="n">
        <v>144510</v>
      </c>
      <c r="F575" t="n">
        <v>60987</v>
      </c>
      <c r="G575" t="n">
        <v>61016</v>
      </c>
      <c r="H575" t="inlineStr">
        <is>
          <t>دی 1445</t>
        </is>
      </c>
    </row>
    <row r="576">
      <c r="A576" t="n">
        <v>13990724</v>
      </c>
      <c r="B576" t="n">
        <v>44119</v>
      </c>
      <c r="C576" t="inlineStr">
        <is>
          <t>1399/07/24</t>
        </is>
      </c>
      <c r="E576" t="n">
        <v>144511</v>
      </c>
      <c r="F576" t="n">
        <v>61017</v>
      </c>
      <c r="G576" t="n">
        <v>61046</v>
      </c>
      <c r="H576" t="inlineStr">
        <is>
          <t>بهمن 1445</t>
        </is>
      </c>
    </row>
    <row r="577">
      <c r="A577" t="n">
        <v>13990725</v>
      </c>
      <c r="B577" t="n">
        <v>44120</v>
      </c>
      <c r="C577" t="inlineStr">
        <is>
          <t>1399/07/25</t>
        </is>
      </c>
      <c r="E577" t="n">
        <v>144512</v>
      </c>
      <c r="F577" t="n">
        <v>61047</v>
      </c>
      <c r="G577" t="n">
        <v>61076</v>
      </c>
      <c r="H577" t="inlineStr">
        <is>
          <t>اسفند 1445</t>
        </is>
      </c>
    </row>
    <row r="578">
      <c r="A578" t="n">
        <v>13990726</v>
      </c>
      <c r="B578" t="n">
        <v>44121</v>
      </c>
      <c r="C578" t="inlineStr">
        <is>
          <t>1399/07/26</t>
        </is>
      </c>
      <c r="E578" t="n">
        <v>144601</v>
      </c>
      <c r="F578" t="n">
        <v>61077</v>
      </c>
      <c r="G578" t="n">
        <v>61107</v>
      </c>
      <c r="H578" t="inlineStr">
        <is>
          <t>فروردین 1446</t>
        </is>
      </c>
    </row>
    <row r="579">
      <c r="A579" t="n">
        <v>13990727</v>
      </c>
      <c r="B579" t="n">
        <v>44122</v>
      </c>
      <c r="C579" t="inlineStr">
        <is>
          <t>1399/07/27</t>
        </is>
      </c>
      <c r="E579" t="n">
        <v>144602</v>
      </c>
      <c r="F579" t="n">
        <v>61108</v>
      </c>
      <c r="G579" t="n">
        <v>61138</v>
      </c>
      <c r="H579" t="inlineStr">
        <is>
          <t>اردیبهشت 1446</t>
        </is>
      </c>
    </row>
    <row r="580">
      <c r="A580" t="n">
        <v>13990728</v>
      </c>
      <c r="B580" t="n">
        <v>44123</v>
      </c>
      <c r="C580" t="inlineStr">
        <is>
          <t>1399/07/28</t>
        </is>
      </c>
      <c r="E580" t="n">
        <v>144603</v>
      </c>
      <c r="F580" t="n">
        <v>61139</v>
      </c>
      <c r="G580" t="n">
        <v>61169</v>
      </c>
      <c r="H580" t="inlineStr">
        <is>
          <t>خرداد 1446</t>
        </is>
      </c>
    </row>
    <row r="581">
      <c r="A581" t="n">
        <v>13990729</v>
      </c>
      <c r="B581" t="n">
        <v>44124</v>
      </c>
      <c r="C581" t="inlineStr">
        <is>
          <t>1399/07/29</t>
        </is>
      </c>
      <c r="E581" t="n">
        <v>144604</v>
      </c>
      <c r="F581" t="n">
        <v>61170</v>
      </c>
      <c r="G581" t="n">
        <v>61200</v>
      </c>
      <c r="H581" t="inlineStr">
        <is>
          <t>تیر 1446</t>
        </is>
      </c>
    </row>
    <row r="582">
      <c r="A582" t="n">
        <v>13990730</v>
      </c>
      <c r="B582" t="n">
        <v>44125</v>
      </c>
      <c r="C582" t="inlineStr">
        <is>
          <t>1399/07/30</t>
        </is>
      </c>
      <c r="E582" t="n">
        <v>144605</v>
      </c>
      <c r="F582" t="n">
        <v>61201</v>
      </c>
      <c r="G582" t="n">
        <v>61231</v>
      </c>
      <c r="H582" t="inlineStr">
        <is>
          <t>مرداد 1446</t>
        </is>
      </c>
    </row>
    <row r="583">
      <c r="A583" t="n">
        <v>13990801</v>
      </c>
      <c r="B583" t="n">
        <v>44126</v>
      </c>
      <c r="C583" t="inlineStr">
        <is>
          <t>1399/08/01</t>
        </is>
      </c>
      <c r="E583" t="n">
        <v>144606</v>
      </c>
      <c r="F583" t="n">
        <v>61232</v>
      </c>
      <c r="G583" t="n">
        <v>61262</v>
      </c>
      <c r="H583" t="inlineStr">
        <is>
          <t>شهریور 1446</t>
        </is>
      </c>
    </row>
    <row r="584">
      <c r="A584" t="n">
        <v>13990802</v>
      </c>
      <c r="B584" t="n">
        <v>44127</v>
      </c>
      <c r="C584" t="inlineStr">
        <is>
          <t>1399/08/02</t>
        </is>
      </c>
      <c r="E584" t="n">
        <v>144607</v>
      </c>
      <c r="F584" t="n">
        <v>61263</v>
      </c>
      <c r="G584" t="n">
        <v>61292</v>
      </c>
      <c r="H584" t="inlineStr">
        <is>
          <t>مهر 1446</t>
        </is>
      </c>
    </row>
    <row r="585">
      <c r="A585" t="n">
        <v>13990803</v>
      </c>
      <c r="B585" t="n">
        <v>44128</v>
      </c>
      <c r="C585" t="inlineStr">
        <is>
          <t>1399/08/03</t>
        </is>
      </c>
      <c r="E585" t="n">
        <v>144608</v>
      </c>
      <c r="F585" t="n">
        <v>61293</v>
      </c>
      <c r="G585" t="n">
        <v>61322</v>
      </c>
      <c r="H585" t="inlineStr">
        <is>
          <t>آبان 1446</t>
        </is>
      </c>
    </row>
    <row r="586">
      <c r="A586" t="n">
        <v>13990804</v>
      </c>
      <c r="B586" t="n">
        <v>44129</v>
      </c>
      <c r="C586" t="inlineStr">
        <is>
          <t>1399/08/04</t>
        </is>
      </c>
      <c r="E586" t="n">
        <v>144609</v>
      </c>
      <c r="F586" t="n">
        <v>61323</v>
      </c>
      <c r="G586" t="n">
        <v>61352</v>
      </c>
      <c r="H586" t="inlineStr">
        <is>
          <t>آذر 1446</t>
        </is>
      </c>
    </row>
    <row r="587">
      <c r="A587" t="n">
        <v>13990805</v>
      </c>
      <c r="B587" t="n">
        <v>44130</v>
      </c>
      <c r="C587" t="inlineStr">
        <is>
          <t>1399/08/05</t>
        </is>
      </c>
      <c r="E587" t="n">
        <v>144610</v>
      </c>
      <c r="F587" t="n">
        <v>61353</v>
      </c>
      <c r="G587" t="n">
        <v>61382</v>
      </c>
      <c r="H587" t="inlineStr">
        <is>
          <t>دی 1446</t>
        </is>
      </c>
    </row>
    <row r="588">
      <c r="A588" t="n">
        <v>13990806</v>
      </c>
      <c r="B588" t="n">
        <v>44131</v>
      </c>
      <c r="C588" t="inlineStr">
        <is>
          <t>1399/08/06</t>
        </is>
      </c>
      <c r="E588" t="n">
        <v>144611</v>
      </c>
      <c r="F588" t="n">
        <v>61383</v>
      </c>
      <c r="G588" t="n">
        <v>61412</v>
      </c>
      <c r="H588" t="inlineStr">
        <is>
          <t>بهمن 1446</t>
        </is>
      </c>
    </row>
    <row r="589">
      <c r="A589" t="n">
        <v>13990807</v>
      </c>
      <c r="B589" t="n">
        <v>44132</v>
      </c>
      <c r="C589" t="inlineStr">
        <is>
          <t>1399/08/07</t>
        </is>
      </c>
      <c r="E589" t="n">
        <v>144612</v>
      </c>
      <c r="F589" t="n">
        <v>61413</v>
      </c>
      <c r="G589" t="n">
        <v>61441</v>
      </c>
      <c r="H589" t="inlineStr">
        <is>
          <t>اسفند 1446</t>
        </is>
      </c>
    </row>
    <row r="590">
      <c r="A590" t="n">
        <v>13990808</v>
      </c>
      <c r="B590" t="n">
        <v>44133</v>
      </c>
      <c r="C590" t="inlineStr">
        <is>
          <t>1399/08/08</t>
        </is>
      </c>
      <c r="E590" t="n">
        <v>144701</v>
      </c>
      <c r="F590" t="n">
        <v>61442</v>
      </c>
      <c r="G590" t="n">
        <v>61472</v>
      </c>
      <c r="H590" t="inlineStr">
        <is>
          <t>فروردین 1447</t>
        </is>
      </c>
    </row>
    <row r="591">
      <c r="A591" t="n">
        <v>13990809</v>
      </c>
      <c r="B591" t="n">
        <v>44134</v>
      </c>
      <c r="C591" t="inlineStr">
        <is>
          <t>1399/08/09</t>
        </is>
      </c>
      <c r="E591" t="n">
        <v>144702</v>
      </c>
      <c r="F591" t="n">
        <v>61473</v>
      </c>
      <c r="G591" t="n">
        <v>61503</v>
      </c>
      <c r="H591" t="inlineStr">
        <is>
          <t>اردیبهشت 1447</t>
        </is>
      </c>
    </row>
    <row r="592">
      <c r="A592" t="n">
        <v>13990810</v>
      </c>
      <c r="B592" t="n">
        <v>44135</v>
      </c>
      <c r="C592" t="inlineStr">
        <is>
          <t>1399/08/10</t>
        </is>
      </c>
      <c r="E592" t="n">
        <v>144703</v>
      </c>
      <c r="F592" t="n">
        <v>61504</v>
      </c>
      <c r="G592" t="n">
        <v>61534</v>
      </c>
      <c r="H592" t="inlineStr">
        <is>
          <t>خرداد 1447</t>
        </is>
      </c>
    </row>
    <row r="593">
      <c r="A593" t="n">
        <v>13990811</v>
      </c>
      <c r="B593" t="n">
        <v>44136</v>
      </c>
      <c r="C593" t="inlineStr">
        <is>
          <t>1399/08/11</t>
        </is>
      </c>
      <c r="E593" t="n">
        <v>144704</v>
      </c>
      <c r="F593" t="n">
        <v>61535</v>
      </c>
      <c r="G593" t="n">
        <v>61565</v>
      </c>
      <c r="H593" t="inlineStr">
        <is>
          <t>تیر 1447</t>
        </is>
      </c>
    </row>
    <row r="594">
      <c r="A594" t="n">
        <v>13990812</v>
      </c>
      <c r="B594" t="n">
        <v>44137</v>
      </c>
      <c r="C594" t="inlineStr">
        <is>
          <t>1399/08/12</t>
        </is>
      </c>
      <c r="E594" t="n">
        <v>144705</v>
      </c>
      <c r="F594" t="n">
        <v>61566</v>
      </c>
      <c r="G594" t="n">
        <v>61596</v>
      </c>
      <c r="H594" t="inlineStr">
        <is>
          <t>مرداد 1447</t>
        </is>
      </c>
    </row>
    <row r="595">
      <c r="A595" t="n">
        <v>13990813</v>
      </c>
      <c r="B595" t="n">
        <v>44138</v>
      </c>
      <c r="C595" t="inlineStr">
        <is>
          <t>1399/08/13</t>
        </is>
      </c>
      <c r="E595" t="n">
        <v>144706</v>
      </c>
      <c r="F595" t="n">
        <v>61597</v>
      </c>
      <c r="G595" t="n">
        <v>61627</v>
      </c>
      <c r="H595" t="inlineStr">
        <is>
          <t>شهریور 1447</t>
        </is>
      </c>
    </row>
    <row r="596">
      <c r="A596" t="n">
        <v>13990814</v>
      </c>
      <c r="B596" t="n">
        <v>44139</v>
      </c>
      <c r="C596" t="inlineStr">
        <is>
          <t>1399/08/14</t>
        </is>
      </c>
      <c r="E596" t="n">
        <v>144707</v>
      </c>
      <c r="F596" t="n">
        <v>61628</v>
      </c>
      <c r="G596" t="n">
        <v>61657</v>
      </c>
      <c r="H596" t="inlineStr">
        <is>
          <t>مهر 1447</t>
        </is>
      </c>
    </row>
    <row r="597">
      <c r="A597" t="n">
        <v>13990815</v>
      </c>
      <c r="B597" t="n">
        <v>44140</v>
      </c>
      <c r="C597" t="inlineStr">
        <is>
          <t>1399/08/15</t>
        </is>
      </c>
      <c r="E597" t="n">
        <v>144708</v>
      </c>
      <c r="F597" t="n">
        <v>61658</v>
      </c>
      <c r="G597" t="n">
        <v>61687</v>
      </c>
      <c r="H597" t="inlineStr">
        <is>
          <t>آبان 1447</t>
        </is>
      </c>
    </row>
    <row r="598">
      <c r="A598" t="n">
        <v>13990816</v>
      </c>
      <c r="B598" t="n">
        <v>44141</v>
      </c>
      <c r="C598" t="inlineStr">
        <is>
          <t>1399/08/16</t>
        </is>
      </c>
      <c r="E598" t="n">
        <v>144709</v>
      </c>
      <c r="F598" t="n">
        <v>61688</v>
      </c>
      <c r="G598" t="n">
        <v>61717</v>
      </c>
      <c r="H598" t="inlineStr">
        <is>
          <t>آذر 1447</t>
        </is>
      </c>
    </row>
    <row r="599">
      <c r="A599" t="n">
        <v>13990817</v>
      </c>
      <c r="B599" t="n">
        <v>44142</v>
      </c>
      <c r="C599" t="inlineStr">
        <is>
          <t>1399/08/17</t>
        </is>
      </c>
      <c r="E599" t="n">
        <v>144710</v>
      </c>
      <c r="F599" t="n">
        <v>61718</v>
      </c>
      <c r="G599" t="n">
        <v>61747</v>
      </c>
      <c r="H599" t="inlineStr">
        <is>
          <t>دی 1447</t>
        </is>
      </c>
    </row>
    <row r="600">
      <c r="A600" t="n">
        <v>13990818</v>
      </c>
      <c r="B600" t="n">
        <v>44143</v>
      </c>
      <c r="C600" t="inlineStr">
        <is>
          <t>1399/08/18</t>
        </is>
      </c>
      <c r="E600" t="n">
        <v>144711</v>
      </c>
      <c r="F600" t="n">
        <v>61748</v>
      </c>
      <c r="G600" t="n">
        <v>61777</v>
      </c>
      <c r="H600" t="inlineStr">
        <is>
          <t>بهمن 1447</t>
        </is>
      </c>
    </row>
    <row r="601">
      <c r="A601" t="n">
        <v>13990819</v>
      </c>
      <c r="B601" t="n">
        <v>44144</v>
      </c>
      <c r="C601" t="inlineStr">
        <is>
          <t>1399/08/19</t>
        </is>
      </c>
      <c r="E601" t="n">
        <v>144712</v>
      </c>
      <c r="F601" t="n">
        <v>61778</v>
      </c>
      <c r="G601" t="n">
        <v>61806</v>
      </c>
      <c r="H601" t="inlineStr">
        <is>
          <t>اسفند 1447</t>
        </is>
      </c>
    </row>
    <row r="602">
      <c r="A602" t="n">
        <v>13990820</v>
      </c>
      <c r="B602" t="n">
        <v>44145</v>
      </c>
      <c r="C602" t="inlineStr">
        <is>
          <t>1399/08/20</t>
        </is>
      </c>
      <c r="E602" t="n">
        <v>144801</v>
      </c>
      <c r="F602" t="n">
        <v>61807</v>
      </c>
      <c r="G602" t="n">
        <v>61837</v>
      </c>
      <c r="H602" t="inlineStr">
        <is>
          <t>فروردین 1448</t>
        </is>
      </c>
    </row>
    <row r="603">
      <c r="A603" t="n">
        <v>13990821</v>
      </c>
      <c r="B603" t="n">
        <v>44146</v>
      </c>
      <c r="C603" t="inlineStr">
        <is>
          <t>1399/08/21</t>
        </is>
      </c>
      <c r="E603" t="n">
        <v>144802</v>
      </c>
      <c r="F603" t="n">
        <v>61838</v>
      </c>
      <c r="G603" t="n">
        <v>61868</v>
      </c>
      <c r="H603" t="inlineStr">
        <is>
          <t>اردیبهشت 1448</t>
        </is>
      </c>
    </row>
    <row r="604">
      <c r="A604" t="n">
        <v>13990822</v>
      </c>
      <c r="B604" t="n">
        <v>44147</v>
      </c>
      <c r="C604" t="inlineStr">
        <is>
          <t>1399/08/22</t>
        </is>
      </c>
      <c r="E604" t="n">
        <v>144803</v>
      </c>
      <c r="F604" t="n">
        <v>61869</v>
      </c>
      <c r="G604" t="n">
        <v>61899</v>
      </c>
      <c r="H604" t="inlineStr">
        <is>
          <t>خرداد 1448</t>
        </is>
      </c>
    </row>
    <row r="605">
      <c r="A605" t="n">
        <v>13990823</v>
      </c>
      <c r="B605" t="n">
        <v>44148</v>
      </c>
      <c r="C605" t="inlineStr">
        <is>
          <t>1399/08/23</t>
        </is>
      </c>
      <c r="E605" t="n">
        <v>144804</v>
      </c>
      <c r="F605" t="n">
        <v>61900</v>
      </c>
      <c r="G605" t="n">
        <v>61930</v>
      </c>
      <c r="H605" t="inlineStr">
        <is>
          <t>تیر 1448</t>
        </is>
      </c>
    </row>
    <row r="606">
      <c r="A606" t="n">
        <v>13990824</v>
      </c>
      <c r="B606" t="n">
        <v>44149</v>
      </c>
      <c r="C606" t="inlineStr">
        <is>
          <t>1399/08/24</t>
        </is>
      </c>
      <c r="E606" t="n">
        <v>144805</v>
      </c>
      <c r="F606" t="n">
        <v>61931</v>
      </c>
      <c r="G606" t="n">
        <v>61961</v>
      </c>
      <c r="H606" t="inlineStr">
        <is>
          <t>مرداد 1448</t>
        </is>
      </c>
    </row>
    <row r="607">
      <c r="A607" t="n">
        <v>13990825</v>
      </c>
      <c r="B607" t="n">
        <v>44150</v>
      </c>
      <c r="C607" t="inlineStr">
        <is>
          <t>1399/08/25</t>
        </is>
      </c>
      <c r="E607" t="n">
        <v>144806</v>
      </c>
      <c r="F607" t="n">
        <v>61962</v>
      </c>
      <c r="G607" t="n">
        <v>61992</v>
      </c>
      <c r="H607" t="inlineStr">
        <is>
          <t>شهریور 1448</t>
        </is>
      </c>
    </row>
    <row r="608">
      <c r="A608" t="n">
        <v>13990826</v>
      </c>
      <c r="B608" t="n">
        <v>44151</v>
      </c>
      <c r="C608" t="inlineStr">
        <is>
          <t>1399/08/26</t>
        </is>
      </c>
      <c r="E608" t="n">
        <v>144807</v>
      </c>
      <c r="F608" t="n">
        <v>61993</v>
      </c>
      <c r="G608" t="n">
        <v>62022</v>
      </c>
      <c r="H608" t="inlineStr">
        <is>
          <t>مهر 1448</t>
        </is>
      </c>
    </row>
    <row r="609">
      <c r="A609" t="n">
        <v>13990827</v>
      </c>
      <c r="B609" t="n">
        <v>44152</v>
      </c>
      <c r="C609" t="inlineStr">
        <is>
          <t>1399/08/27</t>
        </is>
      </c>
      <c r="E609" t="n">
        <v>144808</v>
      </c>
      <c r="F609" t="n">
        <v>62023</v>
      </c>
      <c r="G609" t="n">
        <v>62052</v>
      </c>
      <c r="H609" t="inlineStr">
        <is>
          <t>آبان 1448</t>
        </is>
      </c>
    </row>
    <row r="610">
      <c r="A610" t="n">
        <v>13990828</v>
      </c>
      <c r="B610" t="n">
        <v>44153</v>
      </c>
      <c r="C610" t="inlineStr">
        <is>
          <t>1399/08/28</t>
        </is>
      </c>
      <c r="E610" t="n">
        <v>144809</v>
      </c>
      <c r="F610" t="n">
        <v>62053</v>
      </c>
      <c r="G610" t="n">
        <v>62082</v>
      </c>
      <c r="H610" t="inlineStr">
        <is>
          <t>آذر 1448</t>
        </is>
      </c>
    </row>
    <row r="611">
      <c r="A611" t="n">
        <v>13990829</v>
      </c>
      <c r="B611" t="n">
        <v>44154</v>
      </c>
      <c r="C611" t="inlineStr">
        <is>
          <t>1399/08/29</t>
        </is>
      </c>
      <c r="E611" t="n">
        <v>144810</v>
      </c>
      <c r="F611" t="n">
        <v>62083</v>
      </c>
      <c r="G611" t="n">
        <v>62112</v>
      </c>
      <c r="H611" t="inlineStr">
        <is>
          <t>دی 1448</t>
        </is>
      </c>
    </row>
    <row r="612">
      <c r="A612" t="n">
        <v>13990830</v>
      </c>
      <c r="B612" t="n">
        <v>44155</v>
      </c>
      <c r="C612" t="inlineStr">
        <is>
          <t>1399/08/30</t>
        </is>
      </c>
      <c r="E612" t="n">
        <v>144811</v>
      </c>
      <c r="F612" t="n">
        <v>62113</v>
      </c>
      <c r="G612" t="n">
        <v>62142</v>
      </c>
      <c r="H612" t="inlineStr">
        <is>
          <t>بهمن 1448</t>
        </is>
      </c>
    </row>
    <row r="613">
      <c r="A613" t="n">
        <v>13990901</v>
      </c>
      <c r="B613" t="n">
        <v>44156</v>
      </c>
      <c r="C613" t="inlineStr">
        <is>
          <t>1399/09/01</t>
        </is>
      </c>
      <c r="E613" t="n">
        <v>144812</v>
      </c>
      <c r="F613" t="n">
        <v>62143</v>
      </c>
      <c r="G613" t="n">
        <v>62171</v>
      </c>
      <c r="H613" t="inlineStr">
        <is>
          <t>اسفند 1448</t>
        </is>
      </c>
    </row>
    <row r="614">
      <c r="A614" t="n">
        <v>13990902</v>
      </c>
      <c r="B614" t="n">
        <v>44157</v>
      </c>
      <c r="C614" t="inlineStr">
        <is>
          <t>1399/09/02</t>
        </is>
      </c>
      <c r="E614" t="n">
        <v>144901</v>
      </c>
      <c r="F614" t="n">
        <v>62172</v>
      </c>
      <c r="G614" t="n">
        <v>62202</v>
      </c>
      <c r="H614" t="inlineStr">
        <is>
          <t>فروردین 1449</t>
        </is>
      </c>
    </row>
    <row r="615">
      <c r="A615" t="n">
        <v>13990903</v>
      </c>
      <c r="B615" t="n">
        <v>44158</v>
      </c>
      <c r="C615" t="inlineStr">
        <is>
          <t>1399/09/03</t>
        </is>
      </c>
      <c r="E615" t="n">
        <v>144902</v>
      </c>
      <c r="F615" t="n">
        <v>62203</v>
      </c>
      <c r="G615" t="n">
        <v>62233</v>
      </c>
      <c r="H615" t="inlineStr">
        <is>
          <t>اردیبهشت 1449</t>
        </is>
      </c>
    </row>
    <row r="616">
      <c r="A616" t="n">
        <v>13990904</v>
      </c>
      <c r="B616" t="n">
        <v>44159</v>
      </c>
      <c r="C616" t="inlineStr">
        <is>
          <t>1399/09/04</t>
        </is>
      </c>
      <c r="E616" t="n">
        <v>144903</v>
      </c>
      <c r="F616" t="n">
        <v>62234</v>
      </c>
      <c r="G616" t="n">
        <v>62264</v>
      </c>
      <c r="H616" t="inlineStr">
        <is>
          <t>خرداد 1449</t>
        </is>
      </c>
    </row>
    <row r="617">
      <c r="A617" t="n">
        <v>13990905</v>
      </c>
      <c r="B617" t="n">
        <v>44160</v>
      </c>
      <c r="C617" t="inlineStr">
        <is>
          <t>1399/09/05</t>
        </is>
      </c>
      <c r="E617" t="n">
        <v>144904</v>
      </c>
      <c r="F617" t="n">
        <v>62265</v>
      </c>
      <c r="G617" t="n">
        <v>62295</v>
      </c>
      <c r="H617" t="inlineStr">
        <is>
          <t>تیر 1449</t>
        </is>
      </c>
    </row>
    <row r="618">
      <c r="A618" t="n">
        <v>13990906</v>
      </c>
      <c r="B618" t="n">
        <v>44161</v>
      </c>
      <c r="C618" t="inlineStr">
        <is>
          <t>1399/09/06</t>
        </is>
      </c>
      <c r="E618" t="n">
        <v>144905</v>
      </c>
      <c r="F618" t="n">
        <v>62296</v>
      </c>
      <c r="G618" t="n">
        <v>62326</v>
      </c>
      <c r="H618" t="inlineStr">
        <is>
          <t>مرداد 1449</t>
        </is>
      </c>
    </row>
    <row r="619">
      <c r="A619" t="n">
        <v>13990907</v>
      </c>
      <c r="B619" t="n">
        <v>44162</v>
      </c>
      <c r="C619" t="inlineStr">
        <is>
          <t>1399/09/07</t>
        </is>
      </c>
      <c r="E619" t="n">
        <v>144906</v>
      </c>
      <c r="F619" t="n">
        <v>62327</v>
      </c>
      <c r="G619" t="n">
        <v>62357</v>
      </c>
      <c r="H619" t="inlineStr">
        <is>
          <t>شهریور 1449</t>
        </is>
      </c>
    </row>
    <row r="620">
      <c r="A620" t="n">
        <v>13990908</v>
      </c>
      <c r="B620" t="n">
        <v>44163</v>
      </c>
      <c r="C620" t="inlineStr">
        <is>
          <t>1399/09/08</t>
        </is>
      </c>
      <c r="E620" t="n">
        <v>144907</v>
      </c>
      <c r="F620" t="n">
        <v>62358</v>
      </c>
      <c r="G620" t="n">
        <v>62387</v>
      </c>
      <c r="H620" t="inlineStr">
        <is>
          <t>مهر 1449</t>
        </is>
      </c>
    </row>
    <row r="621">
      <c r="A621" t="n">
        <v>13990909</v>
      </c>
      <c r="B621" t="n">
        <v>44164</v>
      </c>
      <c r="C621" t="inlineStr">
        <is>
          <t>1399/09/09</t>
        </is>
      </c>
      <c r="E621" t="n">
        <v>144908</v>
      </c>
      <c r="F621" t="n">
        <v>62388</v>
      </c>
      <c r="G621" t="n">
        <v>62417</v>
      </c>
      <c r="H621" t="inlineStr">
        <is>
          <t>آبان 1449</t>
        </is>
      </c>
    </row>
    <row r="622">
      <c r="A622" t="n">
        <v>13990910</v>
      </c>
      <c r="B622" t="n">
        <v>44165</v>
      </c>
      <c r="C622" t="inlineStr">
        <is>
          <t>1399/09/10</t>
        </is>
      </c>
      <c r="E622" t="n">
        <v>144909</v>
      </c>
      <c r="F622" t="n">
        <v>62418</v>
      </c>
      <c r="G622" t="n">
        <v>62447</v>
      </c>
      <c r="H622" t="inlineStr">
        <is>
          <t>آذر 1449</t>
        </is>
      </c>
    </row>
    <row r="623">
      <c r="A623" t="n">
        <v>13990911</v>
      </c>
      <c r="B623" t="n">
        <v>44166</v>
      </c>
      <c r="C623" t="inlineStr">
        <is>
          <t>1399/09/11</t>
        </is>
      </c>
      <c r="E623" t="n">
        <v>144910</v>
      </c>
      <c r="F623" t="n">
        <v>62448</v>
      </c>
      <c r="G623" t="n">
        <v>62477</v>
      </c>
      <c r="H623" t="inlineStr">
        <is>
          <t>دی 1449</t>
        </is>
      </c>
    </row>
    <row r="624">
      <c r="A624" t="n">
        <v>13990912</v>
      </c>
      <c r="B624" t="n">
        <v>44167</v>
      </c>
      <c r="C624" t="inlineStr">
        <is>
          <t>1399/09/12</t>
        </is>
      </c>
      <c r="E624" t="n">
        <v>144911</v>
      </c>
      <c r="F624" t="n">
        <v>62478</v>
      </c>
      <c r="G624" t="n">
        <v>62507</v>
      </c>
      <c r="H624" t="inlineStr">
        <is>
          <t>بهمن 1449</t>
        </is>
      </c>
    </row>
    <row r="625">
      <c r="A625" t="n">
        <v>13990913</v>
      </c>
      <c r="B625" t="n">
        <v>44168</v>
      </c>
      <c r="C625" t="inlineStr">
        <is>
          <t>1399/09/13</t>
        </is>
      </c>
      <c r="E625" t="n">
        <v>144912</v>
      </c>
      <c r="F625" t="n">
        <v>62508</v>
      </c>
      <c r="G625" t="n">
        <v>62537</v>
      </c>
      <c r="H625" t="inlineStr">
        <is>
          <t>اسفند 1449</t>
        </is>
      </c>
    </row>
    <row r="626">
      <c r="A626" t="n">
        <v>13990914</v>
      </c>
      <c r="B626" t="n">
        <v>44169</v>
      </c>
      <c r="C626" t="inlineStr">
        <is>
          <t>1399/09/14</t>
        </is>
      </c>
      <c r="E626" t="n">
        <v>145001</v>
      </c>
      <c r="F626" t="n">
        <v>62538</v>
      </c>
      <c r="G626" t="n">
        <v>62568</v>
      </c>
      <c r="H626" t="inlineStr">
        <is>
          <t>فروردین 1450</t>
        </is>
      </c>
    </row>
    <row r="627">
      <c r="A627" t="n">
        <v>13990915</v>
      </c>
      <c r="B627" t="n">
        <v>44170</v>
      </c>
      <c r="C627" t="inlineStr">
        <is>
          <t>1399/09/15</t>
        </is>
      </c>
      <c r="E627" t="n">
        <v>145002</v>
      </c>
      <c r="F627" t="n">
        <v>62569</v>
      </c>
      <c r="G627" t="n">
        <v>62599</v>
      </c>
      <c r="H627" t="inlineStr">
        <is>
          <t>اردیبهشت 1450</t>
        </is>
      </c>
    </row>
    <row r="628">
      <c r="A628" t="n">
        <v>13990916</v>
      </c>
      <c r="B628" t="n">
        <v>44171</v>
      </c>
      <c r="C628" t="inlineStr">
        <is>
          <t>1399/09/16</t>
        </is>
      </c>
      <c r="E628" t="n">
        <v>145003</v>
      </c>
      <c r="F628" t="n">
        <v>62600</v>
      </c>
      <c r="G628" t="n">
        <v>62630</v>
      </c>
      <c r="H628" t="inlineStr">
        <is>
          <t>خرداد 1450</t>
        </is>
      </c>
    </row>
    <row r="629">
      <c r="A629" t="n">
        <v>13990917</v>
      </c>
      <c r="B629" t="n">
        <v>44172</v>
      </c>
      <c r="C629" t="inlineStr">
        <is>
          <t>1399/09/17</t>
        </is>
      </c>
      <c r="E629" t="n">
        <v>145004</v>
      </c>
      <c r="F629" t="n">
        <v>62631</v>
      </c>
      <c r="G629" t="n">
        <v>62661</v>
      </c>
      <c r="H629" t="inlineStr">
        <is>
          <t>تیر 1450</t>
        </is>
      </c>
    </row>
    <row r="630">
      <c r="A630" t="n">
        <v>13990918</v>
      </c>
      <c r="B630" t="n">
        <v>44173</v>
      </c>
      <c r="C630" t="inlineStr">
        <is>
          <t>1399/09/18</t>
        </is>
      </c>
      <c r="E630" t="n">
        <v>145005</v>
      </c>
      <c r="F630" t="n">
        <v>62662</v>
      </c>
      <c r="G630" t="n">
        <v>62692</v>
      </c>
      <c r="H630" t="inlineStr">
        <is>
          <t>مرداد 1450</t>
        </is>
      </c>
    </row>
    <row r="631">
      <c r="A631" t="n">
        <v>13990919</v>
      </c>
      <c r="B631" t="n">
        <v>44174</v>
      </c>
      <c r="C631" t="inlineStr">
        <is>
          <t>1399/09/19</t>
        </is>
      </c>
      <c r="E631" t="n">
        <v>145006</v>
      </c>
      <c r="F631" t="n">
        <v>62693</v>
      </c>
      <c r="G631" t="n">
        <v>62723</v>
      </c>
      <c r="H631" t="inlineStr">
        <is>
          <t>شهریور 1450</t>
        </is>
      </c>
    </row>
    <row r="632">
      <c r="A632" t="n">
        <v>13990920</v>
      </c>
      <c r="B632" t="n">
        <v>44175</v>
      </c>
      <c r="C632" t="inlineStr">
        <is>
          <t>1399/09/20</t>
        </is>
      </c>
      <c r="E632" t="n">
        <v>145007</v>
      </c>
      <c r="F632" t="n">
        <v>62724</v>
      </c>
      <c r="G632" t="n">
        <v>62753</v>
      </c>
      <c r="H632" t="inlineStr">
        <is>
          <t>مهر 1450</t>
        </is>
      </c>
    </row>
    <row r="633">
      <c r="A633" t="n">
        <v>13990921</v>
      </c>
      <c r="B633" t="n">
        <v>44176</v>
      </c>
      <c r="C633" t="inlineStr">
        <is>
          <t>1399/09/21</t>
        </is>
      </c>
      <c r="E633" t="n">
        <v>145008</v>
      </c>
      <c r="F633" t="n">
        <v>62754</v>
      </c>
      <c r="G633" t="n">
        <v>62783</v>
      </c>
      <c r="H633" t="inlineStr">
        <is>
          <t>آبان 1450</t>
        </is>
      </c>
    </row>
    <row r="634">
      <c r="A634" t="n">
        <v>13990922</v>
      </c>
      <c r="B634" t="n">
        <v>44177</v>
      </c>
      <c r="C634" t="inlineStr">
        <is>
          <t>1399/09/22</t>
        </is>
      </c>
      <c r="E634" t="n">
        <v>145009</v>
      </c>
      <c r="F634" t="n">
        <v>62784</v>
      </c>
      <c r="G634" t="n">
        <v>62813</v>
      </c>
      <c r="H634" t="inlineStr">
        <is>
          <t>آذر 1450</t>
        </is>
      </c>
    </row>
    <row r="635">
      <c r="A635" t="n">
        <v>13990923</v>
      </c>
      <c r="B635" t="n">
        <v>44178</v>
      </c>
      <c r="C635" t="inlineStr">
        <is>
          <t>1399/09/23</t>
        </is>
      </c>
      <c r="E635" t="n">
        <v>145010</v>
      </c>
      <c r="F635" t="n">
        <v>62814</v>
      </c>
      <c r="G635" t="n">
        <v>62843</v>
      </c>
      <c r="H635" t="inlineStr">
        <is>
          <t>دی 1450</t>
        </is>
      </c>
    </row>
    <row r="636">
      <c r="A636" t="n">
        <v>13990924</v>
      </c>
      <c r="B636" t="n">
        <v>44179</v>
      </c>
      <c r="C636" t="inlineStr">
        <is>
          <t>1399/09/24</t>
        </is>
      </c>
      <c r="E636" t="n">
        <v>145011</v>
      </c>
      <c r="F636" t="n">
        <v>62844</v>
      </c>
      <c r="G636" t="n">
        <v>62873</v>
      </c>
      <c r="H636" t="inlineStr">
        <is>
          <t>بهمن 1450</t>
        </is>
      </c>
    </row>
    <row r="637">
      <c r="A637" t="n">
        <v>13990925</v>
      </c>
      <c r="B637" t="n">
        <v>44180</v>
      </c>
      <c r="C637" t="inlineStr">
        <is>
          <t>1399/09/25</t>
        </is>
      </c>
      <c r="E637" t="n">
        <v>145012</v>
      </c>
      <c r="F637" t="n">
        <v>62874</v>
      </c>
      <c r="G637" t="n">
        <v>62902</v>
      </c>
      <c r="H637" t="inlineStr">
        <is>
          <t>اسفند 1450</t>
        </is>
      </c>
    </row>
    <row r="638">
      <c r="A638" t="n">
        <v>13990926</v>
      </c>
      <c r="B638" t="n">
        <v>44181</v>
      </c>
      <c r="C638" t="inlineStr">
        <is>
          <t>1399/09/26</t>
        </is>
      </c>
    </row>
    <row r="639">
      <c r="A639" t="n">
        <v>13990927</v>
      </c>
      <c r="B639" t="n">
        <v>44182</v>
      </c>
      <c r="C639" t="inlineStr">
        <is>
          <t>1399/09/27</t>
        </is>
      </c>
    </row>
    <row r="640">
      <c r="A640" t="n">
        <v>13990928</v>
      </c>
      <c r="B640" t="n">
        <v>44183</v>
      </c>
      <c r="C640" t="inlineStr">
        <is>
          <t>1399/09/28</t>
        </is>
      </c>
    </row>
    <row r="641">
      <c r="A641" t="n">
        <v>13990929</v>
      </c>
      <c r="B641" t="n">
        <v>44184</v>
      </c>
      <c r="C641" t="inlineStr">
        <is>
          <t>1399/09/29</t>
        </is>
      </c>
    </row>
    <row r="642">
      <c r="A642" t="n">
        <v>13990930</v>
      </c>
      <c r="B642" t="n">
        <v>44185</v>
      </c>
      <c r="C642" t="inlineStr">
        <is>
          <t>1399/09/30</t>
        </is>
      </c>
    </row>
    <row r="643">
      <c r="A643" t="n">
        <v>13991001</v>
      </c>
      <c r="B643" t="n">
        <v>44186</v>
      </c>
      <c r="C643" t="inlineStr">
        <is>
          <t>1399/10/01</t>
        </is>
      </c>
    </row>
    <row r="644">
      <c r="A644" t="n">
        <v>13991002</v>
      </c>
      <c r="B644" t="n">
        <v>44187</v>
      </c>
      <c r="C644" t="inlineStr">
        <is>
          <t>1399/10/02</t>
        </is>
      </c>
    </row>
    <row r="645">
      <c r="A645" t="n">
        <v>13991003</v>
      </c>
      <c r="B645" t="n">
        <v>44188</v>
      </c>
      <c r="C645" t="inlineStr">
        <is>
          <t>1399/10/03</t>
        </is>
      </c>
    </row>
    <row r="646">
      <c r="A646" t="n">
        <v>13991004</v>
      </c>
      <c r="B646" t="n">
        <v>44189</v>
      </c>
      <c r="C646" t="inlineStr">
        <is>
          <t>1399/10/04</t>
        </is>
      </c>
    </row>
    <row r="647">
      <c r="A647" t="n">
        <v>13991005</v>
      </c>
      <c r="B647" t="n">
        <v>44190</v>
      </c>
      <c r="C647" t="inlineStr">
        <is>
          <t>1399/10/05</t>
        </is>
      </c>
    </row>
    <row r="648">
      <c r="A648" t="n">
        <v>13991006</v>
      </c>
      <c r="B648" t="n">
        <v>44191</v>
      </c>
      <c r="C648" t="inlineStr">
        <is>
          <t>1399/10/06</t>
        </is>
      </c>
    </row>
    <row r="649">
      <c r="A649" t="n">
        <v>13991007</v>
      </c>
      <c r="B649" t="n">
        <v>44192</v>
      </c>
      <c r="C649" t="inlineStr">
        <is>
          <t>1399/10/07</t>
        </is>
      </c>
    </row>
    <row r="650">
      <c r="A650" t="n">
        <v>13991008</v>
      </c>
      <c r="B650" t="n">
        <v>44193</v>
      </c>
      <c r="C650" t="inlineStr">
        <is>
          <t>1399/10/08</t>
        </is>
      </c>
    </row>
    <row r="651">
      <c r="A651" t="n">
        <v>13991009</v>
      </c>
      <c r="B651" t="n">
        <v>44194</v>
      </c>
      <c r="C651" t="inlineStr">
        <is>
          <t>1399/10/09</t>
        </is>
      </c>
    </row>
    <row r="652">
      <c r="A652" t="n">
        <v>13991010</v>
      </c>
      <c r="B652" t="n">
        <v>44195</v>
      </c>
      <c r="C652" t="inlineStr">
        <is>
          <t>1399/10/10</t>
        </is>
      </c>
    </row>
    <row r="653">
      <c r="A653" t="n">
        <v>13991011</v>
      </c>
      <c r="B653" t="n">
        <v>44196</v>
      </c>
      <c r="C653" t="inlineStr">
        <is>
          <t>1399/10/11</t>
        </is>
      </c>
    </row>
    <row r="654">
      <c r="A654" t="n">
        <v>13991012</v>
      </c>
      <c r="B654" t="n">
        <v>44197</v>
      </c>
      <c r="C654" t="inlineStr">
        <is>
          <t>1399/10/12</t>
        </is>
      </c>
    </row>
    <row r="655">
      <c r="A655" t="n">
        <v>13991013</v>
      </c>
      <c r="B655" t="n">
        <v>44198</v>
      </c>
      <c r="C655" t="inlineStr">
        <is>
          <t>1399/10/13</t>
        </is>
      </c>
    </row>
    <row r="656">
      <c r="A656" t="n">
        <v>13991014</v>
      </c>
      <c r="B656" t="n">
        <v>44199</v>
      </c>
      <c r="C656" t="inlineStr">
        <is>
          <t>1399/10/14</t>
        </is>
      </c>
    </row>
    <row r="657">
      <c r="A657" t="n">
        <v>13991015</v>
      </c>
      <c r="B657" t="n">
        <v>44200</v>
      </c>
      <c r="C657" t="inlineStr">
        <is>
          <t>1399/10/15</t>
        </is>
      </c>
    </row>
    <row r="658">
      <c r="A658" t="n">
        <v>13991016</v>
      </c>
      <c r="B658" t="n">
        <v>44201</v>
      </c>
      <c r="C658" t="inlineStr">
        <is>
          <t>1399/10/16</t>
        </is>
      </c>
    </row>
    <row r="659">
      <c r="A659" t="n">
        <v>13991017</v>
      </c>
      <c r="B659" t="n">
        <v>44202</v>
      </c>
      <c r="C659" t="inlineStr">
        <is>
          <t>1399/10/17</t>
        </is>
      </c>
    </row>
    <row r="660">
      <c r="A660" t="n">
        <v>13991018</v>
      </c>
      <c r="B660" t="n">
        <v>44203</v>
      </c>
      <c r="C660" t="inlineStr">
        <is>
          <t>1399/10/18</t>
        </is>
      </c>
    </row>
    <row r="661">
      <c r="A661" t="n">
        <v>13991019</v>
      </c>
      <c r="B661" t="n">
        <v>44204</v>
      </c>
      <c r="C661" t="inlineStr">
        <is>
          <t>1399/10/19</t>
        </is>
      </c>
    </row>
    <row r="662">
      <c r="A662" t="n">
        <v>13991020</v>
      </c>
      <c r="B662" t="n">
        <v>44205</v>
      </c>
      <c r="C662" t="inlineStr">
        <is>
          <t>1399/10/20</t>
        </is>
      </c>
    </row>
    <row r="663">
      <c r="A663" t="n">
        <v>13991021</v>
      </c>
      <c r="B663" t="n">
        <v>44206</v>
      </c>
      <c r="C663" t="inlineStr">
        <is>
          <t>1399/10/21</t>
        </is>
      </c>
    </row>
    <row r="664">
      <c r="A664" t="n">
        <v>13991022</v>
      </c>
      <c r="B664" t="n">
        <v>44207</v>
      </c>
      <c r="C664" t="inlineStr">
        <is>
          <t>1399/10/22</t>
        </is>
      </c>
    </row>
    <row r="665">
      <c r="A665" t="n">
        <v>13991023</v>
      </c>
      <c r="B665" t="n">
        <v>44208</v>
      </c>
      <c r="C665" t="inlineStr">
        <is>
          <t>1399/10/23</t>
        </is>
      </c>
    </row>
    <row r="666">
      <c r="A666" t="n">
        <v>13991024</v>
      </c>
      <c r="B666" t="n">
        <v>44209</v>
      </c>
      <c r="C666" t="inlineStr">
        <is>
          <t>1399/10/24</t>
        </is>
      </c>
    </row>
    <row r="667">
      <c r="A667" t="n">
        <v>13991025</v>
      </c>
      <c r="B667" t="n">
        <v>44210</v>
      </c>
      <c r="C667" t="inlineStr">
        <is>
          <t>1399/10/25</t>
        </is>
      </c>
    </row>
    <row r="668">
      <c r="A668" t="n">
        <v>13991026</v>
      </c>
      <c r="B668" t="n">
        <v>44211</v>
      </c>
      <c r="C668" t="inlineStr">
        <is>
          <t>1399/10/26</t>
        </is>
      </c>
    </row>
    <row r="669">
      <c r="A669" t="n">
        <v>13991027</v>
      </c>
      <c r="B669" t="n">
        <v>44212</v>
      </c>
      <c r="C669" t="inlineStr">
        <is>
          <t>1399/10/27</t>
        </is>
      </c>
    </row>
    <row r="670">
      <c r="A670" t="n">
        <v>13991028</v>
      </c>
      <c r="B670" t="n">
        <v>44213</v>
      </c>
      <c r="C670" t="inlineStr">
        <is>
          <t>1399/10/28</t>
        </is>
      </c>
    </row>
    <row r="671">
      <c r="A671" t="n">
        <v>13991029</v>
      </c>
      <c r="B671" t="n">
        <v>44214</v>
      </c>
      <c r="C671" t="inlineStr">
        <is>
          <t>1399/10/29</t>
        </is>
      </c>
    </row>
    <row r="672">
      <c r="A672" t="n">
        <v>13991030</v>
      </c>
      <c r="B672" t="n">
        <v>44215</v>
      </c>
      <c r="C672" t="inlineStr">
        <is>
          <t>1399/10/30</t>
        </is>
      </c>
    </row>
    <row r="673">
      <c r="A673" t="n">
        <v>13991101</v>
      </c>
      <c r="B673" t="n">
        <v>44216</v>
      </c>
      <c r="C673" t="inlineStr">
        <is>
          <t>1399/11/01</t>
        </is>
      </c>
    </row>
    <row r="674">
      <c r="A674" t="n">
        <v>13991102</v>
      </c>
      <c r="B674" t="n">
        <v>44217</v>
      </c>
      <c r="C674" t="inlineStr">
        <is>
          <t>1399/11/02</t>
        </is>
      </c>
    </row>
    <row r="675">
      <c r="A675" t="n">
        <v>13991103</v>
      </c>
      <c r="B675" t="n">
        <v>44218</v>
      </c>
      <c r="C675" t="inlineStr">
        <is>
          <t>1399/11/03</t>
        </is>
      </c>
    </row>
    <row r="676">
      <c r="A676" t="n">
        <v>13991104</v>
      </c>
      <c r="B676" t="n">
        <v>44219</v>
      </c>
      <c r="C676" t="inlineStr">
        <is>
          <t>1399/11/04</t>
        </is>
      </c>
    </row>
    <row r="677">
      <c r="A677" t="n">
        <v>13991105</v>
      </c>
      <c r="B677" t="n">
        <v>44220</v>
      </c>
      <c r="C677" t="inlineStr">
        <is>
          <t>1399/11/05</t>
        </is>
      </c>
    </row>
    <row r="678">
      <c r="A678" t="n">
        <v>13991106</v>
      </c>
      <c r="B678" t="n">
        <v>44221</v>
      </c>
      <c r="C678" t="inlineStr">
        <is>
          <t>1399/11/06</t>
        </is>
      </c>
    </row>
    <row r="679">
      <c r="A679" t="n">
        <v>13991107</v>
      </c>
      <c r="B679" t="n">
        <v>44222</v>
      </c>
      <c r="C679" t="inlineStr">
        <is>
          <t>1399/11/07</t>
        </is>
      </c>
    </row>
    <row r="680">
      <c r="A680" t="n">
        <v>13991108</v>
      </c>
      <c r="B680" t="n">
        <v>44223</v>
      </c>
      <c r="C680" t="inlineStr">
        <is>
          <t>1399/11/08</t>
        </is>
      </c>
    </row>
    <row r="681">
      <c r="A681" t="n">
        <v>13991109</v>
      </c>
      <c r="B681" t="n">
        <v>44224</v>
      </c>
      <c r="C681" t="inlineStr">
        <is>
          <t>1399/11/09</t>
        </is>
      </c>
    </row>
    <row r="682">
      <c r="A682" t="n">
        <v>13991110</v>
      </c>
      <c r="B682" t="n">
        <v>44225</v>
      </c>
      <c r="C682" t="inlineStr">
        <is>
          <t>1399/11/10</t>
        </is>
      </c>
    </row>
    <row r="683">
      <c r="A683" t="n">
        <v>13991111</v>
      </c>
      <c r="B683" t="n">
        <v>44226</v>
      </c>
      <c r="C683" t="inlineStr">
        <is>
          <t>1399/11/11</t>
        </is>
      </c>
    </row>
    <row r="684">
      <c r="A684" t="n">
        <v>13991112</v>
      </c>
      <c r="B684" t="n">
        <v>44227</v>
      </c>
      <c r="C684" t="inlineStr">
        <is>
          <t>1399/11/12</t>
        </is>
      </c>
    </row>
    <row r="685">
      <c r="A685" t="n">
        <v>13991113</v>
      </c>
      <c r="B685" t="n">
        <v>44228</v>
      </c>
      <c r="C685" t="inlineStr">
        <is>
          <t>1399/11/13</t>
        </is>
      </c>
    </row>
    <row r="686">
      <c r="A686" t="n">
        <v>13991114</v>
      </c>
      <c r="B686" t="n">
        <v>44229</v>
      </c>
      <c r="C686" t="inlineStr">
        <is>
          <t>1399/11/14</t>
        </is>
      </c>
    </row>
    <row r="687">
      <c r="A687" t="n">
        <v>13991115</v>
      </c>
      <c r="B687" t="n">
        <v>44230</v>
      </c>
      <c r="C687" t="inlineStr">
        <is>
          <t>1399/11/15</t>
        </is>
      </c>
    </row>
    <row r="688">
      <c r="A688" t="n">
        <v>13991116</v>
      </c>
      <c r="B688" t="n">
        <v>44231</v>
      </c>
      <c r="C688" t="inlineStr">
        <is>
          <t>1399/11/16</t>
        </is>
      </c>
    </row>
    <row r="689">
      <c r="A689" t="n">
        <v>13991117</v>
      </c>
      <c r="B689" t="n">
        <v>44232</v>
      </c>
      <c r="C689" t="inlineStr">
        <is>
          <t>1399/11/17</t>
        </is>
      </c>
    </row>
    <row r="690">
      <c r="A690" t="n">
        <v>13991118</v>
      </c>
      <c r="B690" t="n">
        <v>44233</v>
      </c>
      <c r="C690" t="inlineStr">
        <is>
          <t>1399/11/18</t>
        </is>
      </c>
    </row>
    <row r="691">
      <c r="A691" t="n">
        <v>13991119</v>
      </c>
      <c r="B691" t="n">
        <v>44234</v>
      </c>
      <c r="C691" t="inlineStr">
        <is>
          <t>1399/11/19</t>
        </is>
      </c>
    </row>
    <row r="692">
      <c r="A692" t="n">
        <v>13991120</v>
      </c>
      <c r="B692" t="n">
        <v>44235</v>
      </c>
      <c r="C692" t="inlineStr">
        <is>
          <t>1399/11/20</t>
        </is>
      </c>
    </row>
    <row r="693">
      <c r="A693" t="n">
        <v>13991121</v>
      </c>
      <c r="B693" t="n">
        <v>44236</v>
      </c>
      <c r="C693" t="inlineStr">
        <is>
          <t>1399/11/21</t>
        </is>
      </c>
    </row>
    <row r="694">
      <c r="A694" t="n">
        <v>13991122</v>
      </c>
      <c r="B694" t="n">
        <v>44237</v>
      </c>
      <c r="C694" t="inlineStr">
        <is>
          <t>1399/11/22</t>
        </is>
      </c>
    </row>
    <row r="695">
      <c r="A695" t="n">
        <v>13991123</v>
      </c>
      <c r="B695" t="n">
        <v>44238</v>
      </c>
      <c r="C695" t="inlineStr">
        <is>
          <t>1399/11/23</t>
        </is>
      </c>
    </row>
    <row r="696">
      <c r="A696" t="n">
        <v>13991124</v>
      </c>
      <c r="B696" t="n">
        <v>44239</v>
      </c>
      <c r="C696" t="inlineStr">
        <is>
          <t>1399/11/24</t>
        </is>
      </c>
    </row>
    <row r="697">
      <c r="A697" t="n">
        <v>13991125</v>
      </c>
      <c r="B697" t="n">
        <v>44240</v>
      </c>
      <c r="C697" t="inlineStr">
        <is>
          <t>1399/11/25</t>
        </is>
      </c>
    </row>
    <row r="698">
      <c r="A698" t="n">
        <v>13991126</v>
      </c>
      <c r="B698" t="n">
        <v>44241</v>
      </c>
      <c r="C698" t="inlineStr">
        <is>
          <t>1399/11/26</t>
        </is>
      </c>
    </row>
    <row r="699">
      <c r="A699" t="n">
        <v>13991127</v>
      </c>
      <c r="B699" t="n">
        <v>44242</v>
      </c>
      <c r="C699" t="inlineStr">
        <is>
          <t>1399/11/27</t>
        </is>
      </c>
    </row>
    <row r="700">
      <c r="A700" t="n">
        <v>13991128</v>
      </c>
      <c r="B700" t="n">
        <v>44243</v>
      </c>
      <c r="C700" t="inlineStr">
        <is>
          <t>1399/11/28</t>
        </is>
      </c>
    </row>
    <row r="701">
      <c r="A701" t="n">
        <v>13991129</v>
      </c>
      <c r="B701" t="n">
        <v>44244</v>
      </c>
      <c r="C701" t="inlineStr">
        <is>
          <t>1399/11/29</t>
        </is>
      </c>
    </row>
    <row r="702">
      <c r="A702" t="n">
        <v>13991130</v>
      </c>
      <c r="B702" t="n">
        <v>44245</v>
      </c>
      <c r="C702" t="inlineStr">
        <is>
          <t>1399/11/30</t>
        </is>
      </c>
    </row>
    <row r="703">
      <c r="A703" t="n">
        <v>13991201</v>
      </c>
      <c r="B703" t="n">
        <v>44246</v>
      </c>
      <c r="C703" t="inlineStr">
        <is>
          <t>1399/12/01</t>
        </is>
      </c>
    </row>
    <row r="704">
      <c r="A704" t="n">
        <v>13991202</v>
      </c>
      <c r="B704" t="n">
        <v>44247</v>
      </c>
      <c r="C704" t="inlineStr">
        <is>
          <t>1399/12/02</t>
        </is>
      </c>
    </row>
    <row r="705">
      <c r="A705" t="n">
        <v>13991203</v>
      </c>
      <c r="B705" t="n">
        <v>44248</v>
      </c>
      <c r="C705" t="inlineStr">
        <is>
          <t>1399/12/03</t>
        </is>
      </c>
    </row>
    <row r="706">
      <c r="A706" t="n">
        <v>13991204</v>
      </c>
      <c r="B706" t="n">
        <v>44249</v>
      </c>
      <c r="C706" t="inlineStr">
        <is>
          <t>1399/12/04</t>
        </is>
      </c>
    </row>
    <row r="707">
      <c r="A707" t="n">
        <v>13991205</v>
      </c>
      <c r="B707" t="n">
        <v>44250</v>
      </c>
      <c r="C707" t="inlineStr">
        <is>
          <t>1399/12/05</t>
        </is>
      </c>
    </row>
    <row r="708">
      <c r="A708" t="n">
        <v>13991206</v>
      </c>
      <c r="B708" t="n">
        <v>44251</v>
      </c>
      <c r="C708" t="inlineStr">
        <is>
          <t>1399/12/06</t>
        </is>
      </c>
    </row>
    <row r="709">
      <c r="A709" t="n">
        <v>13991207</v>
      </c>
      <c r="B709" t="n">
        <v>44252</v>
      </c>
      <c r="C709" t="inlineStr">
        <is>
          <t>1399/12/07</t>
        </is>
      </c>
    </row>
    <row r="710">
      <c r="A710" t="n">
        <v>13991208</v>
      </c>
      <c r="B710" t="n">
        <v>44253</v>
      </c>
      <c r="C710" t="inlineStr">
        <is>
          <t>1399/12/08</t>
        </is>
      </c>
    </row>
    <row r="711">
      <c r="A711" t="n">
        <v>13991209</v>
      </c>
      <c r="B711" t="n">
        <v>44254</v>
      </c>
      <c r="C711" t="inlineStr">
        <is>
          <t>1399/12/09</t>
        </is>
      </c>
    </row>
    <row r="712">
      <c r="A712" t="n">
        <v>13991210</v>
      </c>
      <c r="B712" t="n">
        <v>44255</v>
      </c>
      <c r="C712" t="inlineStr">
        <is>
          <t>1399/12/10</t>
        </is>
      </c>
    </row>
    <row r="713">
      <c r="A713" t="n">
        <v>13991211</v>
      </c>
      <c r="B713" t="n">
        <v>44256</v>
      </c>
      <c r="C713" t="inlineStr">
        <is>
          <t>1399/12/11</t>
        </is>
      </c>
    </row>
    <row r="714">
      <c r="A714" t="n">
        <v>13991212</v>
      </c>
      <c r="B714" t="n">
        <v>44257</v>
      </c>
      <c r="C714" t="inlineStr">
        <is>
          <t>1399/12/12</t>
        </is>
      </c>
    </row>
    <row r="715">
      <c r="A715" t="n">
        <v>13991213</v>
      </c>
      <c r="B715" t="n">
        <v>44258</v>
      </c>
      <c r="C715" t="inlineStr">
        <is>
          <t>1399/12/13</t>
        </is>
      </c>
    </row>
    <row r="716">
      <c r="A716" t="n">
        <v>13991214</v>
      </c>
      <c r="B716" t="n">
        <v>44259</v>
      </c>
      <c r="C716" t="inlineStr">
        <is>
          <t>1399/12/14</t>
        </is>
      </c>
    </row>
    <row r="717">
      <c r="A717" t="n">
        <v>13991215</v>
      </c>
      <c r="B717" t="n">
        <v>44260</v>
      </c>
      <c r="C717" t="inlineStr">
        <is>
          <t>1399/12/15</t>
        </is>
      </c>
    </row>
    <row r="718">
      <c r="A718" t="n">
        <v>13991216</v>
      </c>
      <c r="B718" t="n">
        <v>44261</v>
      </c>
      <c r="C718" t="inlineStr">
        <is>
          <t>1399/12/16</t>
        </is>
      </c>
    </row>
    <row r="719">
      <c r="A719" t="n">
        <v>13991217</v>
      </c>
      <c r="B719" t="n">
        <v>44262</v>
      </c>
      <c r="C719" t="inlineStr">
        <is>
          <t>1399/12/17</t>
        </is>
      </c>
    </row>
    <row r="720">
      <c r="A720" t="n">
        <v>13991218</v>
      </c>
      <c r="B720" t="n">
        <v>44263</v>
      </c>
      <c r="C720" t="inlineStr">
        <is>
          <t>1399/12/18</t>
        </is>
      </c>
    </row>
    <row r="721">
      <c r="A721" t="n">
        <v>13991219</v>
      </c>
      <c r="B721" t="n">
        <v>44264</v>
      </c>
      <c r="C721" t="inlineStr">
        <is>
          <t>1399/12/19</t>
        </is>
      </c>
    </row>
    <row r="722">
      <c r="A722" t="n">
        <v>13991220</v>
      </c>
      <c r="B722" t="n">
        <v>44265</v>
      </c>
      <c r="C722" t="inlineStr">
        <is>
          <t>1399/12/20</t>
        </is>
      </c>
    </row>
    <row r="723">
      <c r="A723" t="n">
        <v>13991221</v>
      </c>
      <c r="B723" t="n">
        <v>44266</v>
      </c>
      <c r="C723" t="inlineStr">
        <is>
          <t>1399/12/21</t>
        </is>
      </c>
    </row>
    <row r="724">
      <c r="A724" t="n">
        <v>13991222</v>
      </c>
      <c r="B724" t="n">
        <v>44267</v>
      </c>
      <c r="C724" t="inlineStr">
        <is>
          <t>1399/12/22</t>
        </is>
      </c>
    </row>
    <row r="725">
      <c r="A725" t="n">
        <v>13991223</v>
      </c>
      <c r="B725" t="n">
        <v>44268</v>
      </c>
      <c r="C725" t="inlineStr">
        <is>
          <t>1399/12/23</t>
        </is>
      </c>
    </row>
    <row r="726">
      <c r="A726" t="n">
        <v>13991224</v>
      </c>
      <c r="B726" t="n">
        <v>44269</v>
      </c>
      <c r="C726" t="inlineStr">
        <is>
          <t>1399/12/24</t>
        </is>
      </c>
    </row>
    <row r="727">
      <c r="A727" t="n">
        <v>13991225</v>
      </c>
      <c r="B727" t="n">
        <v>44270</v>
      </c>
      <c r="C727" t="inlineStr">
        <is>
          <t>1399/12/25</t>
        </is>
      </c>
    </row>
    <row r="728">
      <c r="A728" t="n">
        <v>13991226</v>
      </c>
      <c r="B728" t="n">
        <v>44271</v>
      </c>
      <c r="C728" t="inlineStr">
        <is>
          <t>1399/12/26</t>
        </is>
      </c>
    </row>
    <row r="729">
      <c r="A729" t="n">
        <v>13991227</v>
      </c>
      <c r="B729" t="n">
        <v>44272</v>
      </c>
      <c r="C729" t="inlineStr">
        <is>
          <t>1399/12/27</t>
        </is>
      </c>
    </row>
    <row r="730">
      <c r="A730" t="n">
        <v>13991228</v>
      </c>
      <c r="B730" t="n">
        <v>44273</v>
      </c>
      <c r="C730" t="inlineStr">
        <is>
          <t>1399/12/28</t>
        </is>
      </c>
    </row>
    <row r="731">
      <c r="A731" t="n">
        <v>13991229</v>
      </c>
      <c r="B731" t="n">
        <v>44274</v>
      </c>
      <c r="C731" t="inlineStr">
        <is>
          <t>1399/12/29</t>
        </is>
      </c>
    </row>
    <row r="732">
      <c r="A732" t="n">
        <v>13991230</v>
      </c>
      <c r="B732" t="n">
        <v>44275</v>
      </c>
      <c r="C732" t="inlineStr">
        <is>
          <t>1399/12/30</t>
        </is>
      </c>
    </row>
    <row r="733">
      <c r="A733" t="n">
        <v>14000101</v>
      </c>
      <c r="B733" t="n">
        <v>44276</v>
      </c>
      <c r="C733" t="inlineStr">
        <is>
          <t>1400/01/01</t>
        </is>
      </c>
    </row>
    <row r="734">
      <c r="A734" t="n">
        <v>14000102</v>
      </c>
      <c r="B734" t="n">
        <v>44277</v>
      </c>
      <c r="C734" t="inlineStr">
        <is>
          <t>1400/01/02</t>
        </is>
      </c>
    </row>
    <row r="735">
      <c r="A735" t="n">
        <v>14000103</v>
      </c>
      <c r="B735" t="n">
        <v>44278</v>
      </c>
      <c r="C735" t="inlineStr">
        <is>
          <t>1400/01/03</t>
        </is>
      </c>
    </row>
    <row r="736">
      <c r="A736" t="n">
        <v>14000104</v>
      </c>
      <c r="B736" t="n">
        <v>44279</v>
      </c>
      <c r="C736" t="inlineStr">
        <is>
          <t>1400/01/04</t>
        </is>
      </c>
    </row>
    <row r="737">
      <c r="A737" t="n">
        <v>14000105</v>
      </c>
      <c r="B737" t="n">
        <v>44280</v>
      </c>
      <c r="C737" t="inlineStr">
        <is>
          <t>1400/01/05</t>
        </is>
      </c>
    </row>
    <row r="738">
      <c r="A738" t="n">
        <v>14000106</v>
      </c>
      <c r="B738" t="n">
        <v>44281</v>
      </c>
      <c r="C738" t="inlineStr">
        <is>
          <t>1400/01/06</t>
        </is>
      </c>
    </row>
    <row r="739">
      <c r="A739" t="n">
        <v>14000107</v>
      </c>
      <c r="B739" t="n">
        <v>44282</v>
      </c>
      <c r="C739" t="inlineStr">
        <is>
          <t>1400/01/07</t>
        </is>
      </c>
    </row>
    <row r="740">
      <c r="A740" t="n">
        <v>14000108</v>
      </c>
      <c r="B740" t="n">
        <v>44283</v>
      </c>
      <c r="C740" t="inlineStr">
        <is>
          <t>1400/01/08</t>
        </is>
      </c>
    </row>
    <row r="741">
      <c r="A741" t="n">
        <v>14000109</v>
      </c>
      <c r="B741" t="n">
        <v>44284</v>
      </c>
      <c r="C741" t="inlineStr">
        <is>
          <t>1400/01/09</t>
        </is>
      </c>
    </row>
    <row r="742">
      <c r="A742" t="n">
        <v>14000110</v>
      </c>
      <c r="B742" t="n">
        <v>44285</v>
      </c>
      <c r="C742" t="inlineStr">
        <is>
          <t>1400/01/10</t>
        </is>
      </c>
    </row>
    <row r="743">
      <c r="A743" t="n">
        <v>14000111</v>
      </c>
      <c r="B743" t="n">
        <v>44286</v>
      </c>
      <c r="C743" t="inlineStr">
        <is>
          <t>1400/01/11</t>
        </is>
      </c>
    </row>
    <row r="744">
      <c r="A744" t="n">
        <v>14000112</v>
      </c>
      <c r="B744" t="n">
        <v>44287</v>
      </c>
      <c r="C744" t="inlineStr">
        <is>
          <t>1400/01/12</t>
        </is>
      </c>
    </row>
    <row r="745">
      <c r="A745" t="n">
        <v>14000113</v>
      </c>
      <c r="B745" t="n">
        <v>44288</v>
      </c>
      <c r="C745" t="inlineStr">
        <is>
          <t>1400/01/13</t>
        </is>
      </c>
    </row>
    <row r="746">
      <c r="A746" t="n">
        <v>14000114</v>
      </c>
      <c r="B746" t="n">
        <v>44289</v>
      </c>
      <c r="C746" t="inlineStr">
        <is>
          <t>1400/01/14</t>
        </is>
      </c>
    </row>
    <row r="747">
      <c r="A747" t="n">
        <v>14000115</v>
      </c>
      <c r="B747" t="n">
        <v>44290</v>
      </c>
      <c r="C747" t="inlineStr">
        <is>
          <t>1400/01/15</t>
        </is>
      </c>
    </row>
    <row r="748">
      <c r="A748" t="n">
        <v>14000116</v>
      </c>
      <c r="B748" t="n">
        <v>44291</v>
      </c>
      <c r="C748" t="inlineStr">
        <is>
          <t>1400/01/16</t>
        </is>
      </c>
    </row>
    <row r="749">
      <c r="A749" t="n">
        <v>14000117</v>
      </c>
      <c r="B749" t="n">
        <v>44292</v>
      </c>
      <c r="C749" t="inlineStr">
        <is>
          <t>1400/01/17</t>
        </is>
      </c>
    </row>
    <row r="750">
      <c r="A750" t="n">
        <v>14000118</v>
      </c>
      <c r="B750" t="n">
        <v>44293</v>
      </c>
      <c r="C750" t="inlineStr">
        <is>
          <t>1400/01/18</t>
        </is>
      </c>
    </row>
    <row r="751">
      <c r="A751" t="n">
        <v>14000119</v>
      </c>
      <c r="B751" t="n">
        <v>44294</v>
      </c>
      <c r="C751" t="inlineStr">
        <is>
          <t>1400/01/19</t>
        </is>
      </c>
    </row>
    <row r="752">
      <c r="A752" t="n">
        <v>14000120</v>
      </c>
      <c r="B752" t="n">
        <v>44295</v>
      </c>
      <c r="C752" t="inlineStr">
        <is>
          <t>1400/01/20</t>
        </is>
      </c>
    </row>
    <row r="753">
      <c r="A753" t="n">
        <v>14000121</v>
      </c>
      <c r="B753" t="n">
        <v>44296</v>
      </c>
      <c r="C753" t="inlineStr">
        <is>
          <t>1400/01/21</t>
        </is>
      </c>
    </row>
    <row r="754">
      <c r="A754" t="n">
        <v>14000122</v>
      </c>
      <c r="B754" t="n">
        <v>44297</v>
      </c>
      <c r="C754" t="inlineStr">
        <is>
          <t>1400/01/22</t>
        </is>
      </c>
    </row>
    <row r="755">
      <c r="A755" t="n">
        <v>14000123</v>
      </c>
      <c r="B755" t="n">
        <v>44298</v>
      </c>
      <c r="C755" t="inlineStr">
        <is>
          <t>1400/01/23</t>
        </is>
      </c>
    </row>
    <row r="756">
      <c r="A756" t="n">
        <v>14000124</v>
      </c>
      <c r="B756" t="n">
        <v>44299</v>
      </c>
      <c r="C756" t="inlineStr">
        <is>
          <t>1400/01/24</t>
        </is>
      </c>
    </row>
    <row r="757">
      <c r="A757" t="n">
        <v>14000125</v>
      </c>
      <c r="B757" t="n">
        <v>44300</v>
      </c>
      <c r="C757" t="inlineStr">
        <is>
          <t>1400/01/25</t>
        </is>
      </c>
    </row>
    <row r="758">
      <c r="A758" t="n">
        <v>14000126</v>
      </c>
      <c r="B758" t="n">
        <v>44301</v>
      </c>
      <c r="C758" t="inlineStr">
        <is>
          <t>1400/01/26</t>
        </is>
      </c>
    </row>
    <row r="759">
      <c r="A759" t="n">
        <v>14000127</v>
      </c>
      <c r="B759" t="n">
        <v>44302</v>
      </c>
      <c r="C759" t="inlineStr">
        <is>
          <t>1400/01/27</t>
        </is>
      </c>
    </row>
    <row r="760">
      <c r="A760" t="n">
        <v>14000128</v>
      </c>
      <c r="B760" t="n">
        <v>44303</v>
      </c>
      <c r="C760" t="inlineStr">
        <is>
          <t>1400/01/28</t>
        </is>
      </c>
    </row>
    <row r="761">
      <c r="A761" t="n">
        <v>14000129</v>
      </c>
      <c r="B761" t="n">
        <v>44304</v>
      </c>
      <c r="C761" t="inlineStr">
        <is>
          <t>1400/01/29</t>
        </is>
      </c>
    </row>
    <row r="762">
      <c r="A762" t="n">
        <v>14000130</v>
      </c>
      <c r="B762" t="n">
        <v>44305</v>
      </c>
      <c r="C762" t="inlineStr">
        <is>
          <t>1400/01/30</t>
        </is>
      </c>
    </row>
    <row r="763">
      <c r="A763" t="n">
        <v>14000131</v>
      </c>
      <c r="B763" t="n">
        <v>44306</v>
      </c>
      <c r="C763" t="inlineStr">
        <is>
          <t>1400/01/31</t>
        </is>
      </c>
    </row>
    <row r="764">
      <c r="A764" t="n">
        <v>14000201</v>
      </c>
      <c r="B764" t="n">
        <v>44307</v>
      </c>
      <c r="C764" t="inlineStr">
        <is>
          <t>1400/02/01</t>
        </is>
      </c>
    </row>
    <row r="765">
      <c r="A765" t="n">
        <v>14000202</v>
      </c>
      <c r="B765" t="n">
        <v>44308</v>
      </c>
      <c r="C765" t="inlineStr">
        <is>
          <t>1400/02/02</t>
        </is>
      </c>
    </row>
    <row r="766">
      <c r="A766" t="n">
        <v>14000203</v>
      </c>
      <c r="B766" t="n">
        <v>44309</v>
      </c>
      <c r="C766" t="inlineStr">
        <is>
          <t>1400/02/03</t>
        </is>
      </c>
    </row>
    <row r="767">
      <c r="A767" t="n">
        <v>14000204</v>
      </c>
      <c r="B767" t="n">
        <v>44310</v>
      </c>
      <c r="C767" t="inlineStr">
        <is>
          <t>1400/02/04</t>
        </is>
      </c>
    </row>
    <row r="768">
      <c r="A768" t="n">
        <v>14000205</v>
      </c>
      <c r="B768" t="n">
        <v>44311</v>
      </c>
      <c r="C768" t="inlineStr">
        <is>
          <t>1400/02/05</t>
        </is>
      </c>
    </row>
    <row r="769">
      <c r="A769" t="n">
        <v>14000206</v>
      </c>
      <c r="B769" t="n">
        <v>44312</v>
      </c>
      <c r="C769" t="inlineStr">
        <is>
          <t>1400/02/06</t>
        </is>
      </c>
    </row>
    <row r="770">
      <c r="A770" t="n">
        <v>14000207</v>
      </c>
      <c r="B770" t="n">
        <v>44313</v>
      </c>
      <c r="C770" t="inlineStr">
        <is>
          <t>1400/02/07</t>
        </is>
      </c>
    </row>
    <row r="771">
      <c r="A771" t="n">
        <v>14000208</v>
      </c>
      <c r="B771" t="n">
        <v>44314</v>
      </c>
      <c r="C771" t="inlineStr">
        <is>
          <t>1400/02/08</t>
        </is>
      </c>
    </row>
    <row r="772">
      <c r="A772" t="n">
        <v>14000209</v>
      </c>
      <c r="B772" t="n">
        <v>44315</v>
      </c>
      <c r="C772" t="inlineStr">
        <is>
          <t>1400/02/09</t>
        </is>
      </c>
    </row>
    <row r="773">
      <c r="A773" t="n">
        <v>14000210</v>
      </c>
      <c r="B773" t="n">
        <v>44316</v>
      </c>
      <c r="C773" t="inlineStr">
        <is>
          <t>1400/02/10</t>
        </is>
      </c>
    </row>
    <row r="774">
      <c r="A774" t="n">
        <v>14000211</v>
      </c>
      <c r="B774" t="n">
        <v>44317</v>
      </c>
      <c r="C774" t="inlineStr">
        <is>
          <t>1400/02/11</t>
        </is>
      </c>
    </row>
    <row r="775">
      <c r="A775" t="n">
        <v>14000212</v>
      </c>
      <c r="B775" t="n">
        <v>44318</v>
      </c>
      <c r="C775" t="inlineStr">
        <is>
          <t>1400/02/12</t>
        </is>
      </c>
    </row>
    <row r="776">
      <c r="A776" t="n">
        <v>14000213</v>
      </c>
      <c r="B776" t="n">
        <v>44319</v>
      </c>
      <c r="C776" t="inlineStr">
        <is>
          <t>1400/02/13</t>
        </is>
      </c>
    </row>
    <row r="777">
      <c r="A777" t="n">
        <v>14000214</v>
      </c>
      <c r="B777" t="n">
        <v>44320</v>
      </c>
      <c r="C777" t="inlineStr">
        <is>
          <t>1400/02/14</t>
        </is>
      </c>
    </row>
    <row r="778">
      <c r="A778" t="n">
        <v>14000215</v>
      </c>
      <c r="B778" t="n">
        <v>44321</v>
      </c>
      <c r="C778" t="inlineStr">
        <is>
          <t>1400/02/15</t>
        </is>
      </c>
    </row>
    <row r="779">
      <c r="A779" t="n">
        <v>14000216</v>
      </c>
      <c r="B779" t="n">
        <v>44322</v>
      </c>
      <c r="C779" t="inlineStr">
        <is>
          <t>1400/02/16</t>
        </is>
      </c>
    </row>
    <row r="780">
      <c r="A780" t="n">
        <v>14000217</v>
      </c>
      <c r="B780" t="n">
        <v>44323</v>
      </c>
      <c r="C780" t="inlineStr">
        <is>
          <t>1400/02/17</t>
        </is>
      </c>
    </row>
    <row r="781">
      <c r="A781" t="n">
        <v>14000218</v>
      </c>
      <c r="B781" t="n">
        <v>44324</v>
      </c>
      <c r="C781" t="inlineStr">
        <is>
          <t>1400/02/18</t>
        </is>
      </c>
    </row>
    <row r="782">
      <c r="A782" t="n">
        <v>14000219</v>
      </c>
      <c r="B782" t="n">
        <v>44325</v>
      </c>
      <c r="C782" t="inlineStr">
        <is>
          <t>1400/02/19</t>
        </is>
      </c>
    </row>
    <row r="783">
      <c r="A783" t="n">
        <v>14000220</v>
      </c>
      <c r="B783" t="n">
        <v>44326</v>
      </c>
      <c r="C783" t="inlineStr">
        <is>
          <t>1400/02/20</t>
        </is>
      </c>
    </row>
    <row r="784">
      <c r="A784" t="n">
        <v>14000221</v>
      </c>
      <c r="B784" t="n">
        <v>44327</v>
      </c>
      <c r="C784" t="inlineStr">
        <is>
          <t>1400/02/21</t>
        </is>
      </c>
    </row>
    <row r="785">
      <c r="A785" t="n">
        <v>14000222</v>
      </c>
      <c r="B785" t="n">
        <v>44328</v>
      </c>
      <c r="C785" t="inlineStr">
        <is>
          <t>1400/02/22</t>
        </is>
      </c>
    </row>
    <row r="786">
      <c r="A786" t="n">
        <v>14000223</v>
      </c>
      <c r="B786" t="n">
        <v>44329</v>
      </c>
      <c r="C786" t="inlineStr">
        <is>
          <t>1400/02/23</t>
        </is>
      </c>
    </row>
    <row r="787">
      <c r="A787" t="n">
        <v>14000224</v>
      </c>
      <c r="B787" t="n">
        <v>44330</v>
      </c>
      <c r="C787" t="inlineStr">
        <is>
          <t>1400/02/24</t>
        </is>
      </c>
    </row>
    <row r="788">
      <c r="A788" t="n">
        <v>14000225</v>
      </c>
      <c r="B788" t="n">
        <v>44331</v>
      </c>
      <c r="C788" t="inlineStr">
        <is>
          <t>1400/02/25</t>
        </is>
      </c>
    </row>
    <row r="789">
      <c r="A789" t="n">
        <v>14000226</v>
      </c>
      <c r="B789" t="n">
        <v>44332</v>
      </c>
      <c r="C789" t="inlineStr">
        <is>
          <t>1400/02/26</t>
        </is>
      </c>
    </row>
    <row r="790">
      <c r="A790" t="n">
        <v>14000227</v>
      </c>
      <c r="B790" t="n">
        <v>44333</v>
      </c>
      <c r="C790" t="inlineStr">
        <is>
          <t>1400/02/27</t>
        </is>
      </c>
    </row>
    <row r="791">
      <c r="A791" t="n">
        <v>14000228</v>
      </c>
      <c r="B791" t="n">
        <v>44334</v>
      </c>
      <c r="C791" t="inlineStr">
        <is>
          <t>1400/02/28</t>
        </is>
      </c>
    </row>
    <row r="792">
      <c r="A792" t="n">
        <v>14000229</v>
      </c>
      <c r="B792" t="n">
        <v>44335</v>
      </c>
      <c r="C792" t="inlineStr">
        <is>
          <t>1400/02/29</t>
        </is>
      </c>
    </row>
    <row r="793">
      <c r="A793" t="n">
        <v>14000230</v>
      </c>
      <c r="B793" t="n">
        <v>44336</v>
      </c>
      <c r="C793" t="inlineStr">
        <is>
          <t>1400/02/30</t>
        </is>
      </c>
    </row>
    <row r="794">
      <c r="A794" t="n">
        <v>14000231</v>
      </c>
      <c r="B794" t="n">
        <v>44337</v>
      </c>
      <c r="C794" t="inlineStr">
        <is>
          <t>1400/02/31</t>
        </is>
      </c>
    </row>
    <row r="795">
      <c r="A795" t="n">
        <v>14000301</v>
      </c>
      <c r="B795" t="n">
        <v>44338</v>
      </c>
      <c r="C795" t="inlineStr">
        <is>
          <t>1400/03/01</t>
        </is>
      </c>
    </row>
    <row r="796">
      <c r="A796" t="n">
        <v>14000302</v>
      </c>
      <c r="B796" t="n">
        <v>44339</v>
      </c>
      <c r="C796" t="inlineStr">
        <is>
          <t>1400/03/02</t>
        </is>
      </c>
    </row>
    <row r="797">
      <c r="A797" t="n">
        <v>14000303</v>
      </c>
      <c r="B797" t="n">
        <v>44340</v>
      </c>
      <c r="C797" t="inlineStr">
        <is>
          <t>1400/03/03</t>
        </is>
      </c>
    </row>
    <row r="798">
      <c r="A798" t="n">
        <v>14000304</v>
      </c>
      <c r="B798" t="n">
        <v>44341</v>
      </c>
      <c r="C798" t="inlineStr">
        <is>
          <t>1400/03/04</t>
        </is>
      </c>
    </row>
    <row r="799">
      <c r="A799" t="n">
        <v>14000305</v>
      </c>
      <c r="B799" t="n">
        <v>44342</v>
      </c>
      <c r="C799" t="inlineStr">
        <is>
          <t>1400/03/05</t>
        </is>
      </c>
    </row>
    <row r="800">
      <c r="A800" t="n">
        <v>14000306</v>
      </c>
      <c r="B800" t="n">
        <v>44343</v>
      </c>
      <c r="C800" t="inlineStr">
        <is>
          <t>1400/03/06</t>
        </is>
      </c>
    </row>
    <row r="801">
      <c r="A801" t="n">
        <v>14000307</v>
      </c>
      <c r="B801" t="n">
        <v>44344</v>
      </c>
      <c r="C801" t="inlineStr">
        <is>
          <t>1400/03/07</t>
        </is>
      </c>
    </row>
    <row r="802">
      <c r="A802" t="n">
        <v>14000308</v>
      </c>
      <c r="B802" t="n">
        <v>44345</v>
      </c>
      <c r="C802" t="inlineStr">
        <is>
          <t>1400/03/08</t>
        </is>
      </c>
    </row>
    <row r="803">
      <c r="A803" t="n">
        <v>14000309</v>
      </c>
      <c r="B803" t="n">
        <v>44346</v>
      </c>
      <c r="C803" t="inlineStr">
        <is>
          <t>1400/03/09</t>
        </is>
      </c>
    </row>
    <row r="804">
      <c r="A804" t="n">
        <v>14000310</v>
      </c>
      <c r="B804" t="n">
        <v>44347</v>
      </c>
      <c r="C804" t="inlineStr">
        <is>
          <t>1400/03/10</t>
        </is>
      </c>
    </row>
    <row r="805">
      <c r="A805" t="n">
        <v>14000311</v>
      </c>
      <c r="B805" t="n">
        <v>44348</v>
      </c>
      <c r="C805" t="inlineStr">
        <is>
          <t>1400/03/11</t>
        </is>
      </c>
    </row>
    <row r="806">
      <c r="A806" t="n">
        <v>14000312</v>
      </c>
      <c r="B806" t="n">
        <v>44349</v>
      </c>
      <c r="C806" t="inlineStr">
        <is>
          <t>1400/03/12</t>
        </is>
      </c>
    </row>
    <row r="807">
      <c r="A807" t="n">
        <v>14000313</v>
      </c>
      <c r="B807" t="n">
        <v>44350</v>
      </c>
      <c r="C807" t="inlineStr">
        <is>
          <t>1400/03/13</t>
        </is>
      </c>
    </row>
    <row r="808">
      <c r="A808" t="n">
        <v>14000314</v>
      </c>
      <c r="B808" t="n">
        <v>44351</v>
      </c>
      <c r="C808" t="inlineStr">
        <is>
          <t>1400/03/14</t>
        </is>
      </c>
    </row>
    <row r="809">
      <c r="A809" t="n">
        <v>14000315</v>
      </c>
      <c r="B809" t="n">
        <v>44352</v>
      </c>
      <c r="C809" t="inlineStr">
        <is>
          <t>1400/03/15</t>
        </is>
      </c>
    </row>
    <row r="810">
      <c r="A810" t="n">
        <v>14000316</v>
      </c>
      <c r="B810" t="n">
        <v>44353</v>
      </c>
      <c r="C810" t="inlineStr">
        <is>
          <t>1400/03/16</t>
        </is>
      </c>
    </row>
    <row r="811">
      <c r="A811" t="n">
        <v>14000317</v>
      </c>
      <c r="B811" t="n">
        <v>44354</v>
      </c>
      <c r="C811" t="inlineStr">
        <is>
          <t>1400/03/17</t>
        </is>
      </c>
    </row>
    <row r="812">
      <c r="A812" t="n">
        <v>14000318</v>
      </c>
      <c r="B812" t="n">
        <v>44355</v>
      </c>
      <c r="C812" t="inlineStr">
        <is>
          <t>1400/03/18</t>
        </is>
      </c>
    </row>
    <row r="813">
      <c r="A813" t="n">
        <v>14000319</v>
      </c>
      <c r="B813" t="n">
        <v>44356</v>
      </c>
      <c r="C813" t="inlineStr">
        <is>
          <t>1400/03/19</t>
        </is>
      </c>
    </row>
    <row r="814">
      <c r="A814" t="n">
        <v>14000320</v>
      </c>
      <c r="B814" t="n">
        <v>44357</v>
      </c>
      <c r="C814" t="inlineStr">
        <is>
          <t>1400/03/20</t>
        </is>
      </c>
    </row>
    <row r="815">
      <c r="A815" t="n">
        <v>14000321</v>
      </c>
      <c r="B815" t="n">
        <v>44358</v>
      </c>
      <c r="C815" t="inlineStr">
        <is>
          <t>1400/03/21</t>
        </is>
      </c>
    </row>
    <row r="816">
      <c r="A816" t="n">
        <v>14000322</v>
      </c>
      <c r="B816" t="n">
        <v>44359</v>
      </c>
      <c r="C816" t="inlineStr">
        <is>
          <t>1400/03/22</t>
        </is>
      </c>
    </row>
    <row r="817">
      <c r="A817" t="n">
        <v>14000323</v>
      </c>
      <c r="B817" t="n">
        <v>44360</v>
      </c>
      <c r="C817" t="inlineStr">
        <is>
          <t>1400/03/23</t>
        </is>
      </c>
    </row>
    <row r="818">
      <c r="A818" t="n">
        <v>14000324</v>
      </c>
      <c r="B818" t="n">
        <v>44361</v>
      </c>
      <c r="C818" t="inlineStr">
        <is>
          <t>1400/03/24</t>
        </is>
      </c>
    </row>
    <row r="819">
      <c r="A819" t="n">
        <v>14000325</v>
      </c>
      <c r="B819" t="n">
        <v>44362</v>
      </c>
      <c r="C819" t="inlineStr">
        <is>
          <t>1400/03/25</t>
        </is>
      </c>
    </row>
    <row r="820">
      <c r="A820" t="n">
        <v>14000326</v>
      </c>
      <c r="B820" t="n">
        <v>44363</v>
      </c>
      <c r="C820" t="inlineStr">
        <is>
          <t>1400/03/26</t>
        </is>
      </c>
    </row>
    <row r="821">
      <c r="A821" t="n">
        <v>14000327</v>
      </c>
      <c r="B821" t="n">
        <v>44364</v>
      </c>
      <c r="C821" t="inlineStr">
        <is>
          <t>1400/03/27</t>
        </is>
      </c>
    </row>
    <row r="822">
      <c r="A822" t="n">
        <v>14000328</v>
      </c>
      <c r="B822" t="n">
        <v>44365</v>
      </c>
      <c r="C822" t="inlineStr">
        <is>
          <t>1400/03/28</t>
        </is>
      </c>
    </row>
    <row r="823">
      <c r="A823" t="n">
        <v>14000329</v>
      </c>
      <c r="B823" t="n">
        <v>44366</v>
      </c>
      <c r="C823" t="inlineStr">
        <is>
          <t>1400/03/29</t>
        </is>
      </c>
    </row>
    <row r="824">
      <c r="A824" t="n">
        <v>14000330</v>
      </c>
      <c r="B824" t="n">
        <v>44367</v>
      </c>
      <c r="C824" t="inlineStr">
        <is>
          <t>1400/03/30</t>
        </is>
      </c>
    </row>
    <row r="825">
      <c r="A825" t="n">
        <v>14000331</v>
      </c>
      <c r="B825" t="n">
        <v>44368</v>
      </c>
      <c r="C825" t="inlineStr">
        <is>
          <t>1400/03/31</t>
        </is>
      </c>
    </row>
    <row r="826">
      <c r="A826" t="n">
        <v>14000401</v>
      </c>
      <c r="B826" t="n">
        <v>44369</v>
      </c>
      <c r="C826" t="inlineStr">
        <is>
          <t>1400/04/01</t>
        </is>
      </c>
    </row>
    <row r="827">
      <c r="A827" t="n">
        <v>14000402</v>
      </c>
      <c r="B827" t="n">
        <v>44370</v>
      </c>
      <c r="C827" t="inlineStr">
        <is>
          <t>1400/04/02</t>
        </is>
      </c>
    </row>
    <row r="828">
      <c r="A828" t="n">
        <v>14000403</v>
      </c>
      <c r="B828" t="n">
        <v>44371</v>
      </c>
      <c r="C828" t="inlineStr">
        <is>
          <t>1400/04/03</t>
        </is>
      </c>
    </row>
    <row r="829">
      <c r="A829" t="n">
        <v>14000404</v>
      </c>
      <c r="B829" t="n">
        <v>44372</v>
      </c>
      <c r="C829" t="inlineStr">
        <is>
          <t>1400/04/04</t>
        </is>
      </c>
    </row>
    <row r="830">
      <c r="A830" t="n">
        <v>14000405</v>
      </c>
      <c r="B830" t="n">
        <v>44373</v>
      </c>
      <c r="C830" t="inlineStr">
        <is>
          <t>1400/04/05</t>
        </is>
      </c>
    </row>
    <row r="831">
      <c r="A831" t="n">
        <v>14000406</v>
      </c>
      <c r="B831" t="n">
        <v>44374</v>
      </c>
      <c r="C831" t="inlineStr">
        <is>
          <t>1400/04/06</t>
        </is>
      </c>
    </row>
    <row r="832">
      <c r="A832" t="n">
        <v>14000407</v>
      </c>
      <c r="B832" t="n">
        <v>44375</v>
      </c>
      <c r="C832" t="inlineStr">
        <is>
          <t>1400/04/07</t>
        </is>
      </c>
    </row>
    <row r="833">
      <c r="A833" t="n">
        <v>14000408</v>
      </c>
      <c r="B833" t="n">
        <v>44376</v>
      </c>
      <c r="C833" t="inlineStr">
        <is>
          <t>1400/04/08</t>
        </is>
      </c>
    </row>
    <row r="834">
      <c r="A834" t="n">
        <v>14000409</v>
      </c>
      <c r="B834" t="n">
        <v>44377</v>
      </c>
      <c r="C834" t="inlineStr">
        <is>
          <t>1400/04/09</t>
        </is>
      </c>
    </row>
    <row r="835">
      <c r="A835" t="n">
        <v>14000410</v>
      </c>
      <c r="B835" t="n">
        <v>44378</v>
      </c>
      <c r="C835" t="inlineStr">
        <is>
          <t>1400/04/10</t>
        </is>
      </c>
    </row>
    <row r="836">
      <c r="A836" t="n">
        <v>14000411</v>
      </c>
      <c r="B836" t="n">
        <v>44379</v>
      </c>
      <c r="C836" t="inlineStr">
        <is>
          <t>1400/04/11</t>
        </is>
      </c>
    </row>
    <row r="837">
      <c r="A837" t="n">
        <v>14000412</v>
      </c>
      <c r="B837" t="n">
        <v>44380</v>
      </c>
      <c r="C837" t="inlineStr">
        <is>
          <t>1400/04/12</t>
        </is>
      </c>
    </row>
    <row r="838">
      <c r="A838" t="n">
        <v>14000413</v>
      </c>
      <c r="B838" t="n">
        <v>44381</v>
      </c>
      <c r="C838" t="inlineStr">
        <is>
          <t>1400/04/13</t>
        </is>
      </c>
    </row>
    <row r="839">
      <c r="A839" t="n">
        <v>14000414</v>
      </c>
      <c r="B839" t="n">
        <v>44382</v>
      </c>
      <c r="C839" t="inlineStr">
        <is>
          <t>1400/04/14</t>
        </is>
      </c>
    </row>
    <row r="840">
      <c r="A840" t="n">
        <v>14000415</v>
      </c>
      <c r="B840" t="n">
        <v>44383</v>
      </c>
      <c r="C840" t="inlineStr">
        <is>
          <t>1400/04/15</t>
        </is>
      </c>
    </row>
    <row r="841">
      <c r="A841" t="n">
        <v>14000416</v>
      </c>
      <c r="B841" t="n">
        <v>44384</v>
      </c>
      <c r="C841" t="inlineStr">
        <is>
          <t>1400/04/16</t>
        </is>
      </c>
    </row>
    <row r="842">
      <c r="A842" t="n">
        <v>14000417</v>
      </c>
      <c r="B842" t="n">
        <v>44385</v>
      </c>
      <c r="C842" t="inlineStr">
        <is>
          <t>1400/04/17</t>
        </is>
      </c>
    </row>
    <row r="843">
      <c r="A843" t="n">
        <v>14000418</v>
      </c>
      <c r="B843" t="n">
        <v>44386</v>
      </c>
      <c r="C843" t="inlineStr">
        <is>
          <t>1400/04/18</t>
        </is>
      </c>
    </row>
    <row r="844">
      <c r="A844" t="n">
        <v>14000419</v>
      </c>
      <c r="B844" t="n">
        <v>44387</v>
      </c>
      <c r="C844" t="inlineStr">
        <is>
          <t>1400/04/19</t>
        </is>
      </c>
    </row>
    <row r="845">
      <c r="A845" t="n">
        <v>14000420</v>
      </c>
      <c r="B845" t="n">
        <v>44388</v>
      </c>
      <c r="C845" t="inlineStr">
        <is>
          <t>1400/04/20</t>
        </is>
      </c>
    </row>
    <row r="846">
      <c r="A846" t="n">
        <v>14000421</v>
      </c>
      <c r="B846" t="n">
        <v>44389</v>
      </c>
      <c r="C846" t="inlineStr">
        <is>
          <t>1400/04/21</t>
        </is>
      </c>
    </row>
    <row r="847">
      <c r="A847" t="n">
        <v>14000422</v>
      </c>
      <c r="B847" t="n">
        <v>44390</v>
      </c>
      <c r="C847" t="inlineStr">
        <is>
          <t>1400/04/22</t>
        </is>
      </c>
    </row>
    <row r="848">
      <c r="A848" t="n">
        <v>14000423</v>
      </c>
      <c r="B848" t="n">
        <v>44391</v>
      </c>
      <c r="C848" t="inlineStr">
        <is>
          <t>1400/04/23</t>
        </is>
      </c>
    </row>
    <row r="849">
      <c r="A849" t="n">
        <v>14000424</v>
      </c>
      <c r="B849" t="n">
        <v>44392</v>
      </c>
      <c r="C849" t="inlineStr">
        <is>
          <t>1400/04/24</t>
        </is>
      </c>
    </row>
    <row r="850">
      <c r="A850" t="n">
        <v>14000425</v>
      </c>
      <c r="B850" t="n">
        <v>44393</v>
      </c>
      <c r="C850" t="inlineStr">
        <is>
          <t>1400/04/25</t>
        </is>
      </c>
    </row>
    <row r="851">
      <c r="A851" t="n">
        <v>14000426</v>
      </c>
      <c r="B851" t="n">
        <v>44394</v>
      </c>
      <c r="C851" t="inlineStr">
        <is>
          <t>1400/04/26</t>
        </is>
      </c>
    </row>
    <row r="852">
      <c r="A852" t="n">
        <v>14000427</v>
      </c>
      <c r="B852" t="n">
        <v>44395</v>
      </c>
      <c r="C852" t="inlineStr">
        <is>
          <t>1400/04/27</t>
        </is>
      </c>
    </row>
    <row r="853">
      <c r="A853" t="n">
        <v>14000428</v>
      </c>
      <c r="B853" t="n">
        <v>44396</v>
      </c>
      <c r="C853" t="inlineStr">
        <is>
          <t>1400/04/28</t>
        </is>
      </c>
    </row>
    <row r="854">
      <c r="A854" t="n">
        <v>14000429</v>
      </c>
      <c r="B854" t="n">
        <v>44397</v>
      </c>
      <c r="C854" t="inlineStr">
        <is>
          <t>1400/04/29</t>
        </is>
      </c>
    </row>
    <row r="855">
      <c r="A855" t="n">
        <v>14000430</v>
      </c>
      <c r="B855" t="n">
        <v>44398</v>
      </c>
      <c r="C855" t="inlineStr">
        <is>
          <t>1400/04/30</t>
        </is>
      </c>
    </row>
    <row r="856">
      <c r="A856" t="n">
        <v>14000431</v>
      </c>
      <c r="B856" t="n">
        <v>44399</v>
      </c>
      <c r="C856" t="inlineStr">
        <is>
          <t>1400/04/31</t>
        </is>
      </c>
    </row>
    <row r="857">
      <c r="A857" t="n">
        <v>14000501</v>
      </c>
      <c r="B857" t="n">
        <v>44400</v>
      </c>
      <c r="C857" t="inlineStr">
        <is>
          <t>1400/05/01</t>
        </is>
      </c>
    </row>
    <row r="858">
      <c r="A858" t="n">
        <v>14000502</v>
      </c>
      <c r="B858" t="n">
        <v>44401</v>
      </c>
      <c r="C858" t="inlineStr">
        <is>
          <t>1400/05/02</t>
        </is>
      </c>
    </row>
    <row r="859">
      <c r="A859" t="n">
        <v>14000503</v>
      </c>
      <c r="B859" t="n">
        <v>44402</v>
      </c>
      <c r="C859" t="inlineStr">
        <is>
          <t>1400/05/03</t>
        </is>
      </c>
    </row>
    <row r="860">
      <c r="A860" t="n">
        <v>14000504</v>
      </c>
      <c r="B860" t="n">
        <v>44403</v>
      </c>
      <c r="C860" t="inlineStr">
        <is>
          <t>1400/05/04</t>
        </is>
      </c>
    </row>
    <row r="861">
      <c r="A861" t="n">
        <v>14000505</v>
      </c>
      <c r="B861" t="n">
        <v>44404</v>
      </c>
      <c r="C861" t="inlineStr">
        <is>
          <t>1400/05/05</t>
        </is>
      </c>
    </row>
    <row r="862">
      <c r="A862" t="n">
        <v>14000506</v>
      </c>
      <c r="B862" t="n">
        <v>44405</v>
      </c>
      <c r="C862" t="inlineStr">
        <is>
          <t>1400/05/06</t>
        </is>
      </c>
    </row>
    <row r="863">
      <c r="A863" t="n">
        <v>14000507</v>
      </c>
      <c r="B863" t="n">
        <v>44406</v>
      </c>
      <c r="C863" t="inlineStr">
        <is>
          <t>1400/05/07</t>
        </is>
      </c>
    </row>
    <row r="864">
      <c r="A864" t="n">
        <v>14000508</v>
      </c>
      <c r="B864" t="n">
        <v>44407</v>
      </c>
      <c r="C864" t="inlineStr">
        <is>
          <t>1400/05/08</t>
        </is>
      </c>
    </row>
    <row r="865">
      <c r="A865" t="n">
        <v>14000509</v>
      </c>
      <c r="B865" t="n">
        <v>44408</v>
      </c>
      <c r="C865" t="inlineStr">
        <is>
          <t>1400/05/09</t>
        </is>
      </c>
    </row>
    <row r="866">
      <c r="A866" t="n">
        <v>14000510</v>
      </c>
      <c r="B866" t="n">
        <v>44409</v>
      </c>
      <c r="C866" t="inlineStr">
        <is>
          <t>1400/05/10</t>
        </is>
      </c>
    </row>
    <row r="867">
      <c r="A867" t="n">
        <v>14000511</v>
      </c>
      <c r="B867" t="n">
        <v>44410</v>
      </c>
      <c r="C867" t="inlineStr">
        <is>
          <t>1400/05/11</t>
        </is>
      </c>
    </row>
    <row r="868">
      <c r="A868" t="n">
        <v>14000512</v>
      </c>
      <c r="B868" t="n">
        <v>44411</v>
      </c>
      <c r="C868" t="inlineStr">
        <is>
          <t>1400/05/12</t>
        </is>
      </c>
    </row>
    <row r="869">
      <c r="A869" t="n">
        <v>14000513</v>
      </c>
      <c r="B869" t="n">
        <v>44412</v>
      </c>
      <c r="C869" t="inlineStr">
        <is>
          <t>1400/05/13</t>
        </is>
      </c>
    </row>
    <row r="870">
      <c r="A870" t="n">
        <v>14000514</v>
      </c>
      <c r="B870" t="n">
        <v>44413</v>
      </c>
      <c r="C870" t="inlineStr">
        <is>
          <t>1400/05/14</t>
        </is>
      </c>
    </row>
    <row r="871">
      <c r="A871" t="n">
        <v>14000515</v>
      </c>
      <c r="B871" t="n">
        <v>44414</v>
      </c>
      <c r="C871" t="inlineStr">
        <is>
          <t>1400/05/15</t>
        </is>
      </c>
    </row>
    <row r="872">
      <c r="A872" t="n">
        <v>14000516</v>
      </c>
      <c r="B872" t="n">
        <v>44415</v>
      </c>
      <c r="C872" t="inlineStr">
        <is>
          <t>1400/05/16</t>
        </is>
      </c>
    </row>
    <row r="873">
      <c r="A873" t="n">
        <v>14000517</v>
      </c>
      <c r="B873" t="n">
        <v>44416</v>
      </c>
      <c r="C873" t="inlineStr">
        <is>
          <t>1400/05/17</t>
        </is>
      </c>
    </row>
    <row r="874">
      <c r="A874" t="n">
        <v>14000518</v>
      </c>
      <c r="B874" t="n">
        <v>44417</v>
      </c>
      <c r="C874" t="inlineStr">
        <is>
          <t>1400/05/18</t>
        </is>
      </c>
    </row>
    <row r="875">
      <c r="A875" t="n">
        <v>14000519</v>
      </c>
      <c r="B875" t="n">
        <v>44418</v>
      </c>
      <c r="C875" t="inlineStr">
        <is>
          <t>1400/05/19</t>
        </is>
      </c>
    </row>
    <row r="876">
      <c r="A876" t="n">
        <v>14000520</v>
      </c>
      <c r="B876" t="n">
        <v>44419</v>
      </c>
      <c r="C876" t="inlineStr">
        <is>
          <t>1400/05/20</t>
        </is>
      </c>
    </row>
    <row r="877">
      <c r="A877" t="n">
        <v>14000521</v>
      </c>
      <c r="B877" t="n">
        <v>44420</v>
      </c>
      <c r="C877" t="inlineStr">
        <is>
          <t>1400/05/21</t>
        </is>
      </c>
    </row>
    <row r="878">
      <c r="A878" t="n">
        <v>14000522</v>
      </c>
      <c r="B878" t="n">
        <v>44421</v>
      </c>
      <c r="C878" t="inlineStr">
        <is>
          <t>1400/05/22</t>
        </is>
      </c>
    </row>
    <row r="879">
      <c r="A879" t="n">
        <v>14000523</v>
      </c>
      <c r="B879" t="n">
        <v>44422</v>
      </c>
      <c r="C879" t="inlineStr">
        <is>
          <t>1400/05/23</t>
        </is>
      </c>
    </row>
    <row r="880">
      <c r="A880" t="n">
        <v>14000524</v>
      </c>
      <c r="B880" t="n">
        <v>44423</v>
      </c>
      <c r="C880" t="inlineStr">
        <is>
          <t>1400/05/24</t>
        </is>
      </c>
    </row>
    <row r="881">
      <c r="A881" t="n">
        <v>14000525</v>
      </c>
      <c r="B881" t="n">
        <v>44424</v>
      </c>
      <c r="C881" t="inlineStr">
        <is>
          <t>1400/05/25</t>
        </is>
      </c>
    </row>
    <row r="882">
      <c r="A882" t="n">
        <v>14000526</v>
      </c>
      <c r="B882" t="n">
        <v>44425</v>
      </c>
      <c r="C882" t="inlineStr">
        <is>
          <t>1400/05/26</t>
        </is>
      </c>
    </row>
    <row r="883">
      <c r="A883" t="n">
        <v>14000527</v>
      </c>
      <c r="B883" t="n">
        <v>44426</v>
      </c>
      <c r="C883" t="inlineStr">
        <is>
          <t>1400/05/27</t>
        </is>
      </c>
    </row>
    <row r="884">
      <c r="A884" t="n">
        <v>14000528</v>
      </c>
      <c r="B884" t="n">
        <v>44427</v>
      </c>
      <c r="C884" t="inlineStr">
        <is>
          <t>1400/05/28</t>
        </is>
      </c>
    </row>
    <row r="885">
      <c r="A885" t="n">
        <v>14000529</v>
      </c>
      <c r="B885" t="n">
        <v>44428</v>
      </c>
      <c r="C885" t="inlineStr">
        <is>
          <t>1400/05/29</t>
        </is>
      </c>
    </row>
    <row r="886">
      <c r="A886" t="n">
        <v>14000530</v>
      </c>
      <c r="B886" t="n">
        <v>44429</v>
      </c>
      <c r="C886" t="inlineStr">
        <is>
          <t>1400/05/30</t>
        </is>
      </c>
    </row>
    <row r="887">
      <c r="A887" t="n">
        <v>14000531</v>
      </c>
      <c r="B887" t="n">
        <v>44430</v>
      </c>
      <c r="C887" t="inlineStr">
        <is>
          <t>1400/05/31</t>
        </is>
      </c>
    </row>
    <row r="888">
      <c r="A888" t="n">
        <v>14000601</v>
      </c>
      <c r="B888" t="n">
        <v>44431</v>
      </c>
      <c r="C888" t="inlineStr">
        <is>
          <t>1400/06/01</t>
        </is>
      </c>
    </row>
    <row r="889">
      <c r="A889" t="n">
        <v>14000602</v>
      </c>
      <c r="B889" t="n">
        <v>44432</v>
      </c>
      <c r="C889" t="inlineStr">
        <is>
          <t>1400/06/02</t>
        </is>
      </c>
    </row>
    <row r="890">
      <c r="A890" t="n">
        <v>14000603</v>
      </c>
      <c r="B890" t="n">
        <v>44433</v>
      </c>
      <c r="C890" t="inlineStr">
        <is>
          <t>1400/06/03</t>
        </is>
      </c>
    </row>
    <row r="891">
      <c r="A891" t="n">
        <v>14000604</v>
      </c>
      <c r="B891" t="n">
        <v>44434</v>
      </c>
      <c r="C891" t="inlineStr">
        <is>
          <t>1400/06/04</t>
        </is>
      </c>
    </row>
    <row r="892">
      <c r="A892" t="n">
        <v>14000605</v>
      </c>
      <c r="B892" t="n">
        <v>44435</v>
      </c>
      <c r="C892" t="inlineStr">
        <is>
          <t>1400/06/05</t>
        </is>
      </c>
    </row>
    <row r="893">
      <c r="A893" t="n">
        <v>14000606</v>
      </c>
      <c r="B893" t="n">
        <v>44436</v>
      </c>
      <c r="C893" t="inlineStr">
        <is>
          <t>1400/06/06</t>
        </is>
      </c>
    </row>
    <row r="894">
      <c r="A894" t="n">
        <v>14000607</v>
      </c>
      <c r="B894" t="n">
        <v>44437</v>
      </c>
      <c r="C894" t="inlineStr">
        <is>
          <t>1400/06/07</t>
        </is>
      </c>
    </row>
    <row r="895">
      <c r="A895" t="n">
        <v>14000608</v>
      </c>
      <c r="B895" t="n">
        <v>44438</v>
      </c>
      <c r="C895" t="inlineStr">
        <is>
          <t>1400/06/08</t>
        </is>
      </c>
    </row>
    <row r="896">
      <c r="A896" t="n">
        <v>14000609</v>
      </c>
      <c r="B896" t="n">
        <v>44439</v>
      </c>
      <c r="C896" t="inlineStr">
        <is>
          <t>1400/06/09</t>
        </is>
      </c>
    </row>
    <row r="897">
      <c r="A897" t="n">
        <v>14000610</v>
      </c>
      <c r="B897" t="n">
        <v>44440</v>
      </c>
      <c r="C897" t="inlineStr">
        <is>
          <t>1400/06/10</t>
        </is>
      </c>
    </row>
    <row r="898">
      <c r="A898" t="n">
        <v>14000611</v>
      </c>
      <c r="B898" t="n">
        <v>44441</v>
      </c>
      <c r="C898" t="inlineStr">
        <is>
          <t>1400/06/11</t>
        </is>
      </c>
    </row>
    <row r="899">
      <c r="A899" t="n">
        <v>14000612</v>
      </c>
      <c r="B899" t="n">
        <v>44442</v>
      </c>
      <c r="C899" t="inlineStr">
        <is>
          <t>1400/06/12</t>
        </is>
      </c>
    </row>
    <row r="900">
      <c r="A900" t="n">
        <v>14000613</v>
      </c>
      <c r="B900" t="n">
        <v>44443</v>
      </c>
      <c r="C900" t="inlineStr">
        <is>
          <t>1400/06/13</t>
        </is>
      </c>
    </row>
    <row r="901">
      <c r="A901" t="n">
        <v>14000614</v>
      </c>
      <c r="B901" t="n">
        <v>44444</v>
      </c>
      <c r="C901" t="inlineStr">
        <is>
          <t>1400/06/14</t>
        </is>
      </c>
    </row>
    <row r="902">
      <c r="A902" t="n">
        <v>14000615</v>
      </c>
      <c r="B902" t="n">
        <v>44445</v>
      </c>
      <c r="C902" t="inlineStr">
        <is>
          <t>1400/06/15</t>
        </is>
      </c>
    </row>
    <row r="903">
      <c r="A903" t="n">
        <v>14000616</v>
      </c>
      <c r="B903" t="n">
        <v>44446</v>
      </c>
      <c r="C903" t="inlineStr">
        <is>
          <t>1400/06/16</t>
        </is>
      </c>
    </row>
    <row r="904">
      <c r="A904" t="n">
        <v>14000617</v>
      </c>
      <c r="B904" t="n">
        <v>44447</v>
      </c>
      <c r="C904" t="inlineStr">
        <is>
          <t>1400/06/17</t>
        </is>
      </c>
    </row>
    <row r="905">
      <c r="A905" t="n">
        <v>14000618</v>
      </c>
      <c r="B905" t="n">
        <v>44448</v>
      </c>
      <c r="C905" t="inlineStr">
        <is>
          <t>1400/06/18</t>
        </is>
      </c>
    </row>
    <row r="906">
      <c r="A906" t="n">
        <v>14000619</v>
      </c>
      <c r="B906" t="n">
        <v>44449</v>
      </c>
      <c r="C906" t="inlineStr">
        <is>
          <t>1400/06/19</t>
        </is>
      </c>
    </row>
    <row r="907">
      <c r="A907" t="n">
        <v>14000620</v>
      </c>
      <c r="B907" t="n">
        <v>44450</v>
      </c>
      <c r="C907" t="inlineStr">
        <is>
          <t>1400/06/20</t>
        </is>
      </c>
    </row>
    <row r="908">
      <c r="A908" t="n">
        <v>14000621</v>
      </c>
      <c r="B908" t="n">
        <v>44451</v>
      </c>
      <c r="C908" t="inlineStr">
        <is>
          <t>1400/06/21</t>
        </is>
      </c>
    </row>
    <row r="909">
      <c r="A909" t="n">
        <v>14000622</v>
      </c>
      <c r="B909" t="n">
        <v>44452</v>
      </c>
      <c r="C909" t="inlineStr">
        <is>
          <t>1400/06/22</t>
        </is>
      </c>
    </row>
    <row r="910">
      <c r="A910" t="n">
        <v>14000623</v>
      </c>
      <c r="B910" t="n">
        <v>44453</v>
      </c>
      <c r="C910" t="inlineStr">
        <is>
          <t>1400/06/23</t>
        </is>
      </c>
    </row>
    <row r="911">
      <c r="A911" t="n">
        <v>14000624</v>
      </c>
      <c r="B911" t="n">
        <v>44454</v>
      </c>
      <c r="C911" t="inlineStr">
        <is>
          <t>1400/06/24</t>
        </is>
      </c>
    </row>
    <row r="912">
      <c r="A912" t="n">
        <v>14000625</v>
      </c>
      <c r="B912" t="n">
        <v>44455</v>
      </c>
      <c r="C912" t="inlineStr">
        <is>
          <t>1400/06/25</t>
        </is>
      </c>
    </row>
    <row r="913">
      <c r="A913" t="n">
        <v>14000626</v>
      </c>
      <c r="B913" t="n">
        <v>44456</v>
      </c>
      <c r="C913" t="inlineStr">
        <is>
          <t>1400/06/26</t>
        </is>
      </c>
    </row>
    <row r="914">
      <c r="A914" t="n">
        <v>14000627</v>
      </c>
      <c r="B914" t="n">
        <v>44457</v>
      </c>
      <c r="C914" t="inlineStr">
        <is>
          <t>1400/06/27</t>
        </is>
      </c>
    </row>
    <row r="915">
      <c r="A915" t="n">
        <v>14000628</v>
      </c>
      <c r="B915" t="n">
        <v>44458</v>
      </c>
      <c r="C915" t="inlineStr">
        <is>
          <t>1400/06/28</t>
        </is>
      </c>
    </row>
    <row r="916">
      <c r="A916" t="n">
        <v>14000629</v>
      </c>
      <c r="B916" t="n">
        <v>44459</v>
      </c>
      <c r="C916" t="inlineStr">
        <is>
          <t>1400/06/29</t>
        </is>
      </c>
    </row>
    <row r="917">
      <c r="A917" t="n">
        <v>14000630</v>
      </c>
      <c r="B917" t="n">
        <v>44460</v>
      </c>
      <c r="C917" t="inlineStr">
        <is>
          <t>1400/06/30</t>
        </is>
      </c>
    </row>
    <row r="918">
      <c r="A918" t="n">
        <v>14000631</v>
      </c>
      <c r="B918" t="n">
        <v>44461</v>
      </c>
      <c r="C918" t="inlineStr">
        <is>
          <t>1400/06/31</t>
        </is>
      </c>
    </row>
    <row r="919">
      <c r="A919" t="n">
        <v>14000701</v>
      </c>
      <c r="B919" t="n">
        <v>44462</v>
      </c>
      <c r="C919" t="inlineStr">
        <is>
          <t>1400/07/01</t>
        </is>
      </c>
    </row>
    <row r="920">
      <c r="A920" t="n">
        <v>14000702</v>
      </c>
      <c r="B920" t="n">
        <v>44463</v>
      </c>
      <c r="C920" t="inlineStr">
        <is>
          <t>1400/07/02</t>
        </is>
      </c>
    </row>
    <row r="921">
      <c r="A921" t="n">
        <v>14000703</v>
      </c>
      <c r="B921" t="n">
        <v>44464</v>
      </c>
      <c r="C921" t="inlineStr">
        <is>
          <t>1400/07/03</t>
        </is>
      </c>
    </row>
    <row r="922">
      <c r="A922" t="n">
        <v>14000704</v>
      </c>
      <c r="B922" t="n">
        <v>44465</v>
      </c>
      <c r="C922" t="inlineStr">
        <is>
          <t>1400/07/04</t>
        </is>
      </c>
    </row>
    <row r="923">
      <c r="A923" t="n">
        <v>14000705</v>
      </c>
      <c r="B923" t="n">
        <v>44466</v>
      </c>
      <c r="C923" t="inlineStr">
        <is>
          <t>1400/07/05</t>
        </is>
      </c>
    </row>
    <row r="924">
      <c r="A924" t="n">
        <v>14000706</v>
      </c>
      <c r="B924" t="n">
        <v>44467</v>
      </c>
      <c r="C924" t="inlineStr">
        <is>
          <t>1400/07/06</t>
        </is>
      </c>
    </row>
    <row r="925">
      <c r="A925" t="n">
        <v>14000707</v>
      </c>
      <c r="B925" t="n">
        <v>44468</v>
      </c>
      <c r="C925" t="inlineStr">
        <is>
          <t>1400/07/07</t>
        </is>
      </c>
    </row>
    <row r="926">
      <c r="A926" t="n">
        <v>14000708</v>
      </c>
      <c r="B926" t="n">
        <v>44469</v>
      </c>
      <c r="C926" t="inlineStr">
        <is>
          <t>1400/07/08</t>
        </is>
      </c>
    </row>
    <row r="927">
      <c r="A927" t="n">
        <v>14000709</v>
      </c>
      <c r="B927" t="n">
        <v>44470</v>
      </c>
      <c r="C927" t="inlineStr">
        <is>
          <t>1400/07/09</t>
        </is>
      </c>
    </row>
    <row r="928">
      <c r="A928" t="n">
        <v>14000710</v>
      </c>
      <c r="B928" t="n">
        <v>44471</v>
      </c>
      <c r="C928" t="inlineStr">
        <is>
          <t>1400/07/10</t>
        </is>
      </c>
    </row>
    <row r="929">
      <c r="A929" t="n">
        <v>14000711</v>
      </c>
      <c r="B929" t="n">
        <v>44472</v>
      </c>
      <c r="C929" t="inlineStr">
        <is>
          <t>1400/07/11</t>
        </is>
      </c>
    </row>
    <row r="930">
      <c r="A930" t="n">
        <v>14000712</v>
      </c>
      <c r="B930" t="n">
        <v>44473</v>
      </c>
      <c r="C930" t="inlineStr">
        <is>
          <t>1400/07/12</t>
        </is>
      </c>
    </row>
    <row r="931">
      <c r="A931" t="n">
        <v>14000713</v>
      </c>
      <c r="B931" t="n">
        <v>44474</v>
      </c>
      <c r="C931" t="inlineStr">
        <is>
          <t>1400/07/13</t>
        </is>
      </c>
    </row>
    <row r="932">
      <c r="A932" t="n">
        <v>14000714</v>
      </c>
      <c r="B932" t="n">
        <v>44475</v>
      </c>
      <c r="C932" t="inlineStr">
        <is>
          <t>1400/07/14</t>
        </is>
      </c>
    </row>
    <row r="933">
      <c r="A933" t="n">
        <v>14000715</v>
      </c>
      <c r="B933" t="n">
        <v>44476</v>
      </c>
      <c r="C933" t="inlineStr">
        <is>
          <t>1400/07/15</t>
        </is>
      </c>
    </row>
    <row r="934">
      <c r="A934" t="n">
        <v>14000716</v>
      </c>
      <c r="B934" t="n">
        <v>44477</v>
      </c>
      <c r="C934" t="inlineStr">
        <is>
          <t>1400/07/16</t>
        </is>
      </c>
    </row>
    <row r="935">
      <c r="A935" t="n">
        <v>14000717</v>
      </c>
      <c r="B935" t="n">
        <v>44478</v>
      </c>
      <c r="C935" t="inlineStr">
        <is>
          <t>1400/07/17</t>
        </is>
      </c>
    </row>
    <row r="936">
      <c r="A936" t="n">
        <v>14000718</v>
      </c>
      <c r="B936" t="n">
        <v>44479</v>
      </c>
      <c r="C936" t="inlineStr">
        <is>
          <t>1400/07/18</t>
        </is>
      </c>
    </row>
    <row r="937">
      <c r="A937" t="n">
        <v>14000719</v>
      </c>
      <c r="B937" t="n">
        <v>44480</v>
      </c>
      <c r="C937" t="inlineStr">
        <is>
          <t>1400/07/19</t>
        </is>
      </c>
    </row>
    <row r="938">
      <c r="A938" t="n">
        <v>14000720</v>
      </c>
      <c r="B938" t="n">
        <v>44481</v>
      </c>
      <c r="C938" t="inlineStr">
        <is>
          <t>1400/07/20</t>
        </is>
      </c>
    </row>
    <row r="939">
      <c r="A939" t="n">
        <v>14000721</v>
      </c>
      <c r="B939" t="n">
        <v>44482</v>
      </c>
      <c r="C939" t="inlineStr">
        <is>
          <t>1400/07/21</t>
        </is>
      </c>
    </row>
    <row r="940">
      <c r="A940" t="n">
        <v>14000722</v>
      </c>
      <c r="B940" t="n">
        <v>44483</v>
      </c>
      <c r="C940" t="inlineStr">
        <is>
          <t>1400/07/22</t>
        </is>
      </c>
    </row>
    <row r="941">
      <c r="A941" t="n">
        <v>14000723</v>
      </c>
      <c r="B941" t="n">
        <v>44484</v>
      </c>
      <c r="C941" t="inlineStr">
        <is>
          <t>1400/07/23</t>
        </is>
      </c>
    </row>
    <row r="942">
      <c r="A942" t="n">
        <v>14000724</v>
      </c>
      <c r="B942" t="n">
        <v>44485</v>
      </c>
      <c r="C942" t="inlineStr">
        <is>
          <t>1400/07/24</t>
        </is>
      </c>
    </row>
    <row r="943">
      <c r="A943" t="n">
        <v>14000725</v>
      </c>
      <c r="B943" t="n">
        <v>44486</v>
      </c>
      <c r="C943" t="inlineStr">
        <is>
          <t>1400/07/25</t>
        </is>
      </c>
    </row>
    <row r="944">
      <c r="A944" t="n">
        <v>14000726</v>
      </c>
      <c r="B944" t="n">
        <v>44487</v>
      </c>
      <c r="C944" t="inlineStr">
        <is>
          <t>1400/07/26</t>
        </is>
      </c>
    </row>
    <row r="945">
      <c r="A945" t="n">
        <v>14000727</v>
      </c>
      <c r="B945" t="n">
        <v>44488</v>
      </c>
      <c r="C945" t="inlineStr">
        <is>
          <t>1400/07/27</t>
        </is>
      </c>
    </row>
    <row r="946">
      <c r="A946" t="n">
        <v>14000728</v>
      </c>
      <c r="B946" t="n">
        <v>44489</v>
      </c>
      <c r="C946" t="inlineStr">
        <is>
          <t>1400/07/28</t>
        </is>
      </c>
    </row>
    <row r="947">
      <c r="A947" t="n">
        <v>14000729</v>
      </c>
      <c r="B947" t="n">
        <v>44490</v>
      </c>
      <c r="C947" t="inlineStr">
        <is>
          <t>1400/07/29</t>
        </is>
      </c>
    </row>
    <row r="948">
      <c r="A948" t="n">
        <v>14000730</v>
      </c>
      <c r="B948" t="n">
        <v>44491</v>
      </c>
      <c r="C948" t="inlineStr">
        <is>
          <t>1400/07/30</t>
        </is>
      </c>
    </row>
    <row r="949">
      <c r="A949" t="n">
        <v>14000801</v>
      </c>
      <c r="B949" t="n">
        <v>44492</v>
      </c>
      <c r="C949" t="inlineStr">
        <is>
          <t>1400/08/01</t>
        </is>
      </c>
    </row>
    <row r="950">
      <c r="A950" t="n">
        <v>14000802</v>
      </c>
      <c r="B950" t="n">
        <v>44493</v>
      </c>
      <c r="C950" t="inlineStr">
        <is>
          <t>1400/08/02</t>
        </is>
      </c>
    </row>
    <row r="951">
      <c r="A951" t="n">
        <v>14000803</v>
      </c>
      <c r="B951" t="n">
        <v>44494</v>
      </c>
      <c r="C951" t="inlineStr">
        <is>
          <t>1400/08/03</t>
        </is>
      </c>
    </row>
    <row r="952">
      <c r="A952" t="n">
        <v>14000804</v>
      </c>
      <c r="B952" t="n">
        <v>44495</v>
      </c>
      <c r="C952" t="inlineStr">
        <is>
          <t>1400/08/04</t>
        </is>
      </c>
    </row>
    <row r="953">
      <c r="A953" t="n">
        <v>14000805</v>
      </c>
      <c r="B953" t="n">
        <v>44496</v>
      </c>
      <c r="C953" t="inlineStr">
        <is>
          <t>1400/08/05</t>
        </is>
      </c>
    </row>
    <row r="954">
      <c r="A954" t="n">
        <v>14000806</v>
      </c>
      <c r="B954" t="n">
        <v>44497</v>
      </c>
      <c r="C954" t="inlineStr">
        <is>
          <t>1400/08/06</t>
        </is>
      </c>
    </row>
    <row r="955">
      <c r="A955" t="n">
        <v>14000807</v>
      </c>
      <c r="B955" t="n">
        <v>44498</v>
      </c>
      <c r="C955" t="inlineStr">
        <is>
          <t>1400/08/07</t>
        </is>
      </c>
    </row>
    <row r="956">
      <c r="A956" t="n">
        <v>14000808</v>
      </c>
      <c r="B956" t="n">
        <v>44499</v>
      </c>
      <c r="C956" t="inlineStr">
        <is>
          <t>1400/08/08</t>
        </is>
      </c>
    </row>
    <row r="957">
      <c r="A957" t="n">
        <v>14000809</v>
      </c>
      <c r="B957" t="n">
        <v>44500</v>
      </c>
      <c r="C957" t="inlineStr">
        <is>
          <t>1400/08/09</t>
        </is>
      </c>
    </row>
    <row r="958">
      <c r="A958" t="n">
        <v>14000810</v>
      </c>
      <c r="B958" t="n">
        <v>44501</v>
      </c>
      <c r="C958" t="inlineStr">
        <is>
          <t>1400/08/10</t>
        </is>
      </c>
    </row>
    <row r="959">
      <c r="A959" t="n">
        <v>14000811</v>
      </c>
      <c r="B959" t="n">
        <v>44502</v>
      </c>
      <c r="C959" t="inlineStr">
        <is>
          <t>1400/08/11</t>
        </is>
      </c>
    </row>
    <row r="960">
      <c r="A960" t="n">
        <v>14000812</v>
      </c>
      <c r="B960" t="n">
        <v>44503</v>
      </c>
      <c r="C960" t="inlineStr">
        <is>
          <t>1400/08/12</t>
        </is>
      </c>
    </row>
    <row r="961">
      <c r="A961" t="n">
        <v>14000813</v>
      </c>
      <c r="B961" t="n">
        <v>44504</v>
      </c>
      <c r="C961" t="inlineStr">
        <is>
          <t>1400/08/13</t>
        </is>
      </c>
    </row>
    <row r="962">
      <c r="A962" t="n">
        <v>14000814</v>
      </c>
      <c r="B962" t="n">
        <v>44505</v>
      </c>
      <c r="C962" t="inlineStr">
        <is>
          <t>1400/08/14</t>
        </is>
      </c>
    </row>
    <row r="963">
      <c r="A963" t="n">
        <v>14000815</v>
      </c>
      <c r="B963" t="n">
        <v>44506</v>
      </c>
      <c r="C963" t="inlineStr">
        <is>
          <t>1400/08/15</t>
        </is>
      </c>
    </row>
    <row r="964">
      <c r="A964" t="n">
        <v>14000816</v>
      </c>
      <c r="B964" t="n">
        <v>44507</v>
      </c>
      <c r="C964" t="inlineStr">
        <is>
          <t>1400/08/16</t>
        </is>
      </c>
    </row>
    <row r="965">
      <c r="A965" t="n">
        <v>14000817</v>
      </c>
      <c r="B965" t="n">
        <v>44508</v>
      </c>
      <c r="C965" t="inlineStr">
        <is>
          <t>1400/08/17</t>
        </is>
      </c>
    </row>
    <row r="966">
      <c r="A966" t="n">
        <v>14000818</v>
      </c>
      <c r="B966" t="n">
        <v>44509</v>
      </c>
      <c r="C966" t="inlineStr">
        <is>
          <t>1400/08/18</t>
        </is>
      </c>
    </row>
    <row r="967">
      <c r="A967" t="n">
        <v>14000819</v>
      </c>
      <c r="B967" t="n">
        <v>44510</v>
      </c>
      <c r="C967" t="inlineStr">
        <is>
          <t>1400/08/19</t>
        </is>
      </c>
    </row>
    <row r="968">
      <c r="A968" t="n">
        <v>14000820</v>
      </c>
      <c r="B968" t="n">
        <v>44511</v>
      </c>
      <c r="C968" t="inlineStr">
        <is>
          <t>1400/08/20</t>
        </is>
      </c>
    </row>
    <row r="969">
      <c r="A969" t="n">
        <v>14000821</v>
      </c>
      <c r="B969" t="n">
        <v>44512</v>
      </c>
      <c r="C969" t="inlineStr">
        <is>
          <t>1400/08/21</t>
        </is>
      </c>
    </row>
    <row r="970">
      <c r="A970" t="n">
        <v>14000822</v>
      </c>
      <c r="B970" t="n">
        <v>44513</v>
      </c>
      <c r="C970" t="inlineStr">
        <is>
          <t>1400/08/22</t>
        </is>
      </c>
    </row>
    <row r="971">
      <c r="A971" t="n">
        <v>14000823</v>
      </c>
      <c r="B971" t="n">
        <v>44514</v>
      </c>
      <c r="C971" t="inlineStr">
        <is>
          <t>1400/08/23</t>
        </is>
      </c>
    </row>
    <row r="972">
      <c r="A972" t="n">
        <v>14000824</v>
      </c>
      <c r="B972" t="n">
        <v>44515</v>
      </c>
      <c r="C972" t="inlineStr">
        <is>
          <t>1400/08/24</t>
        </is>
      </c>
    </row>
    <row r="973">
      <c r="A973" t="n">
        <v>14000825</v>
      </c>
      <c r="B973" t="n">
        <v>44516</v>
      </c>
      <c r="C973" t="inlineStr">
        <is>
          <t>1400/08/25</t>
        </is>
      </c>
    </row>
    <row r="974">
      <c r="A974" t="n">
        <v>14000826</v>
      </c>
      <c r="B974" t="n">
        <v>44517</v>
      </c>
      <c r="C974" t="inlineStr">
        <is>
          <t>1400/08/26</t>
        </is>
      </c>
    </row>
    <row r="975">
      <c r="A975" t="n">
        <v>14000827</v>
      </c>
      <c r="B975" t="n">
        <v>44518</v>
      </c>
      <c r="C975" t="inlineStr">
        <is>
          <t>1400/08/27</t>
        </is>
      </c>
    </row>
    <row r="976">
      <c r="A976" t="n">
        <v>14000828</v>
      </c>
      <c r="B976" t="n">
        <v>44519</v>
      </c>
      <c r="C976" t="inlineStr">
        <is>
          <t>1400/08/28</t>
        </is>
      </c>
    </row>
    <row r="977">
      <c r="A977" t="n">
        <v>14000829</v>
      </c>
      <c r="B977" t="n">
        <v>44520</v>
      </c>
      <c r="C977" t="inlineStr">
        <is>
          <t>1400/08/29</t>
        </is>
      </c>
    </row>
    <row r="978">
      <c r="A978" t="n">
        <v>14000830</v>
      </c>
      <c r="B978" t="n">
        <v>44521</v>
      </c>
      <c r="C978" t="inlineStr">
        <is>
          <t>1400/08/30</t>
        </is>
      </c>
    </row>
    <row r="979">
      <c r="A979" t="n">
        <v>14000901</v>
      </c>
      <c r="B979" t="n">
        <v>44522</v>
      </c>
      <c r="C979" t="inlineStr">
        <is>
          <t>1400/09/01</t>
        </is>
      </c>
    </row>
    <row r="980">
      <c r="A980" t="n">
        <v>14000902</v>
      </c>
      <c r="B980" t="n">
        <v>44523</v>
      </c>
      <c r="C980" t="inlineStr">
        <is>
          <t>1400/09/02</t>
        </is>
      </c>
    </row>
    <row r="981">
      <c r="A981" t="n">
        <v>14000903</v>
      </c>
      <c r="B981" t="n">
        <v>44524</v>
      </c>
      <c r="C981" t="inlineStr">
        <is>
          <t>1400/09/03</t>
        </is>
      </c>
    </row>
    <row r="982">
      <c r="A982" t="n">
        <v>14000904</v>
      </c>
      <c r="B982" t="n">
        <v>44525</v>
      </c>
      <c r="C982" t="inlineStr">
        <is>
          <t>1400/09/04</t>
        </is>
      </c>
    </row>
    <row r="983">
      <c r="A983" t="n">
        <v>14000905</v>
      </c>
      <c r="B983" t="n">
        <v>44526</v>
      </c>
      <c r="C983" t="inlineStr">
        <is>
          <t>1400/09/05</t>
        </is>
      </c>
    </row>
    <row r="984">
      <c r="A984" t="n">
        <v>14000906</v>
      </c>
      <c r="B984" t="n">
        <v>44527</v>
      </c>
      <c r="C984" t="inlineStr">
        <is>
          <t>1400/09/06</t>
        </is>
      </c>
    </row>
    <row r="985">
      <c r="A985" t="n">
        <v>14000907</v>
      </c>
      <c r="B985" t="n">
        <v>44528</v>
      </c>
      <c r="C985" t="inlineStr">
        <is>
          <t>1400/09/07</t>
        </is>
      </c>
    </row>
    <row r="986">
      <c r="A986" t="n">
        <v>14000908</v>
      </c>
      <c r="B986" t="n">
        <v>44529</v>
      </c>
      <c r="C986" t="inlineStr">
        <is>
          <t>1400/09/08</t>
        </is>
      </c>
    </row>
    <row r="987">
      <c r="A987" t="n">
        <v>14000909</v>
      </c>
      <c r="B987" t="n">
        <v>44530</v>
      </c>
      <c r="C987" t="inlineStr">
        <is>
          <t>1400/09/09</t>
        </is>
      </c>
    </row>
    <row r="988">
      <c r="A988" t="n">
        <v>14000910</v>
      </c>
      <c r="B988" t="n">
        <v>44531</v>
      </c>
      <c r="C988" t="inlineStr">
        <is>
          <t>1400/09/10</t>
        </is>
      </c>
    </row>
    <row r="989">
      <c r="A989" t="n">
        <v>14000911</v>
      </c>
      <c r="B989" t="n">
        <v>44532</v>
      </c>
      <c r="C989" t="inlineStr">
        <is>
          <t>1400/09/11</t>
        </is>
      </c>
    </row>
    <row r="990">
      <c r="A990" t="n">
        <v>14000912</v>
      </c>
      <c r="B990" t="n">
        <v>44533</v>
      </c>
      <c r="C990" t="inlineStr">
        <is>
          <t>1400/09/12</t>
        </is>
      </c>
    </row>
    <row r="991">
      <c r="A991" t="n">
        <v>14000913</v>
      </c>
      <c r="B991" t="n">
        <v>44534</v>
      </c>
      <c r="C991" t="inlineStr">
        <is>
          <t>1400/09/13</t>
        </is>
      </c>
    </row>
    <row r="992">
      <c r="A992" t="n">
        <v>14000914</v>
      </c>
      <c r="B992" t="n">
        <v>44535</v>
      </c>
      <c r="C992" t="inlineStr">
        <is>
          <t>1400/09/14</t>
        </is>
      </c>
    </row>
    <row r="993">
      <c r="A993" t="n">
        <v>14000915</v>
      </c>
      <c r="B993" t="n">
        <v>44536</v>
      </c>
      <c r="C993" t="inlineStr">
        <is>
          <t>1400/09/15</t>
        </is>
      </c>
    </row>
    <row r="994">
      <c r="A994" t="n">
        <v>14000916</v>
      </c>
      <c r="B994" t="n">
        <v>44537</v>
      </c>
      <c r="C994" t="inlineStr">
        <is>
          <t>1400/09/16</t>
        </is>
      </c>
    </row>
    <row r="995">
      <c r="A995" t="n">
        <v>14000917</v>
      </c>
      <c r="B995" t="n">
        <v>44538</v>
      </c>
      <c r="C995" t="inlineStr">
        <is>
          <t>1400/09/17</t>
        </is>
      </c>
    </row>
    <row r="996">
      <c r="A996" t="n">
        <v>14000918</v>
      </c>
      <c r="B996" t="n">
        <v>44539</v>
      </c>
      <c r="C996" t="inlineStr">
        <is>
          <t>1400/09/18</t>
        </is>
      </c>
    </row>
    <row r="997">
      <c r="A997" t="n">
        <v>14000919</v>
      </c>
      <c r="B997" t="n">
        <v>44540</v>
      </c>
      <c r="C997" t="inlineStr">
        <is>
          <t>1400/09/19</t>
        </is>
      </c>
    </row>
    <row r="998">
      <c r="A998" t="n">
        <v>14000920</v>
      </c>
      <c r="B998" t="n">
        <v>44541</v>
      </c>
      <c r="C998" t="inlineStr">
        <is>
          <t>1400/09/20</t>
        </is>
      </c>
    </row>
    <row r="999">
      <c r="A999" t="n">
        <v>14000921</v>
      </c>
      <c r="B999" t="n">
        <v>44542</v>
      </c>
      <c r="C999" t="inlineStr">
        <is>
          <t>1400/09/21</t>
        </is>
      </c>
    </row>
    <row r="1000">
      <c r="A1000" t="n">
        <v>14000922</v>
      </c>
      <c r="B1000" t="n">
        <v>44543</v>
      </c>
      <c r="C1000" t="inlineStr">
        <is>
          <t>1400/09/22</t>
        </is>
      </c>
    </row>
    <row r="1001">
      <c r="A1001" t="n">
        <v>14000923</v>
      </c>
      <c r="B1001" t="n">
        <v>44544</v>
      </c>
      <c r="C1001" t="inlineStr">
        <is>
          <t>1400/09/23</t>
        </is>
      </c>
    </row>
    <row r="1002">
      <c r="A1002" t="n">
        <v>14000924</v>
      </c>
      <c r="B1002" t="n">
        <v>44545</v>
      </c>
      <c r="C1002" t="inlineStr">
        <is>
          <t>1400/09/24</t>
        </is>
      </c>
    </row>
    <row r="1003">
      <c r="A1003" t="n">
        <v>14000925</v>
      </c>
      <c r="B1003" t="n">
        <v>44546</v>
      </c>
      <c r="C1003" t="inlineStr">
        <is>
          <t>1400/09/25</t>
        </is>
      </c>
    </row>
    <row r="1004">
      <c r="A1004" t="n">
        <v>14000926</v>
      </c>
      <c r="B1004" t="n">
        <v>44547</v>
      </c>
      <c r="C1004" t="inlineStr">
        <is>
          <t>1400/09/26</t>
        </is>
      </c>
    </row>
    <row r="1005">
      <c r="A1005" t="n">
        <v>14000927</v>
      </c>
      <c r="B1005" t="n">
        <v>44548</v>
      </c>
      <c r="C1005" t="inlineStr">
        <is>
          <t>1400/09/27</t>
        </is>
      </c>
    </row>
    <row r="1006">
      <c r="A1006" t="n">
        <v>14000928</v>
      </c>
      <c r="B1006" t="n">
        <v>44549</v>
      </c>
      <c r="C1006" t="inlineStr">
        <is>
          <t>1400/09/28</t>
        </is>
      </c>
    </row>
    <row r="1007">
      <c r="A1007" t="n">
        <v>14000929</v>
      </c>
      <c r="B1007" t="n">
        <v>44550</v>
      </c>
      <c r="C1007" t="inlineStr">
        <is>
          <t>1400/09/29</t>
        </is>
      </c>
    </row>
    <row r="1008">
      <c r="A1008" t="n">
        <v>14000930</v>
      </c>
      <c r="B1008" t="n">
        <v>44551</v>
      </c>
      <c r="C1008" t="inlineStr">
        <is>
          <t>1400/09/30</t>
        </is>
      </c>
    </row>
    <row r="1009">
      <c r="A1009" t="n">
        <v>14001001</v>
      </c>
      <c r="B1009" t="n">
        <v>44552</v>
      </c>
      <c r="C1009" t="inlineStr">
        <is>
          <t>1400/10/01</t>
        </is>
      </c>
    </row>
    <row r="1010">
      <c r="A1010" t="n">
        <v>14001002</v>
      </c>
      <c r="B1010" t="n">
        <v>44553</v>
      </c>
      <c r="C1010" t="inlineStr">
        <is>
          <t>1400/10/02</t>
        </is>
      </c>
    </row>
    <row r="1011">
      <c r="A1011" t="n">
        <v>14001003</v>
      </c>
      <c r="B1011" t="n">
        <v>44554</v>
      </c>
      <c r="C1011" t="inlineStr">
        <is>
          <t>1400/10/03</t>
        </is>
      </c>
    </row>
    <row r="1012">
      <c r="A1012" t="n">
        <v>14001004</v>
      </c>
      <c r="B1012" t="n">
        <v>44555</v>
      </c>
      <c r="C1012" t="inlineStr">
        <is>
          <t>1400/10/04</t>
        </is>
      </c>
    </row>
    <row r="1013">
      <c r="A1013" t="n">
        <v>14001005</v>
      </c>
      <c r="B1013" t="n">
        <v>44556</v>
      </c>
      <c r="C1013" t="inlineStr">
        <is>
          <t>1400/10/05</t>
        </is>
      </c>
    </row>
    <row r="1014">
      <c r="A1014" t="n">
        <v>14001006</v>
      </c>
      <c r="B1014" t="n">
        <v>44557</v>
      </c>
      <c r="C1014" t="inlineStr">
        <is>
          <t>1400/10/06</t>
        </is>
      </c>
    </row>
    <row r="1015">
      <c r="A1015" t="n">
        <v>14001007</v>
      </c>
      <c r="B1015" t="n">
        <v>44558</v>
      </c>
      <c r="C1015" t="inlineStr">
        <is>
          <t>1400/10/07</t>
        </is>
      </c>
    </row>
    <row r="1016">
      <c r="A1016" t="n">
        <v>14001008</v>
      </c>
      <c r="B1016" t="n">
        <v>44559</v>
      </c>
      <c r="C1016" t="inlineStr">
        <is>
          <t>1400/10/08</t>
        </is>
      </c>
    </row>
    <row r="1017">
      <c r="A1017" t="n">
        <v>14001009</v>
      </c>
      <c r="B1017" t="n">
        <v>44560</v>
      </c>
      <c r="C1017" t="inlineStr">
        <is>
          <t>1400/10/09</t>
        </is>
      </c>
    </row>
    <row r="1018">
      <c r="A1018" t="n">
        <v>14001010</v>
      </c>
      <c r="B1018" t="n">
        <v>44561</v>
      </c>
      <c r="C1018" t="inlineStr">
        <is>
          <t>1400/10/10</t>
        </is>
      </c>
    </row>
    <row r="1019">
      <c r="A1019" t="n">
        <v>14001011</v>
      </c>
      <c r="B1019" t="n">
        <v>44562</v>
      </c>
      <c r="C1019" t="inlineStr">
        <is>
          <t>1400/10/11</t>
        </is>
      </c>
    </row>
    <row r="1020">
      <c r="A1020" t="n">
        <v>14001012</v>
      </c>
      <c r="B1020" t="n">
        <v>44563</v>
      </c>
      <c r="C1020" t="inlineStr">
        <is>
          <t>1400/10/12</t>
        </is>
      </c>
    </row>
    <row r="1021">
      <c r="A1021" t="n">
        <v>14001013</v>
      </c>
      <c r="B1021" t="n">
        <v>44564</v>
      </c>
      <c r="C1021" t="inlineStr">
        <is>
          <t>1400/10/13</t>
        </is>
      </c>
    </row>
    <row r="1022">
      <c r="A1022" t="n">
        <v>14001014</v>
      </c>
      <c r="B1022" t="n">
        <v>44565</v>
      </c>
      <c r="C1022" t="inlineStr">
        <is>
          <t>1400/10/14</t>
        </is>
      </c>
    </row>
    <row r="1023">
      <c r="A1023" t="n">
        <v>14001015</v>
      </c>
      <c r="B1023" t="n">
        <v>44566</v>
      </c>
      <c r="C1023" t="inlineStr">
        <is>
          <t>1400/10/15</t>
        </is>
      </c>
    </row>
    <row r="1024">
      <c r="A1024" t="n">
        <v>14001016</v>
      </c>
      <c r="B1024" t="n">
        <v>44567</v>
      </c>
      <c r="C1024" t="inlineStr">
        <is>
          <t>1400/10/16</t>
        </is>
      </c>
    </row>
    <row r="1025">
      <c r="A1025" t="n">
        <v>14001017</v>
      </c>
      <c r="B1025" t="n">
        <v>44568</v>
      </c>
      <c r="C1025" t="inlineStr">
        <is>
          <t>1400/10/17</t>
        </is>
      </c>
    </row>
    <row r="1026">
      <c r="A1026" t="n">
        <v>14001018</v>
      </c>
      <c r="B1026" t="n">
        <v>44569</v>
      </c>
      <c r="C1026" t="inlineStr">
        <is>
          <t>1400/10/18</t>
        </is>
      </c>
    </row>
    <row r="1027">
      <c r="A1027" t="n">
        <v>14001019</v>
      </c>
      <c r="B1027" t="n">
        <v>44570</v>
      </c>
      <c r="C1027" t="inlineStr">
        <is>
          <t>1400/10/19</t>
        </is>
      </c>
    </row>
    <row r="1028">
      <c r="A1028" t="n">
        <v>14001020</v>
      </c>
      <c r="B1028" t="n">
        <v>44571</v>
      </c>
      <c r="C1028" t="inlineStr">
        <is>
          <t>1400/10/20</t>
        </is>
      </c>
    </row>
    <row r="1029">
      <c r="A1029" t="n">
        <v>14001021</v>
      </c>
      <c r="B1029" t="n">
        <v>44572</v>
      </c>
      <c r="C1029" t="inlineStr">
        <is>
          <t>1400/10/21</t>
        </is>
      </c>
    </row>
    <row r="1030">
      <c r="A1030" t="n">
        <v>14001022</v>
      </c>
      <c r="B1030" t="n">
        <v>44573</v>
      </c>
      <c r="C1030" t="inlineStr">
        <is>
          <t>1400/10/22</t>
        </is>
      </c>
    </row>
    <row r="1031">
      <c r="A1031" t="n">
        <v>14001023</v>
      </c>
      <c r="B1031" t="n">
        <v>44574</v>
      </c>
      <c r="C1031" t="inlineStr">
        <is>
          <t>1400/10/23</t>
        </is>
      </c>
    </row>
    <row r="1032">
      <c r="A1032" t="n">
        <v>14001024</v>
      </c>
      <c r="B1032" t="n">
        <v>44575</v>
      </c>
      <c r="C1032" t="inlineStr">
        <is>
          <t>1400/10/24</t>
        </is>
      </c>
    </row>
    <row r="1033">
      <c r="A1033" t="n">
        <v>14001025</v>
      </c>
      <c r="B1033" t="n">
        <v>44576</v>
      </c>
      <c r="C1033" t="inlineStr">
        <is>
          <t>1400/10/25</t>
        </is>
      </c>
    </row>
    <row r="1034">
      <c r="A1034" t="n">
        <v>14001026</v>
      </c>
      <c r="B1034" t="n">
        <v>44577</v>
      </c>
      <c r="C1034" t="inlineStr">
        <is>
          <t>1400/10/26</t>
        </is>
      </c>
    </row>
    <row r="1035">
      <c r="A1035" t="n">
        <v>14001027</v>
      </c>
      <c r="B1035" t="n">
        <v>44578</v>
      </c>
      <c r="C1035" t="inlineStr">
        <is>
          <t>1400/10/27</t>
        </is>
      </c>
    </row>
    <row r="1036">
      <c r="A1036" t="n">
        <v>14001028</v>
      </c>
      <c r="B1036" t="n">
        <v>44579</v>
      </c>
      <c r="C1036" t="inlineStr">
        <is>
          <t>1400/10/28</t>
        </is>
      </c>
    </row>
    <row r="1037">
      <c r="A1037" t="n">
        <v>14001029</v>
      </c>
      <c r="B1037" t="n">
        <v>44580</v>
      </c>
      <c r="C1037" t="inlineStr">
        <is>
          <t>1400/10/29</t>
        </is>
      </c>
    </row>
    <row r="1038">
      <c r="A1038" t="n">
        <v>14001030</v>
      </c>
      <c r="B1038" t="n">
        <v>44581</v>
      </c>
      <c r="C1038" t="inlineStr">
        <is>
          <t>1400/10/30</t>
        </is>
      </c>
    </row>
    <row r="1039">
      <c r="A1039" t="n">
        <v>14001101</v>
      </c>
      <c r="B1039" t="n">
        <v>44582</v>
      </c>
      <c r="C1039" t="inlineStr">
        <is>
          <t>1400/11/01</t>
        </is>
      </c>
    </row>
    <row r="1040">
      <c r="A1040" t="n">
        <v>14001102</v>
      </c>
      <c r="B1040" t="n">
        <v>44583</v>
      </c>
      <c r="C1040" t="inlineStr">
        <is>
          <t>1400/11/02</t>
        </is>
      </c>
    </row>
    <row r="1041">
      <c r="A1041" t="n">
        <v>14001103</v>
      </c>
      <c r="B1041" t="n">
        <v>44584</v>
      </c>
      <c r="C1041" t="inlineStr">
        <is>
          <t>1400/11/03</t>
        </is>
      </c>
    </row>
    <row r="1042">
      <c r="A1042" t="n">
        <v>14001104</v>
      </c>
      <c r="B1042" t="n">
        <v>44585</v>
      </c>
      <c r="C1042" t="inlineStr">
        <is>
          <t>1400/11/04</t>
        </is>
      </c>
    </row>
    <row r="1043">
      <c r="A1043" t="n">
        <v>14001105</v>
      </c>
      <c r="B1043" t="n">
        <v>44586</v>
      </c>
      <c r="C1043" t="inlineStr">
        <is>
          <t>1400/11/05</t>
        </is>
      </c>
    </row>
    <row r="1044">
      <c r="A1044" t="n">
        <v>14001106</v>
      </c>
      <c r="B1044" t="n">
        <v>44587</v>
      </c>
      <c r="C1044" t="inlineStr">
        <is>
          <t>1400/11/06</t>
        </is>
      </c>
    </row>
    <row r="1045">
      <c r="A1045" t="n">
        <v>14001107</v>
      </c>
      <c r="B1045" t="n">
        <v>44588</v>
      </c>
      <c r="C1045" t="inlineStr">
        <is>
          <t>1400/11/07</t>
        </is>
      </c>
    </row>
    <row r="1046">
      <c r="A1046" t="n">
        <v>14001108</v>
      </c>
      <c r="B1046" t="n">
        <v>44589</v>
      </c>
      <c r="C1046" t="inlineStr">
        <is>
          <t>1400/11/08</t>
        </is>
      </c>
    </row>
    <row r="1047">
      <c r="A1047" t="n">
        <v>14001109</v>
      </c>
      <c r="B1047" t="n">
        <v>44590</v>
      </c>
      <c r="C1047" t="inlineStr">
        <is>
          <t>1400/11/09</t>
        </is>
      </c>
    </row>
    <row r="1048">
      <c r="A1048" t="n">
        <v>14001110</v>
      </c>
      <c r="B1048" t="n">
        <v>44591</v>
      </c>
      <c r="C1048" t="inlineStr">
        <is>
          <t>1400/11/10</t>
        </is>
      </c>
    </row>
    <row r="1049">
      <c r="A1049" t="n">
        <v>14001111</v>
      </c>
      <c r="B1049" t="n">
        <v>44592</v>
      </c>
      <c r="C1049" t="inlineStr">
        <is>
          <t>1400/11/11</t>
        </is>
      </c>
    </row>
    <row r="1050">
      <c r="A1050" t="n">
        <v>14001112</v>
      </c>
      <c r="B1050" t="n">
        <v>44593</v>
      </c>
      <c r="C1050" t="inlineStr">
        <is>
          <t>1400/11/12</t>
        </is>
      </c>
    </row>
    <row r="1051">
      <c r="A1051" t="n">
        <v>14001113</v>
      </c>
      <c r="B1051" t="n">
        <v>44594</v>
      </c>
      <c r="C1051" t="inlineStr">
        <is>
          <t>1400/11/13</t>
        </is>
      </c>
    </row>
    <row r="1052">
      <c r="A1052" t="n">
        <v>14001114</v>
      </c>
      <c r="B1052" t="n">
        <v>44595</v>
      </c>
      <c r="C1052" t="inlineStr">
        <is>
          <t>1400/11/14</t>
        </is>
      </c>
    </row>
    <row r="1053">
      <c r="A1053" t="n">
        <v>14001115</v>
      </c>
      <c r="B1053" t="n">
        <v>44596</v>
      </c>
      <c r="C1053" t="inlineStr">
        <is>
          <t>1400/11/15</t>
        </is>
      </c>
    </row>
    <row r="1054">
      <c r="A1054" t="n">
        <v>14001116</v>
      </c>
      <c r="B1054" t="n">
        <v>44597</v>
      </c>
      <c r="C1054" t="inlineStr">
        <is>
          <t>1400/11/16</t>
        </is>
      </c>
    </row>
    <row r="1055">
      <c r="A1055" t="n">
        <v>14001117</v>
      </c>
      <c r="B1055" t="n">
        <v>44598</v>
      </c>
      <c r="C1055" t="inlineStr">
        <is>
          <t>1400/11/17</t>
        </is>
      </c>
    </row>
    <row r="1056">
      <c r="A1056" t="n">
        <v>14001118</v>
      </c>
      <c r="B1056" t="n">
        <v>44599</v>
      </c>
      <c r="C1056" t="inlineStr">
        <is>
          <t>1400/11/18</t>
        </is>
      </c>
    </row>
    <row r="1057">
      <c r="A1057" t="n">
        <v>14001119</v>
      </c>
      <c r="B1057" t="n">
        <v>44600</v>
      </c>
      <c r="C1057" t="inlineStr">
        <is>
          <t>1400/11/19</t>
        </is>
      </c>
    </row>
    <row r="1058">
      <c r="A1058" t="n">
        <v>14001120</v>
      </c>
      <c r="B1058" t="n">
        <v>44601</v>
      </c>
      <c r="C1058" t="inlineStr">
        <is>
          <t>1400/11/20</t>
        </is>
      </c>
    </row>
    <row r="1059">
      <c r="A1059" t="n">
        <v>14001121</v>
      </c>
      <c r="B1059" t="n">
        <v>44602</v>
      </c>
      <c r="C1059" t="inlineStr">
        <is>
          <t>1400/11/21</t>
        </is>
      </c>
    </row>
    <row r="1060">
      <c r="A1060" t="n">
        <v>14001122</v>
      </c>
      <c r="B1060" t="n">
        <v>44603</v>
      </c>
      <c r="C1060" t="inlineStr">
        <is>
          <t>1400/11/22</t>
        </is>
      </c>
    </row>
    <row r="1061">
      <c r="A1061" t="n">
        <v>14001123</v>
      </c>
      <c r="B1061" t="n">
        <v>44604</v>
      </c>
      <c r="C1061" t="inlineStr">
        <is>
          <t>1400/11/23</t>
        </is>
      </c>
    </row>
    <row r="1062">
      <c r="A1062" t="n">
        <v>14001124</v>
      </c>
      <c r="B1062" t="n">
        <v>44605</v>
      </c>
      <c r="C1062" t="inlineStr">
        <is>
          <t>1400/11/24</t>
        </is>
      </c>
    </row>
    <row r="1063">
      <c r="A1063" t="n">
        <v>14001125</v>
      </c>
      <c r="B1063" t="n">
        <v>44606</v>
      </c>
      <c r="C1063" t="inlineStr">
        <is>
          <t>1400/11/25</t>
        </is>
      </c>
    </row>
    <row r="1064">
      <c r="A1064" t="n">
        <v>14001126</v>
      </c>
      <c r="B1064" t="n">
        <v>44607</v>
      </c>
      <c r="C1064" t="inlineStr">
        <is>
          <t>1400/11/26</t>
        </is>
      </c>
    </row>
    <row r="1065">
      <c r="A1065" t="n">
        <v>14001127</v>
      </c>
      <c r="B1065" t="n">
        <v>44608</v>
      </c>
      <c r="C1065" t="inlineStr">
        <is>
          <t>1400/11/27</t>
        </is>
      </c>
    </row>
    <row r="1066">
      <c r="A1066" t="n">
        <v>14001128</v>
      </c>
      <c r="B1066" t="n">
        <v>44609</v>
      </c>
      <c r="C1066" t="inlineStr">
        <is>
          <t>1400/11/28</t>
        </is>
      </c>
    </row>
    <row r="1067">
      <c r="A1067" t="n">
        <v>14001129</v>
      </c>
      <c r="B1067" t="n">
        <v>44610</v>
      </c>
      <c r="C1067" t="inlineStr">
        <is>
          <t>1400/11/29</t>
        </is>
      </c>
    </row>
    <row r="1068">
      <c r="A1068" t="n">
        <v>14001130</v>
      </c>
      <c r="B1068" t="n">
        <v>44611</v>
      </c>
      <c r="C1068" t="inlineStr">
        <is>
          <t>1400/11/30</t>
        </is>
      </c>
    </row>
    <row r="1069">
      <c r="A1069" t="n">
        <v>14001201</v>
      </c>
      <c r="B1069" t="n">
        <v>44612</v>
      </c>
      <c r="C1069" t="inlineStr">
        <is>
          <t>1400/12/01</t>
        </is>
      </c>
    </row>
    <row r="1070">
      <c r="A1070" t="n">
        <v>14001202</v>
      </c>
      <c r="B1070" t="n">
        <v>44613</v>
      </c>
      <c r="C1070" t="inlineStr">
        <is>
          <t>1400/12/02</t>
        </is>
      </c>
    </row>
    <row r="1071">
      <c r="A1071" t="n">
        <v>14001203</v>
      </c>
      <c r="B1071" t="n">
        <v>44614</v>
      </c>
      <c r="C1071" t="inlineStr">
        <is>
          <t>1400/12/03</t>
        </is>
      </c>
    </row>
    <row r="1072">
      <c r="A1072" t="n">
        <v>14001204</v>
      </c>
      <c r="B1072" t="n">
        <v>44615</v>
      </c>
      <c r="C1072" t="inlineStr">
        <is>
          <t>1400/12/04</t>
        </is>
      </c>
    </row>
    <row r="1073">
      <c r="A1073" t="n">
        <v>14001205</v>
      </c>
      <c r="B1073" t="n">
        <v>44616</v>
      </c>
      <c r="C1073" t="inlineStr">
        <is>
          <t>1400/12/05</t>
        </is>
      </c>
    </row>
    <row r="1074">
      <c r="A1074" t="n">
        <v>14001206</v>
      </c>
      <c r="B1074" t="n">
        <v>44617</v>
      </c>
      <c r="C1074" t="inlineStr">
        <is>
          <t>1400/12/06</t>
        </is>
      </c>
    </row>
    <row r="1075">
      <c r="A1075" t="n">
        <v>14001207</v>
      </c>
      <c r="B1075" t="n">
        <v>44618</v>
      </c>
      <c r="C1075" t="inlineStr">
        <is>
          <t>1400/12/07</t>
        </is>
      </c>
    </row>
    <row r="1076">
      <c r="A1076" t="n">
        <v>14001208</v>
      </c>
      <c r="B1076" t="n">
        <v>44619</v>
      </c>
      <c r="C1076" t="inlineStr">
        <is>
          <t>1400/12/08</t>
        </is>
      </c>
    </row>
    <row r="1077">
      <c r="A1077" t="n">
        <v>14001209</v>
      </c>
      <c r="B1077" t="n">
        <v>44620</v>
      </c>
      <c r="C1077" t="inlineStr">
        <is>
          <t>1400/12/09</t>
        </is>
      </c>
    </row>
    <row r="1078">
      <c r="A1078" t="n">
        <v>14001210</v>
      </c>
      <c r="B1078" t="n">
        <v>44621</v>
      </c>
      <c r="C1078" t="inlineStr">
        <is>
          <t>1400/12/10</t>
        </is>
      </c>
    </row>
    <row r="1079">
      <c r="A1079" t="n">
        <v>14001211</v>
      </c>
      <c r="B1079" t="n">
        <v>44622</v>
      </c>
      <c r="C1079" t="inlineStr">
        <is>
          <t>1400/12/11</t>
        </is>
      </c>
    </row>
    <row r="1080">
      <c r="A1080" t="n">
        <v>14001212</v>
      </c>
      <c r="B1080" t="n">
        <v>44623</v>
      </c>
      <c r="C1080" t="inlineStr">
        <is>
          <t>1400/12/12</t>
        </is>
      </c>
    </row>
    <row r="1081">
      <c r="A1081" t="n">
        <v>14001213</v>
      </c>
      <c r="B1081" t="n">
        <v>44624</v>
      </c>
      <c r="C1081" t="inlineStr">
        <is>
          <t>1400/12/13</t>
        </is>
      </c>
    </row>
    <row r="1082">
      <c r="A1082" t="n">
        <v>14001214</v>
      </c>
      <c r="B1082" t="n">
        <v>44625</v>
      </c>
      <c r="C1082" t="inlineStr">
        <is>
          <t>1400/12/14</t>
        </is>
      </c>
    </row>
    <row r="1083">
      <c r="A1083" t="n">
        <v>14001215</v>
      </c>
      <c r="B1083" t="n">
        <v>44626</v>
      </c>
      <c r="C1083" t="inlineStr">
        <is>
          <t>1400/12/15</t>
        </is>
      </c>
    </row>
    <row r="1084">
      <c r="A1084" t="n">
        <v>14001216</v>
      </c>
      <c r="B1084" t="n">
        <v>44627</v>
      </c>
      <c r="C1084" t="inlineStr">
        <is>
          <t>1400/12/16</t>
        </is>
      </c>
    </row>
    <row r="1085">
      <c r="A1085" t="n">
        <v>14001217</v>
      </c>
      <c r="B1085" t="n">
        <v>44628</v>
      </c>
      <c r="C1085" t="inlineStr">
        <is>
          <t>1400/12/17</t>
        </is>
      </c>
    </row>
    <row r="1086">
      <c r="A1086" t="n">
        <v>14001218</v>
      </c>
      <c r="B1086" t="n">
        <v>44629</v>
      </c>
      <c r="C1086" t="inlineStr">
        <is>
          <t>1400/12/18</t>
        </is>
      </c>
    </row>
    <row r="1087">
      <c r="A1087" t="n">
        <v>14001219</v>
      </c>
      <c r="B1087" t="n">
        <v>44630</v>
      </c>
      <c r="C1087" t="inlineStr">
        <is>
          <t>1400/12/19</t>
        </is>
      </c>
    </row>
    <row r="1088">
      <c r="A1088" t="n">
        <v>14001220</v>
      </c>
      <c r="B1088" t="n">
        <v>44631</v>
      </c>
      <c r="C1088" t="inlineStr">
        <is>
          <t>1400/12/20</t>
        </is>
      </c>
    </row>
    <row r="1089">
      <c r="A1089" t="n">
        <v>14001221</v>
      </c>
      <c r="B1089" t="n">
        <v>44632</v>
      </c>
      <c r="C1089" t="inlineStr">
        <is>
          <t>1400/12/21</t>
        </is>
      </c>
    </row>
    <row r="1090">
      <c r="A1090" t="n">
        <v>14001222</v>
      </c>
      <c r="B1090" t="n">
        <v>44633</v>
      </c>
      <c r="C1090" t="inlineStr">
        <is>
          <t>1400/12/22</t>
        </is>
      </c>
    </row>
    <row r="1091">
      <c r="A1091" t="n">
        <v>14001223</v>
      </c>
      <c r="B1091" t="n">
        <v>44634</v>
      </c>
      <c r="C1091" t="inlineStr">
        <is>
          <t>1400/12/23</t>
        </is>
      </c>
    </row>
    <row r="1092">
      <c r="A1092" t="n">
        <v>14001224</v>
      </c>
      <c r="B1092" t="n">
        <v>44635</v>
      </c>
      <c r="C1092" t="inlineStr">
        <is>
          <t>1400/12/24</t>
        </is>
      </c>
    </row>
    <row r="1093">
      <c r="A1093" t="n">
        <v>14001225</v>
      </c>
      <c r="B1093" t="n">
        <v>44636</v>
      </c>
      <c r="C1093" t="inlineStr">
        <is>
          <t>1400/12/25</t>
        </is>
      </c>
    </row>
    <row r="1094">
      <c r="A1094" t="n">
        <v>14001226</v>
      </c>
      <c r="B1094" t="n">
        <v>44637</v>
      </c>
      <c r="C1094" t="inlineStr">
        <is>
          <t>1400/12/26</t>
        </is>
      </c>
    </row>
    <row r="1095">
      <c r="A1095" t="n">
        <v>14001227</v>
      </c>
      <c r="B1095" t="n">
        <v>44638</v>
      </c>
      <c r="C1095" t="inlineStr">
        <is>
          <t>1400/12/27</t>
        </is>
      </c>
    </row>
    <row r="1096">
      <c r="A1096" t="n">
        <v>14001228</v>
      </c>
      <c r="B1096" t="n">
        <v>44639</v>
      </c>
      <c r="C1096" t="inlineStr">
        <is>
          <t>1400/12/28</t>
        </is>
      </c>
    </row>
    <row r="1097">
      <c r="A1097" t="n">
        <v>14001229</v>
      </c>
      <c r="B1097" t="n">
        <v>44640</v>
      </c>
      <c r="C1097" t="inlineStr">
        <is>
          <t>1400/12/29</t>
        </is>
      </c>
    </row>
    <row r="1098">
      <c r="A1098" t="n">
        <v>14010101</v>
      </c>
      <c r="B1098" t="n">
        <v>44641</v>
      </c>
      <c r="C1098" t="inlineStr">
        <is>
          <t>1401/01/01</t>
        </is>
      </c>
    </row>
    <row r="1099">
      <c r="A1099" t="n">
        <v>14010102</v>
      </c>
      <c r="B1099" t="n">
        <v>44642</v>
      </c>
      <c r="C1099" t="inlineStr">
        <is>
          <t>1401/01/02</t>
        </is>
      </c>
    </row>
    <row r="1100">
      <c r="A1100" t="n">
        <v>14010103</v>
      </c>
      <c r="B1100" t="n">
        <v>44643</v>
      </c>
      <c r="C1100" t="inlineStr">
        <is>
          <t>1401/01/03</t>
        </is>
      </c>
    </row>
    <row r="1101">
      <c r="A1101" t="n">
        <v>14010104</v>
      </c>
      <c r="B1101" t="n">
        <v>44644</v>
      </c>
      <c r="C1101" t="inlineStr">
        <is>
          <t>1401/01/04</t>
        </is>
      </c>
    </row>
    <row r="1102">
      <c r="A1102" t="n">
        <v>14010105</v>
      </c>
      <c r="B1102" t="n">
        <v>44645</v>
      </c>
      <c r="C1102" t="inlineStr">
        <is>
          <t>1401/01/05</t>
        </is>
      </c>
    </row>
    <row r="1103">
      <c r="A1103" t="n">
        <v>14010106</v>
      </c>
      <c r="B1103" t="n">
        <v>44646</v>
      </c>
      <c r="C1103" t="inlineStr">
        <is>
          <t>1401/01/06</t>
        </is>
      </c>
    </row>
    <row r="1104">
      <c r="A1104" t="n">
        <v>14010107</v>
      </c>
      <c r="B1104" t="n">
        <v>44647</v>
      </c>
      <c r="C1104" t="inlineStr">
        <is>
          <t>1401/01/07</t>
        </is>
      </c>
    </row>
    <row r="1105">
      <c r="A1105" t="n">
        <v>14010108</v>
      </c>
      <c r="B1105" t="n">
        <v>44648</v>
      </c>
      <c r="C1105" t="inlineStr">
        <is>
          <t>1401/01/08</t>
        </is>
      </c>
    </row>
    <row r="1106">
      <c r="A1106" t="n">
        <v>14010109</v>
      </c>
      <c r="B1106" t="n">
        <v>44649</v>
      </c>
      <c r="C1106" t="inlineStr">
        <is>
          <t>1401/01/09</t>
        </is>
      </c>
    </row>
    <row r="1107">
      <c r="A1107" t="n">
        <v>14010110</v>
      </c>
      <c r="B1107" t="n">
        <v>44650</v>
      </c>
      <c r="C1107" t="inlineStr">
        <is>
          <t>1401/01/10</t>
        </is>
      </c>
    </row>
    <row r="1108">
      <c r="A1108" t="n">
        <v>14010111</v>
      </c>
      <c r="B1108" t="n">
        <v>44651</v>
      </c>
      <c r="C1108" t="inlineStr">
        <is>
          <t>1401/01/11</t>
        </is>
      </c>
    </row>
    <row r="1109">
      <c r="A1109" t="n">
        <v>14010112</v>
      </c>
      <c r="B1109" t="n">
        <v>44652</v>
      </c>
      <c r="C1109" t="inlineStr">
        <is>
          <t>1401/01/12</t>
        </is>
      </c>
    </row>
    <row r="1110">
      <c r="A1110" t="n">
        <v>14010113</v>
      </c>
      <c r="B1110" t="n">
        <v>44653</v>
      </c>
      <c r="C1110" t="inlineStr">
        <is>
          <t>1401/01/13</t>
        </is>
      </c>
    </row>
    <row r="1111">
      <c r="A1111" t="n">
        <v>14010114</v>
      </c>
      <c r="B1111" t="n">
        <v>44654</v>
      </c>
      <c r="C1111" t="inlineStr">
        <is>
          <t>1401/01/14</t>
        </is>
      </c>
    </row>
    <row r="1112">
      <c r="A1112" t="n">
        <v>14010115</v>
      </c>
      <c r="B1112" t="n">
        <v>44655</v>
      </c>
      <c r="C1112" t="inlineStr">
        <is>
          <t>1401/01/15</t>
        </is>
      </c>
    </row>
    <row r="1113">
      <c r="A1113" t="n">
        <v>14010116</v>
      </c>
      <c r="B1113" t="n">
        <v>44656</v>
      </c>
      <c r="C1113" t="inlineStr">
        <is>
          <t>1401/01/16</t>
        </is>
      </c>
    </row>
    <row r="1114">
      <c r="A1114" t="n">
        <v>14010117</v>
      </c>
      <c r="B1114" t="n">
        <v>44657</v>
      </c>
      <c r="C1114" t="inlineStr">
        <is>
          <t>1401/01/17</t>
        </is>
      </c>
    </row>
    <row r="1115">
      <c r="A1115" t="n">
        <v>14010118</v>
      </c>
      <c r="B1115" t="n">
        <v>44658</v>
      </c>
      <c r="C1115" t="inlineStr">
        <is>
          <t>1401/01/18</t>
        </is>
      </c>
    </row>
    <row r="1116">
      <c r="A1116" t="n">
        <v>14010119</v>
      </c>
      <c r="B1116" t="n">
        <v>44659</v>
      </c>
      <c r="C1116" t="inlineStr">
        <is>
          <t>1401/01/19</t>
        </is>
      </c>
    </row>
    <row r="1117">
      <c r="A1117" t="n">
        <v>14010120</v>
      </c>
      <c r="B1117" t="n">
        <v>44660</v>
      </c>
      <c r="C1117" t="inlineStr">
        <is>
          <t>1401/01/20</t>
        </is>
      </c>
    </row>
    <row r="1118">
      <c r="A1118" t="n">
        <v>14010121</v>
      </c>
      <c r="B1118" t="n">
        <v>44661</v>
      </c>
      <c r="C1118" t="inlineStr">
        <is>
          <t>1401/01/21</t>
        </is>
      </c>
    </row>
    <row r="1119">
      <c r="A1119" t="n">
        <v>14010122</v>
      </c>
      <c r="B1119" t="n">
        <v>44662</v>
      </c>
      <c r="C1119" t="inlineStr">
        <is>
          <t>1401/01/22</t>
        </is>
      </c>
    </row>
    <row r="1120">
      <c r="A1120" t="n">
        <v>14010123</v>
      </c>
      <c r="B1120" t="n">
        <v>44663</v>
      </c>
      <c r="C1120" t="inlineStr">
        <is>
          <t>1401/01/23</t>
        </is>
      </c>
    </row>
    <row r="1121">
      <c r="A1121" t="n">
        <v>14010124</v>
      </c>
      <c r="B1121" t="n">
        <v>44664</v>
      </c>
      <c r="C1121" t="inlineStr">
        <is>
          <t>1401/01/24</t>
        </is>
      </c>
    </row>
    <row r="1122">
      <c r="A1122" t="n">
        <v>14010125</v>
      </c>
      <c r="B1122" t="n">
        <v>44665</v>
      </c>
      <c r="C1122" t="inlineStr">
        <is>
          <t>1401/01/25</t>
        </is>
      </c>
    </row>
    <row r="1123">
      <c r="A1123" t="n">
        <v>14010126</v>
      </c>
      <c r="B1123" t="n">
        <v>44666</v>
      </c>
      <c r="C1123" t="inlineStr">
        <is>
          <t>1401/01/26</t>
        </is>
      </c>
    </row>
    <row r="1124">
      <c r="A1124" t="n">
        <v>14010127</v>
      </c>
      <c r="B1124" t="n">
        <v>44667</v>
      </c>
      <c r="C1124" t="inlineStr">
        <is>
          <t>1401/01/27</t>
        </is>
      </c>
    </row>
    <row r="1125">
      <c r="A1125" t="n">
        <v>14010128</v>
      </c>
      <c r="B1125" t="n">
        <v>44668</v>
      </c>
      <c r="C1125" t="inlineStr">
        <is>
          <t>1401/01/28</t>
        </is>
      </c>
    </row>
    <row r="1126">
      <c r="A1126" t="n">
        <v>14010129</v>
      </c>
      <c r="B1126" t="n">
        <v>44669</v>
      </c>
      <c r="C1126" t="inlineStr">
        <is>
          <t>1401/01/29</t>
        </is>
      </c>
    </row>
    <row r="1127">
      <c r="A1127" t="n">
        <v>14010130</v>
      </c>
      <c r="B1127" t="n">
        <v>44670</v>
      </c>
      <c r="C1127" t="inlineStr">
        <is>
          <t>1401/01/30</t>
        </is>
      </c>
    </row>
    <row r="1128">
      <c r="A1128" t="n">
        <v>14010131</v>
      </c>
      <c r="B1128" t="n">
        <v>44671</v>
      </c>
      <c r="C1128" t="inlineStr">
        <is>
          <t>1401/01/31</t>
        </is>
      </c>
    </row>
    <row r="1129">
      <c r="A1129" t="n">
        <v>14010201</v>
      </c>
      <c r="B1129" t="n">
        <v>44672</v>
      </c>
      <c r="C1129" t="inlineStr">
        <is>
          <t>1401/02/01</t>
        </is>
      </c>
    </row>
    <row r="1130">
      <c r="A1130" t="n">
        <v>14010202</v>
      </c>
      <c r="B1130" t="n">
        <v>44673</v>
      </c>
      <c r="C1130" t="inlineStr">
        <is>
          <t>1401/02/02</t>
        </is>
      </c>
    </row>
    <row r="1131">
      <c r="A1131" t="n">
        <v>14010203</v>
      </c>
      <c r="B1131" t="n">
        <v>44674</v>
      </c>
      <c r="C1131" t="inlineStr">
        <is>
          <t>1401/02/03</t>
        </is>
      </c>
    </row>
    <row r="1132">
      <c r="A1132" t="n">
        <v>14010204</v>
      </c>
      <c r="B1132" t="n">
        <v>44675</v>
      </c>
      <c r="C1132" t="inlineStr">
        <is>
          <t>1401/02/04</t>
        </is>
      </c>
    </row>
    <row r="1133">
      <c r="A1133" t="n">
        <v>14010205</v>
      </c>
      <c r="B1133" t="n">
        <v>44676</v>
      </c>
      <c r="C1133" t="inlineStr">
        <is>
          <t>1401/02/05</t>
        </is>
      </c>
    </row>
    <row r="1134">
      <c r="A1134" t="n">
        <v>14010206</v>
      </c>
      <c r="B1134" t="n">
        <v>44677</v>
      </c>
      <c r="C1134" t="inlineStr">
        <is>
          <t>1401/02/06</t>
        </is>
      </c>
    </row>
    <row r="1135">
      <c r="A1135" t="n">
        <v>14010207</v>
      </c>
      <c r="B1135" t="n">
        <v>44678</v>
      </c>
      <c r="C1135" t="inlineStr">
        <is>
          <t>1401/02/07</t>
        </is>
      </c>
    </row>
    <row r="1136">
      <c r="A1136" t="n">
        <v>14010208</v>
      </c>
      <c r="B1136" t="n">
        <v>44679</v>
      </c>
      <c r="C1136" t="inlineStr">
        <is>
          <t>1401/02/08</t>
        </is>
      </c>
    </row>
    <row r="1137">
      <c r="A1137" t="n">
        <v>14010209</v>
      </c>
      <c r="B1137" t="n">
        <v>44680</v>
      </c>
      <c r="C1137" t="inlineStr">
        <is>
          <t>1401/02/09</t>
        </is>
      </c>
    </row>
    <row r="1138">
      <c r="A1138" t="n">
        <v>14010210</v>
      </c>
      <c r="B1138" t="n">
        <v>44681</v>
      </c>
      <c r="C1138" t="inlineStr">
        <is>
          <t>1401/02/10</t>
        </is>
      </c>
    </row>
    <row r="1139">
      <c r="A1139" t="n">
        <v>14010211</v>
      </c>
      <c r="B1139" t="n">
        <v>44682</v>
      </c>
      <c r="C1139" t="inlineStr">
        <is>
          <t>1401/02/11</t>
        </is>
      </c>
    </row>
    <row r="1140">
      <c r="A1140" t="n">
        <v>14010212</v>
      </c>
      <c r="B1140" t="n">
        <v>44683</v>
      </c>
      <c r="C1140" t="inlineStr">
        <is>
          <t>1401/02/12</t>
        </is>
      </c>
    </row>
    <row r="1141">
      <c r="A1141" t="n">
        <v>14010213</v>
      </c>
      <c r="B1141" t="n">
        <v>44684</v>
      </c>
      <c r="C1141" t="inlineStr">
        <is>
          <t>1401/02/13</t>
        </is>
      </c>
    </row>
    <row r="1142">
      <c r="A1142" t="n">
        <v>14010214</v>
      </c>
      <c r="B1142" t="n">
        <v>44685</v>
      </c>
      <c r="C1142" t="inlineStr">
        <is>
          <t>1401/02/14</t>
        </is>
      </c>
    </row>
    <row r="1143">
      <c r="A1143" t="n">
        <v>14010215</v>
      </c>
      <c r="B1143" t="n">
        <v>44686</v>
      </c>
      <c r="C1143" t="inlineStr">
        <is>
          <t>1401/02/15</t>
        </is>
      </c>
    </row>
    <row r="1144">
      <c r="A1144" t="n">
        <v>14010216</v>
      </c>
      <c r="B1144" t="n">
        <v>44687</v>
      </c>
      <c r="C1144" t="inlineStr">
        <is>
          <t>1401/02/16</t>
        </is>
      </c>
    </row>
    <row r="1145">
      <c r="A1145" t="n">
        <v>14010217</v>
      </c>
      <c r="B1145" t="n">
        <v>44688</v>
      </c>
      <c r="C1145" t="inlineStr">
        <is>
          <t>1401/02/17</t>
        </is>
      </c>
    </row>
    <row r="1146">
      <c r="A1146" t="n">
        <v>14010218</v>
      </c>
      <c r="B1146" t="n">
        <v>44689</v>
      </c>
      <c r="C1146" t="inlineStr">
        <is>
          <t>1401/02/18</t>
        </is>
      </c>
    </row>
    <row r="1147">
      <c r="A1147" t="n">
        <v>14010219</v>
      </c>
      <c r="B1147" t="n">
        <v>44690</v>
      </c>
      <c r="C1147" t="inlineStr">
        <is>
          <t>1401/02/19</t>
        </is>
      </c>
    </row>
    <row r="1148">
      <c r="A1148" t="n">
        <v>14010220</v>
      </c>
      <c r="B1148" t="n">
        <v>44691</v>
      </c>
      <c r="C1148" t="inlineStr">
        <is>
          <t>1401/02/20</t>
        </is>
      </c>
    </row>
    <row r="1149">
      <c r="A1149" t="n">
        <v>14010221</v>
      </c>
      <c r="B1149" t="n">
        <v>44692</v>
      </c>
      <c r="C1149" t="inlineStr">
        <is>
          <t>1401/02/21</t>
        </is>
      </c>
    </row>
    <row r="1150">
      <c r="A1150" t="n">
        <v>14010222</v>
      </c>
      <c r="B1150" t="n">
        <v>44693</v>
      </c>
      <c r="C1150" t="inlineStr">
        <is>
          <t>1401/02/22</t>
        </is>
      </c>
    </row>
    <row r="1151">
      <c r="A1151" t="n">
        <v>14010223</v>
      </c>
      <c r="B1151" t="n">
        <v>44694</v>
      </c>
      <c r="C1151" t="inlineStr">
        <is>
          <t>1401/02/23</t>
        </is>
      </c>
    </row>
    <row r="1152">
      <c r="A1152" t="n">
        <v>14010224</v>
      </c>
      <c r="B1152" t="n">
        <v>44695</v>
      </c>
      <c r="C1152" t="inlineStr">
        <is>
          <t>1401/02/24</t>
        </is>
      </c>
    </row>
    <row r="1153">
      <c r="A1153" t="n">
        <v>14010225</v>
      </c>
      <c r="B1153" t="n">
        <v>44696</v>
      </c>
      <c r="C1153" t="inlineStr">
        <is>
          <t>1401/02/25</t>
        </is>
      </c>
    </row>
    <row r="1154">
      <c r="A1154" t="n">
        <v>14010226</v>
      </c>
      <c r="B1154" t="n">
        <v>44697</v>
      </c>
      <c r="C1154" t="inlineStr">
        <is>
          <t>1401/02/26</t>
        </is>
      </c>
    </row>
    <row r="1155">
      <c r="A1155" t="n">
        <v>14010227</v>
      </c>
      <c r="B1155" t="n">
        <v>44698</v>
      </c>
      <c r="C1155" t="inlineStr">
        <is>
          <t>1401/02/27</t>
        </is>
      </c>
    </row>
    <row r="1156">
      <c r="A1156" t="n">
        <v>14010228</v>
      </c>
      <c r="B1156" t="n">
        <v>44699</v>
      </c>
      <c r="C1156" t="inlineStr">
        <is>
          <t>1401/02/28</t>
        </is>
      </c>
    </row>
    <row r="1157">
      <c r="A1157" t="n">
        <v>14010229</v>
      </c>
      <c r="B1157" t="n">
        <v>44700</v>
      </c>
      <c r="C1157" t="inlineStr">
        <is>
          <t>1401/02/29</t>
        </is>
      </c>
    </row>
    <row r="1158">
      <c r="A1158" t="n">
        <v>14010230</v>
      </c>
      <c r="B1158" t="n">
        <v>44701</v>
      </c>
      <c r="C1158" t="inlineStr">
        <is>
          <t>1401/02/30</t>
        </is>
      </c>
    </row>
    <row r="1159">
      <c r="A1159" t="n">
        <v>14010231</v>
      </c>
      <c r="B1159" t="n">
        <v>44702</v>
      </c>
      <c r="C1159" t="inlineStr">
        <is>
          <t>1401/02/31</t>
        </is>
      </c>
    </row>
    <row r="1160">
      <c r="A1160" t="n">
        <v>14010301</v>
      </c>
      <c r="B1160" t="n">
        <v>44703</v>
      </c>
      <c r="C1160" t="inlineStr">
        <is>
          <t>1401/03/01</t>
        </is>
      </c>
    </row>
    <row r="1161">
      <c r="A1161" t="n">
        <v>14010302</v>
      </c>
      <c r="B1161" t="n">
        <v>44704</v>
      </c>
      <c r="C1161" t="inlineStr">
        <is>
          <t>1401/03/02</t>
        </is>
      </c>
    </row>
    <row r="1162">
      <c r="A1162" t="n">
        <v>14010303</v>
      </c>
      <c r="B1162" t="n">
        <v>44705</v>
      </c>
      <c r="C1162" t="inlineStr">
        <is>
          <t>1401/03/03</t>
        </is>
      </c>
    </row>
    <row r="1163">
      <c r="A1163" t="n">
        <v>14010304</v>
      </c>
      <c r="B1163" t="n">
        <v>44706</v>
      </c>
      <c r="C1163" t="inlineStr">
        <is>
          <t>1401/03/04</t>
        </is>
      </c>
    </row>
    <row r="1164">
      <c r="A1164" t="n">
        <v>14010305</v>
      </c>
      <c r="B1164" t="n">
        <v>44707</v>
      </c>
      <c r="C1164" t="inlineStr">
        <is>
          <t>1401/03/05</t>
        </is>
      </c>
    </row>
    <row r="1165">
      <c r="A1165" t="n">
        <v>14010306</v>
      </c>
      <c r="B1165" t="n">
        <v>44708</v>
      </c>
      <c r="C1165" t="inlineStr">
        <is>
          <t>1401/03/06</t>
        </is>
      </c>
    </row>
    <row r="1166">
      <c r="A1166" t="n">
        <v>14010307</v>
      </c>
      <c r="B1166" t="n">
        <v>44709</v>
      </c>
      <c r="C1166" t="inlineStr">
        <is>
          <t>1401/03/07</t>
        </is>
      </c>
    </row>
    <row r="1167">
      <c r="A1167" t="n">
        <v>14010308</v>
      </c>
      <c r="B1167" t="n">
        <v>44710</v>
      </c>
      <c r="C1167" t="inlineStr">
        <is>
          <t>1401/03/08</t>
        </is>
      </c>
    </row>
    <row r="1168">
      <c r="A1168" t="n">
        <v>14010309</v>
      </c>
      <c r="B1168" t="n">
        <v>44711</v>
      </c>
      <c r="C1168" t="inlineStr">
        <is>
          <t>1401/03/09</t>
        </is>
      </c>
    </row>
    <row r="1169">
      <c r="A1169" t="n">
        <v>14010310</v>
      </c>
      <c r="B1169" t="n">
        <v>44712</v>
      </c>
      <c r="C1169" t="inlineStr">
        <is>
          <t>1401/03/10</t>
        </is>
      </c>
    </row>
    <row r="1170">
      <c r="A1170" t="n">
        <v>14010311</v>
      </c>
      <c r="B1170" t="n">
        <v>44713</v>
      </c>
      <c r="C1170" t="inlineStr">
        <is>
          <t>1401/03/11</t>
        </is>
      </c>
    </row>
    <row r="1171">
      <c r="A1171" t="n">
        <v>14010312</v>
      </c>
      <c r="B1171" t="n">
        <v>44714</v>
      </c>
      <c r="C1171" t="inlineStr">
        <is>
          <t>1401/03/12</t>
        </is>
      </c>
    </row>
    <row r="1172">
      <c r="A1172" t="n">
        <v>14010313</v>
      </c>
      <c r="B1172" t="n">
        <v>44715</v>
      </c>
      <c r="C1172" t="inlineStr">
        <is>
          <t>1401/03/13</t>
        </is>
      </c>
    </row>
    <row r="1173">
      <c r="A1173" t="n">
        <v>14010314</v>
      </c>
      <c r="B1173" t="n">
        <v>44716</v>
      </c>
      <c r="C1173" t="inlineStr">
        <is>
          <t>1401/03/14</t>
        </is>
      </c>
    </row>
    <row r="1174">
      <c r="A1174" t="n">
        <v>14010315</v>
      </c>
      <c r="B1174" t="n">
        <v>44717</v>
      </c>
      <c r="C1174" t="inlineStr">
        <is>
          <t>1401/03/15</t>
        </is>
      </c>
    </row>
    <row r="1175">
      <c r="A1175" t="n">
        <v>14010316</v>
      </c>
      <c r="B1175" t="n">
        <v>44718</v>
      </c>
      <c r="C1175" t="inlineStr">
        <is>
          <t>1401/03/16</t>
        </is>
      </c>
    </row>
    <row r="1176">
      <c r="A1176" t="n">
        <v>14010317</v>
      </c>
      <c r="B1176" t="n">
        <v>44719</v>
      </c>
      <c r="C1176" t="inlineStr">
        <is>
          <t>1401/03/17</t>
        </is>
      </c>
    </row>
    <row r="1177">
      <c r="A1177" t="n">
        <v>14010318</v>
      </c>
      <c r="B1177" t="n">
        <v>44720</v>
      </c>
      <c r="C1177" t="inlineStr">
        <is>
          <t>1401/03/18</t>
        </is>
      </c>
    </row>
    <row r="1178">
      <c r="A1178" t="n">
        <v>14010319</v>
      </c>
      <c r="B1178" t="n">
        <v>44721</v>
      </c>
      <c r="C1178" t="inlineStr">
        <is>
          <t>1401/03/19</t>
        </is>
      </c>
    </row>
    <row r="1179">
      <c r="A1179" t="n">
        <v>14010320</v>
      </c>
      <c r="B1179" t="n">
        <v>44722</v>
      </c>
      <c r="C1179" t="inlineStr">
        <is>
          <t>1401/03/20</t>
        </is>
      </c>
    </row>
    <row r="1180">
      <c r="A1180" t="n">
        <v>14010321</v>
      </c>
      <c r="B1180" t="n">
        <v>44723</v>
      </c>
      <c r="C1180" t="inlineStr">
        <is>
          <t>1401/03/21</t>
        </is>
      </c>
    </row>
    <row r="1181">
      <c r="A1181" t="n">
        <v>14010322</v>
      </c>
      <c r="B1181" t="n">
        <v>44724</v>
      </c>
      <c r="C1181" t="inlineStr">
        <is>
          <t>1401/03/22</t>
        </is>
      </c>
    </row>
    <row r="1182">
      <c r="A1182" t="n">
        <v>14010323</v>
      </c>
      <c r="B1182" t="n">
        <v>44725</v>
      </c>
      <c r="C1182" t="inlineStr">
        <is>
          <t>1401/03/23</t>
        </is>
      </c>
    </row>
    <row r="1183">
      <c r="A1183" t="n">
        <v>14010324</v>
      </c>
      <c r="B1183" t="n">
        <v>44726</v>
      </c>
      <c r="C1183" t="inlineStr">
        <is>
          <t>1401/03/24</t>
        </is>
      </c>
    </row>
    <row r="1184">
      <c r="A1184" t="n">
        <v>14010325</v>
      </c>
      <c r="B1184" t="n">
        <v>44727</v>
      </c>
      <c r="C1184" t="inlineStr">
        <is>
          <t>1401/03/25</t>
        </is>
      </c>
    </row>
    <row r="1185">
      <c r="A1185" t="n">
        <v>14010326</v>
      </c>
      <c r="B1185" t="n">
        <v>44728</v>
      </c>
      <c r="C1185" t="inlineStr">
        <is>
          <t>1401/03/26</t>
        </is>
      </c>
    </row>
    <row r="1186">
      <c r="A1186" t="n">
        <v>14010327</v>
      </c>
      <c r="B1186" t="n">
        <v>44729</v>
      </c>
      <c r="C1186" t="inlineStr">
        <is>
          <t>1401/03/27</t>
        </is>
      </c>
    </row>
    <row r="1187">
      <c r="A1187" t="n">
        <v>14010328</v>
      </c>
      <c r="B1187" t="n">
        <v>44730</v>
      </c>
      <c r="C1187" t="inlineStr">
        <is>
          <t>1401/03/28</t>
        </is>
      </c>
    </row>
    <row r="1188">
      <c r="A1188" t="n">
        <v>14010329</v>
      </c>
      <c r="B1188" t="n">
        <v>44731</v>
      </c>
      <c r="C1188" t="inlineStr">
        <is>
          <t>1401/03/29</t>
        </is>
      </c>
    </row>
    <row r="1189">
      <c r="A1189" t="n">
        <v>14010330</v>
      </c>
      <c r="B1189" t="n">
        <v>44732</v>
      </c>
      <c r="C1189" t="inlineStr">
        <is>
          <t>1401/03/30</t>
        </is>
      </c>
    </row>
    <row r="1190">
      <c r="A1190" t="n">
        <v>14010331</v>
      </c>
      <c r="B1190" t="n">
        <v>44733</v>
      </c>
      <c r="C1190" t="inlineStr">
        <is>
          <t>1401/03/31</t>
        </is>
      </c>
    </row>
    <row r="1191">
      <c r="A1191" t="n">
        <v>14010401</v>
      </c>
      <c r="B1191" t="n">
        <v>44734</v>
      </c>
      <c r="C1191" t="inlineStr">
        <is>
          <t>1401/04/01</t>
        </is>
      </c>
    </row>
    <row r="1192">
      <c r="A1192" t="n">
        <v>14010402</v>
      </c>
      <c r="B1192" t="n">
        <v>44735</v>
      </c>
      <c r="C1192" t="inlineStr">
        <is>
          <t>1401/04/02</t>
        </is>
      </c>
    </row>
    <row r="1193">
      <c r="A1193" t="n">
        <v>14010403</v>
      </c>
      <c r="B1193" t="n">
        <v>44736</v>
      </c>
      <c r="C1193" t="inlineStr">
        <is>
          <t>1401/04/03</t>
        </is>
      </c>
    </row>
    <row r="1194">
      <c r="A1194" t="n">
        <v>14010404</v>
      </c>
      <c r="B1194" t="n">
        <v>44737</v>
      </c>
      <c r="C1194" t="inlineStr">
        <is>
          <t>1401/04/04</t>
        </is>
      </c>
    </row>
    <row r="1195">
      <c r="A1195" t="n">
        <v>14010405</v>
      </c>
      <c r="B1195" t="n">
        <v>44738</v>
      </c>
      <c r="C1195" t="inlineStr">
        <is>
          <t>1401/04/05</t>
        </is>
      </c>
    </row>
    <row r="1196">
      <c r="A1196" t="n">
        <v>14010406</v>
      </c>
      <c r="B1196" t="n">
        <v>44739</v>
      </c>
      <c r="C1196" t="inlineStr">
        <is>
          <t>1401/04/06</t>
        </is>
      </c>
    </row>
    <row r="1197">
      <c r="A1197" t="n">
        <v>14010407</v>
      </c>
      <c r="B1197" t="n">
        <v>44740</v>
      </c>
      <c r="C1197" t="inlineStr">
        <is>
          <t>1401/04/07</t>
        </is>
      </c>
    </row>
    <row r="1198">
      <c r="A1198" t="n">
        <v>14010408</v>
      </c>
      <c r="B1198" t="n">
        <v>44741</v>
      </c>
      <c r="C1198" t="inlineStr">
        <is>
          <t>1401/04/08</t>
        </is>
      </c>
    </row>
    <row r="1199">
      <c r="A1199" t="n">
        <v>14010409</v>
      </c>
      <c r="B1199" t="n">
        <v>44742</v>
      </c>
      <c r="C1199" t="inlineStr">
        <is>
          <t>1401/04/09</t>
        </is>
      </c>
    </row>
    <row r="1200">
      <c r="A1200" t="n">
        <v>14010410</v>
      </c>
      <c r="B1200" t="n">
        <v>44743</v>
      </c>
      <c r="C1200" t="inlineStr">
        <is>
          <t>1401/04/10</t>
        </is>
      </c>
    </row>
    <row r="1201">
      <c r="A1201" t="n">
        <v>14010411</v>
      </c>
      <c r="B1201" t="n">
        <v>44744</v>
      </c>
      <c r="C1201" t="inlineStr">
        <is>
          <t>1401/04/11</t>
        </is>
      </c>
    </row>
    <row r="1202">
      <c r="A1202" t="n">
        <v>14010412</v>
      </c>
      <c r="B1202" t="n">
        <v>44745</v>
      </c>
      <c r="C1202" t="inlineStr">
        <is>
          <t>1401/04/12</t>
        </is>
      </c>
    </row>
    <row r="1203">
      <c r="A1203" t="n">
        <v>14010413</v>
      </c>
      <c r="B1203" t="n">
        <v>44746</v>
      </c>
      <c r="C1203" t="inlineStr">
        <is>
          <t>1401/04/13</t>
        </is>
      </c>
    </row>
    <row r="1204">
      <c r="A1204" t="n">
        <v>14010414</v>
      </c>
      <c r="B1204" t="n">
        <v>44747</v>
      </c>
      <c r="C1204" t="inlineStr">
        <is>
          <t>1401/04/14</t>
        </is>
      </c>
    </row>
    <row r="1205">
      <c r="A1205" t="n">
        <v>14010415</v>
      </c>
      <c r="B1205" t="n">
        <v>44748</v>
      </c>
      <c r="C1205" t="inlineStr">
        <is>
          <t>1401/04/15</t>
        </is>
      </c>
    </row>
    <row r="1206">
      <c r="A1206" t="n">
        <v>14010416</v>
      </c>
      <c r="B1206" t="n">
        <v>44749</v>
      </c>
      <c r="C1206" t="inlineStr">
        <is>
          <t>1401/04/16</t>
        </is>
      </c>
    </row>
    <row r="1207">
      <c r="A1207" t="n">
        <v>14010417</v>
      </c>
      <c r="B1207" t="n">
        <v>44750</v>
      </c>
      <c r="C1207" t="inlineStr">
        <is>
          <t>1401/04/17</t>
        </is>
      </c>
    </row>
    <row r="1208">
      <c r="A1208" t="n">
        <v>14010418</v>
      </c>
      <c r="B1208" t="n">
        <v>44751</v>
      </c>
      <c r="C1208" t="inlineStr">
        <is>
          <t>1401/04/18</t>
        </is>
      </c>
    </row>
    <row r="1209">
      <c r="A1209" t="n">
        <v>14010419</v>
      </c>
      <c r="B1209" t="n">
        <v>44752</v>
      </c>
      <c r="C1209" t="inlineStr">
        <is>
          <t>1401/04/19</t>
        </is>
      </c>
    </row>
    <row r="1210">
      <c r="A1210" t="n">
        <v>14010420</v>
      </c>
      <c r="B1210" t="n">
        <v>44753</v>
      </c>
      <c r="C1210" t="inlineStr">
        <is>
          <t>1401/04/20</t>
        </is>
      </c>
    </row>
    <row r="1211">
      <c r="A1211" t="n">
        <v>14010421</v>
      </c>
      <c r="B1211" t="n">
        <v>44754</v>
      </c>
      <c r="C1211" t="inlineStr">
        <is>
          <t>1401/04/21</t>
        </is>
      </c>
    </row>
    <row r="1212">
      <c r="A1212" t="n">
        <v>14010422</v>
      </c>
      <c r="B1212" t="n">
        <v>44755</v>
      </c>
      <c r="C1212" t="inlineStr">
        <is>
          <t>1401/04/22</t>
        </is>
      </c>
    </row>
    <row r="1213">
      <c r="A1213" t="n">
        <v>14010423</v>
      </c>
      <c r="B1213" t="n">
        <v>44756</v>
      </c>
      <c r="C1213" t="inlineStr">
        <is>
          <t>1401/04/23</t>
        </is>
      </c>
    </row>
    <row r="1214">
      <c r="A1214" t="n">
        <v>14010424</v>
      </c>
      <c r="B1214" t="n">
        <v>44757</v>
      </c>
      <c r="C1214" t="inlineStr">
        <is>
          <t>1401/04/24</t>
        </is>
      </c>
    </row>
    <row r="1215">
      <c r="A1215" t="n">
        <v>14010425</v>
      </c>
      <c r="B1215" t="n">
        <v>44758</v>
      </c>
      <c r="C1215" t="inlineStr">
        <is>
          <t>1401/04/25</t>
        </is>
      </c>
    </row>
    <row r="1216">
      <c r="A1216" t="n">
        <v>14010426</v>
      </c>
      <c r="B1216" t="n">
        <v>44759</v>
      </c>
      <c r="C1216" t="inlineStr">
        <is>
          <t>1401/04/26</t>
        </is>
      </c>
    </row>
    <row r="1217">
      <c r="A1217" t="n">
        <v>14010427</v>
      </c>
      <c r="B1217" t="n">
        <v>44760</v>
      </c>
      <c r="C1217" t="inlineStr">
        <is>
          <t>1401/04/27</t>
        </is>
      </c>
    </row>
    <row r="1218">
      <c r="A1218" t="n">
        <v>14010428</v>
      </c>
      <c r="B1218" t="n">
        <v>44761</v>
      </c>
      <c r="C1218" t="inlineStr">
        <is>
          <t>1401/04/28</t>
        </is>
      </c>
    </row>
    <row r="1219">
      <c r="A1219" t="n">
        <v>14010429</v>
      </c>
      <c r="B1219" t="n">
        <v>44762</v>
      </c>
      <c r="C1219" t="inlineStr">
        <is>
          <t>1401/04/29</t>
        </is>
      </c>
    </row>
    <row r="1220">
      <c r="A1220" t="n">
        <v>14010430</v>
      </c>
      <c r="B1220" t="n">
        <v>44763</v>
      </c>
      <c r="C1220" t="inlineStr">
        <is>
          <t>1401/04/30</t>
        </is>
      </c>
    </row>
    <row r="1221">
      <c r="A1221" t="n">
        <v>14010431</v>
      </c>
      <c r="B1221" t="n">
        <v>44764</v>
      </c>
      <c r="C1221" t="inlineStr">
        <is>
          <t>1401/04/31</t>
        </is>
      </c>
    </row>
    <row r="1222">
      <c r="A1222" t="n">
        <v>14010501</v>
      </c>
      <c r="B1222" t="n">
        <v>44765</v>
      </c>
      <c r="C1222" t="inlineStr">
        <is>
          <t>1401/05/01</t>
        </is>
      </c>
    </row>
    <row r="1223">
      <c r="A1223" t="n">
        <v>14010502</v>
      </c>
      <c r="B1223" t="n">
        <v>44766</v>
      </c>
      <c r="C1223" t="inlineStr">
        <is>
          <t>1401/05/02</t>
        </is>
      </c>
    </row>
    <row r="1224">
      <c r="A1224" t="n">
        <v>14010503</v>
      </c>
      <c r="B1224" t="n">
        <v>44767</v>
      </c>
      <c r="C1224" t="inlineStr">
        <is>
          <t>1401/05/03</t>
        </is>
      </c>
    </row>
    <row r="1225">
      <c r="A1225" t="n">
        <v>14010504</v>
      </c>
      <c r="B1225" t="n">
        <v>44768</v>
      </c>
      <c r="C1225" t="inlineStr">
        <is>
          <t>1401/05/04</t>
        </is>
      </c>
    </row>
    <row r="1226">
      <c r="A1226" t="n">
        <v>14010505</v>
      </c>
      <c r="B1226" t="n">
        <v>44769</v>
      </c>
      <c r="C1226" t="inlineStr">
        <is>
          <t>1401/05/05</t>
        </is>
      </c>
    </row>
    <row r="1227">
      <c r="A1227" t="n">
        <v>14010506</v>
      </c>
      <c r="B1227" t="n">
        <v>44770</v>
      </c>
      <c r="C1227" t="inlineStr">
        <is>
          <t>1401/05/06</t>
        </is>
      </c>
    </row>
    <row r="1228">
      <c r="A1228" t="n">
        <v>14010507</v>
      </c>
      <c r="B1228" t="n">
        <v>44771</v>
      </c>
      <c r="C1228" t="inlineStr">
        <is>
          <t>1401/05/07</t>
        </is>
      </c>
    </row>
    <row r="1229">
      <c r="A1229" t="n">
        <v>14010508</v>
      </c>
      <c r="B1229" t="n">
        <v>44772</v>
      </c>
      <c r="C1229" t="inlineStr">
        <is>
          <t>1401/05/08</t>
        </is>
      </c>
    </row>
    <row r="1230">
      <c r="A1230" t="n">
        <v>14010509</v>
      </c>
      <c r="B1230" t="n">
        <v>44773</v>
      </c>
      <c r="C1230" t="inlineStr">
        <is>
          <t>1401/05/09</t>
        </is>
      </c>
    </row>
    <row r="1231">
      <c r="A1231" t="n">
        <v>14010510</v>
      </c>
      <c r="B1231" t="n">
        <v>44774</v>
      </c>
      <c r="C1231" t="inlineStr">
        <is>
          <t>1401/05/10</t>
        </is>
      </c>
    </row>
    <row r="1232">
      <c r="A1232" t="n">
        <v>14010511</v>
      </c>
      <c r="B1232" t="n">
        <v>44775</v>
      </c>
      <c r="C1232" t="inlineStr">
        <is>
          <t>1401/05/11</t>
        </is>
      </c>
    </row>
    <row r="1233">
      <c r="A1233" t="n">
        <v>14010512</v>
      </c>
      <c r="B1233" t="n">
        <v>44776</v>
      </c>
      <c r="C1233" t="inlineStr">
        <is>
          <t>1401/05/12</t>
        </is>
      </c>
    </row>
    <row r="1234">
      <c r="A1234" t="n">
        <v>14010513</v>
      </c>
      <c r="B1234" t="n">
        <v>44777</v>
      </c>
      <c r="C1234" t="inlineStr">
        <is>
          <t>1401/05/13</t>
        </is>
      </c>
    </row>
    <row r="1235">
      <c r="A1235" t="n">
        <v>14010514</v>
      </c>
      <c r="B1235" t="n">
        <v>44778</v>
      </c>
      <c r="C1235" t="inlineStr">
        <is>
          <t>1401/05/14</t>
        </is>
      </c>
    </row>
    <row r="1236">
      <c r="A1236" t="n">
        <v>14010515</v>
      </c>
      <c r="B1236" t="n">
        <v>44779</v>
      </c>
      <c r="C1236" t="inlineStr">
        <is>
          <t>1401/05/15</t>
        </is>
      </c>
    </row>
    <row r="1237">
      <c r="A1237" t="n">
        <v>14010516</v>
      </c>
      <c r="B1237" t="n">
        <v>44780</v>
      </c>
      <c r="C1237" t="inlineStr">
        <is>
          <t>1401/05/16</t>
        </is>
      </c>
    </row>
    <row r="1238">
      <c r="A1238" t="n">
        <v>14010517</v>
      </c>
      <c r="B1238" t="n">
        <v>44781</v>
      </c>
      <c r="C1238" t="inlineStr">
        <is>
          <t>1401/05/17</t>
        </is>
      </c>
    </row>
    <row r="1239">
      <c r="A1239" t="n">
        <v>14010518</v>
      </c>
      <c r="B1239" t="n">
        <v>44782</v>
      </c>
      <c r="C1239" t="inlineStr">
        <is>
          <t>1401/05/18</t>
        </is>
      </c>
    </row>
    <row r="1240">
      <c r="A1240" t="n">
        <v>14010519</v>
      </c>
      <c r="B1240" t="n">
        <v>44783</v>
      </c>
      <c r="C1240" t="inlineStr">
        <is>
          <t>1401/05/19</t>
        </is>
      </c>
    </row>
    <row r="1241">
      <c r="A1241" t="n">
        <v>14010520</v>
      </c>
      <c r="B1241" t="n">
        <v>44784</v>
      </c>
      <c r="C1241" t="inlineStr">
        <is>
          <t>1401/05/20</t>
        </is>
      </c>
    </row>
    <row r="1242">
      <c r="A1242" t="n">
        <v>14010521</v>
      </c>
      <c r="B1242" t="n">
        <v>44785</v>
      </c>
      <c r="C1242" t="inlineStr">
        <is>
          <t>1401/05/21</t>
        </is>
      </c>
    </row>
    <row r="1243">
      <c r="A1243" t="n">
        <v>14010522</v>
      </c>
      <c r="B1243" t="n">
        <v>44786</v>
      </c>
      <c r="C1243" t="inlineStr">
        <is>
          <t>1401/05/22</t>
        </is>
      </c>
    </row>
    <row r="1244">
      <c r="A1244" t="n">
        <v>14010523</v>
      </c>
      <c r="B1244" t="n">
        <v>44787</v>
      </c>
      <c r="C1244" t="inlineStr">
        <is>
          <t>1401/05/23</t>
        </is>
      </c>
    </row>
    <row r="1245">
      <c r="A1245" t="n">
        <v>14010524</v>
      </c>
      <c r="B1245" t="n">
        <v>44788</v>
      </c>
      <c r="C1245" t="inlineStr">
        <is>
          <t>1401/05/24</t>
        </is>
      </c>
    </row>
    <row r="1246">
      <c r="A1246" t="n">
        <v>14010525</v>
      </c>
      <c r="B1246" t="n">
        <v>44789</v>
      </c>
      <c r="C1246" t="inlineStr">
        <is>
          <t>1401/05/25</t>
        </is>
      </c>
    </row>
    <row r="1247">
      <c r="A1247" t="n">
        <v>14010526</v>
      </c>
      <c r="B1247" t="n">
        <v>44790</v>
      </c>
      <c r="C1247" t="inlineStr">
        <is>
          <t>1401/05/26</t>
        </is>
      </c>
    </row>
    <row r="1248">
      <c r="A1248" t="n">
        <v>14010527</v>
      </c>
      <c r="B1248" t="n">
        <v>44791</v>
      </c>
      <c r="C1248" t="inlineStr">
        <is>
          <t>1401/05/27</t>
        </is>
      </c>
    </row>
    <row r="1249">
      <c r="A1249" t="n">
        <v>14010528</v>
      </c>
      <c r="B1249" t="n">
        <v>44792</v>
      </c>
      <c r="C1249" t="inlineStr">
        <is>
          <t>1401/05/28</t>
        </is>
      </c>
    </row>
    <row r="1250">
      <c r="A1250" t="n">
        <v>14010529</v>
      </c>
      <c r="B1250" t="n">
        <v>44793</v>
      </c>
      <c r="C1250" t="inlineStr">
        <is>
          <t>1401/05/29</t>
        </is>
      </c>
    </row>
    <row r="1251">
      <c r="A1251" t="n">
        <v>14010530</v>
      </c>
      <c r="B1251" t="n">
        <v>44794</v>
      </c>
      <c r="C1251" t="inlineStr">
        <is>
          <t>1401/05/30</t>
        </is>
      </c>
    </row>
    <row r="1252">
      <c r="A1252" t="n">
        <v>14010531</v>
      </c>
      <c r="B1252" t="n">
        <v>44795</v>
      </c>
      <c r="C1252" t="inlineStr">
        <is>
          <t>1401/05/31</t>
        </is>
      </c>
    </row>
    <row r="1253">
      <c r="A1253" t="n">
        <v>14010601</v>
      </c>
      <c r="B1253" t="n">
        <v>44796</v>
      </c>
      <c r="C1253" t="inlineStr">
        <is>
          <t>1401/06/01</t>
        </is>
      </c>
    </row>
    <row r="1254">
      <c r="A1254" t="n">
        <v>14010602</v>
      </c>
      <c r="B1254" t="n">
        <v>44797</v>
      </c>
      <c r="C1254" t="inlineStr">
        <is>
          <t>1401/06/02</t>
        </is>
      </c>
    </row>
    <row r="1255">
      <c r="A1255" t="n">
        <v>14010603</v>
      </c>
      <c r="B1255" t="n">
        <v>44798</v>
      </c>
      <c r="C1255" t="inlineStr">
        <is>
          <t>1401/06/03</t>
        </is>
      </c>
    </row>
    <row r="1256">
      <c r="A1256" t="n">
        <v>14010604</v>
      </c>
      <c r="B1256" t="n">
        <v>44799</v>
      </c>
      <c r="C1256" t="inlineStr">
        <is>
          <t>1401/06/04</t>
        </is>
      </c>
    </row>
    <row r="1257">
      <c r="A1257" t="n">
        <v>14010605</v>
      </c>
      <c r="B1257" t="n">
        <v>44800</v>
      </c>
      <c r="C1257" t="inlineStr">
        <is>
          <t>1401/06/05</t>
        </is>
      </c>
    </row>
    <row r="1258">
      <c r="A1258" t="n">
        <v>14010606</v>
      </c>
      <c r="B1258" t="n">
        <v>44801</v>
      </c>
      <c r="C1258" t="inlineStr">
        <is>
          <t>1401/06/06</t>
        </is>
      </c>
    </row>
    <row r="1259">
      <c r="A1259" t="n">
        <v>14010607</v>
      </c>
      <c r="B1259" t="n">
        <v>44802</v>
      </c>
      <c r="C1259" t="inlineStr">
        <is>
          <t>1401/06/07</t>
        </is>
      </c>
    </row>
    <row r="1260">
      <c r="A1260" t="n">
        <v>14010608</v>
      </c>
      <c r="B1260" t="n">
        <v>44803</v>
      </c>
      <c r="C1260" t="inlineStr">
        <is>
          <t>1401/06/08</t>
        </is>
      </c>
    </row>
    <row r="1261">
      <c r="A1261" t="n">
        <v>14010609</v>
      </c>
      <c r="B1261" t="n">
        <v>44804</v>
      </c>
      <c r="C1261" t="inlineStr">
        <is>
          <t>1401/06/09</t>
        </is>
      </c>
    </row>
    <row r="1262">
      <c r="A1262" t="n">
        <v>14010610</v>
      </c>
      <c r="B1262" t="n">
        <v>44805</v>
      </c>
      <c r="C1262" t="inlineStr">
        <is>
          <t>1401/06/10</t>
        </is>
      </c>
    </row>
    <row r="1263">
      <c r="A1263" t="n">
        <v>14010611</v>
      </c>
      <c r="B1263" t="n">
        <v>44806</v>
      </c>
      <c r="C1263" t="inlineStr">
        <is>
          <t>1401/06/11</t>
        </is>
      </c>
    </row>
    <row r="1264">
      <c r="A1264" t="n">
        <v>14010612</v>
      </c>
      <c r="B1264" t="n">
        <v>44807</v>
      </c>
      <c r="C1264" t="inlineStr">
        <is>
          <t>1401/06/12</t>
        </is>
      </c>
    </row>
    <row r="1265">
      <c r="A1265" t="n">
        <v>14010613</v>
      </c>
      <c r="B1265" t="n">
        <v>44808</v>
      </c>
      <c r="C1265" t="inlineStr">
        <is>
          <t>1401/06/13</t>
        </is>
      </c>
    </row>
    <row r="1266">
      <c r="A1266" t="n">
        <v>14010614</v>
      </c>
      <c r="B1266" t="n">
        <v>44809</v>
      </c>
      <c r="C1266" t="inlineStr">
        <is>
          <t>1401/06/14</t>
        </is>
      </c>
    </row>
    <row r="1267">
      <c r="A1267" t="n">
        <v>14010615</v>
      </c>
      <c r="B1267" t="n">
        <v>44810</v>
      </c>
      <c r="C1267" t="inlineStr">
        <is>
          <t>1401/06/15</t>
        </is>
      </c>
    </row>
    <row r="1268">
      <c r="A1268" t="n">
        <v>14010616</v>
      </c>
      <c r="B1268" t="n">
        <v>44811</v>
      </c>
      <c r="C1268" t="inlineStr">
        <is>
          <t>1401/06/16</t>
        </is>
      </c>
    </row>
    <row r="1269">
      <c r="A1269" t="n">
        <v>14010617</v>
      </c>
      <c r="B1269" t="n">
        <v>44812</v>
      </c>
      <c r="C1269" t="inlineStr">
        <is>
          <t>1401/06/17</t>
        </is>
      </c>
    </row>
    <row r="1270">
      <c r="A1270" t="n">
        <v>14010618</v>
      </c>
      <c r="B1270" t="n">
        <v>44813</v>
      </c>
      <c r="C1270" t="inlineStr">
        <is>
          <t>1401/06/18</t>
        </is>
      </c>
    </row>
    <row r="1271">
      <c r="A1271" t="n">
        <v>14010619</v>
      </c>
      <c r="B1271" t="n">
        <v>44814</v>
      </c>
      <c r="C1271" t="inlineStr">
        <is>
          <t>1401/06/19</t>
        </is>
      </c>
    </row>
    <row r="1272">
      <c r="A1272" t="n">
        <v>14010620</v>
      </c>
      <c r="B1272" t="n">
        <v>44815</v>
      </c>
      <c r="C1272" t="inlineStr">
        <is>
          <t>1401/06/20</t>
        </is>
      </c>
    </row>
    <row r="1273">
      <c r="A1273" t="n">
        <v>14010621</v>
      </c>
      <c r="B1273" t="n">
        <v>44816</v>
      </c>
      <c r="C1273" t="inlineStr">
        <is>
          <t>1401/06/21</t>
        </is>
      </c>
    </row>
    <row r="1274">
      <c r="A1274" t="n">
        <v>14010622</v>
      </c>
      <c r="B1274" t="n">
        <v>44817</v>
      </c>
      <c r="C1274" t="inlineStr">
        <is>
          <t>1401/06/22</t>
        </is>
      </c>
    </row>
    <row r="1275">
      <c r="A1275" t="n">
        <v>14010623</v>
      </c>
      <c r="B1275" t="n">
        <v>44818</v>
      </c>
      <c r="C1275" t="inlineStr">
        <is>
          <t>1401/06/23</t>
        </is>
      </c>
    </row>
    <row r="1276">
      <c r="A1276" t="n">
        <v>14010624</v>
      </c>
      <c r="B1276" t="n">
        <v>44819</v>
      </c>
      <c r="C1276" t="inlineStr">
        <is>
          <t>1401/06/24</t>
        </is>
      </c>
    </row>
    <row r="1277">
      <c r="A1277" t="n">
        <v>14010625</v>
      </c>
      <c r="B1277" t="n">
        <v>44820</v>
      </c>
      <c r="C1277" t="inlineStr">
        <is>
          <t>1401/06/25</t>
        </is>
      </c>
    </row>
    <row r="1278">
      <c r="A1278" t="n">
        <v>14010626</v>
      </c>
      <c r="B1278" t="n">
        <v>44821</v>
      </c>
      <c r="C1278" t="inlineStr">
        <is>
          <t>1401/06/26</t>
        </is>
      </c>
    </row>
    <row r="1279">
      <c r="A1279" t="n">
        <v>14010627</v>
      </c>
      <c r="B1279" t="n">
        <v>44822</v>
      </c>
      <c r="C1279" t="inlineStr">
        <is>
          <t>1401/06/27</t>
        </is>
      </c>
    </row>
    <row r="1280">
      <c r="A1280" t="n">
        <v>14010628</v>
      </c>
      <c r="B1280" t="n">
        <v>44823</v>
      </c>
      <c r="C1280" t="inlineStr">
        <is>
          <t>1401/06/28</t>
        </is>
      </c>
    </row>
    <row r="1281">
      <c r="A1281" t="n">
        <v>14010629</v>
      </c>
      <c r="B1281" t="n">
        <v>44824</v>
      </c>
      <c r="C1281" t="inlineStr">
        <is>
          <t>1401/06/29</t>
        </is>
      </c>
    </row>
    <row r="1282">
      <c r="A1282" t="n">
        <v>14010630</v>
      </c>
      <c r="B1282" t="n">
        <v>44825</v>
      </c>
      <c r="C1282" t="inlineStr">
        <is>
          <t>1401/06/30</t>
        </is>
      </c>
    </row>
    <row r="1283">
      <c r="A1283" t="n">
        <v>14010631</v>
      </c>
      <c r="B1283" t="n">
        <v>44826</v>
      </c>
      <c r="C1283" t="inlineStr">
        <is>
          <t>1401/06/31</t>
        </is>
      </c>
    </row>
    <row r="1284">
      <c r="A1284" t="n">
        <v>14010701</v>
      </c>
      <c r="B1284" t="n">
        <v>44827</v>
      </c>
      <c r="C1284" t="inlineStr">
        <is>
          <t>1401/07/01</t>
        </is>
      </c>
    </row>
    <row r="1285">
      <c r="A1285" t="n">
        <v>14010702</v>
      </c>
      <c r="B1285" t="n">
        <v>44828</v>
      </c>
      <c r="C1285" t="inlineStr">
        <is>
          <t>1401/07/02</t>
        </is>
      </c>
    </row>
    <row r="1286">
      <c r="A1286" t="n">
        <v>14010703</v>
      </c>
      <c r="B1286" t="n">
        <v>44829</v>
      </c>
      <c r="C1286" t="inlineStr">
        <is>
          <t>1401/07/03</t>
        </is>
      </c>
    </row>
    <row r="1287">
      <c r="A1287" t="n">
        <v>14010704</v>
      </c>
      <c r="B1287" t="n">
        <v>44830</v>
      </c>
      <c r="C1287" t="inlineStr">
        <is>
          <t>1401/07/04</t>
        </is>
      </c>
    </row>
    <row r="1288">
      <c r="A1288" t="n">
        <v>14010705</v>
      </c>
      <c r="B1288" t="n">
        <v>44831</v>
      </c>
      <c r="C1288" t="inlineStr">
        <is>
          <t>1401/07/05</t>
        </is>
      </c>
    </row>
    <row r="1289">
      <c r="A1289" t="n">
        <v>14010706</v>
      </c>
      <c r="B1289" t="n">
        <v>44832</v>
      </c>
      <c r="C1289" t="inlineStr">
        <is>
          <t>1401/07/06</t>
        </is>
      </c>
    </row>
    <row r="1290">
      <c r="A1290" t="n">
        <v>14010707</v>
      </c>
      <c r="B1290" t="n">
        <v>44833</v>
      </c>
      <c r="C1290" t="inlineStr">
        <is>
          <t>1401/07/07</t>
        </is>
      </c>
    </row>
    <row r="1291">
      <c r="A1291" t="n">
        <v>14010708</v>
      </c>
      <c r="B1291" t="n">
        <v>44834</v>
      </c>
      <c r="C1291" t="inlineStr">
        <is>
          <t>1401/07/08</t>
        </is>
      </c>
    </row>
    <row r="1292">
      <c r="A1292" t="n">
        <v>14010709</v>
      </c>
      <c r="B1292" t="n">
        <v>44835</v>
      </c>
      <c r="C1292" t="inlineStr">
        <is>
          <t>1401/07/09</t>
        </is>
      </c>
    </row>
    <row r="1293">
      <c r="A1293" t="n">
        <v>14010710</v>
      </c>
      <c r="B1293" t="n">
        <v>44836</v>
      </c>
      <c r="C1293" t="inlineStr">
        <is>
          <t>1401/07/10</t>
        </is>
      </c>
    </row>
    <row r="1294">
      <c r="A1294" t="n">
        <v>14010711</v>
      </c>
      <c r="B1294" t="n">
        <v>44837</v>
      </c>
      <c r="C1294" t="inlineStr">
        <is>
          <t>1401/07/11</t>
        </is>
      </c>
    </row>
    <row r="1295">
      <c r="A1295" t="n">
        <v>14010712</v>
      </c>
      <c r="B1295" t="n">
        <v>44838</v>
      </c>
      <c r="C1295" t="inlineStr">
        <is>
          <t>1401/07/12</t>
        </is>
      </c>
    </row>
    <row r="1296">
      <c r="A1296" t="n">
        <v>14010713</v>
      </c>
      <c r="B1296" t="n">
        <v>44839</v>
      </c>
      <c r="C1296" t="inlineStr">
        <is>
          <t>1401/07/13</t>
        </is>
      </c>
    </row>
    <row r="1297">
      <c r="A1297" t="n">
        <v>14010714</v>
      </c>
      <c r="B1297" t="n">
        <v>44840</v>
      </c>
      <c r="C1297" t="inlineStr">
        <is>
          <t>1401/07/14</t>
        </is>
      </c>
    </row>
    <row r="1298">
      <c r="A1298" t="n">
        <v>14010715</v>
      </c>
      <c r="B1298" t="n">
        <v>44841</v>
      </c>
      <c r="C1298" t="inlineStr">
        <is>
          <t>1401/07/15</t>
        </is>
      </c>
    </row>
    <row r="1299">
      <c r="A1299" t="n">
        <v>14010716</v>
      </c>
      <c r="B1299" t="n">
        <v>44842</v>
      </c>
      <c r="C1299" t="inlineStr">
        <is>
          <t>1401/07/16</t>
        </is>
      </c>
    </row>
    <row r="1300">
      <c r="A1300" t="n">
        <v>14010717</v>
      </c>
      <c r="B1300" t="n">
        <v>44843</v>
      </c>
      <c r="C1300" t="inlineStr">
        <is>
          <t>1401/07/17</t>
        </is>
      </c>
    </row>
    <row r="1301">
      <c r="A1301" t="n">
        <v>14010718</v>
      </c>
      <c r="B1301" t="n">
        <v>44844</v>
      </c>
      <c r="C1301" t="inlineStr">
        <is>
          <t>1401/07/18</t>
        </is>
      </c>
    </row>
    <row r="1302">
      <c r="A1302" t="n">
        <v>14010719</v>
      </c>
      <c r="B1302" t="n">
        <v>44845</v>
      </c>
      <c r="C1302" t="inlineStr">
        <is>
          <t>1401/07/19</t>
        </is>
      </c>
    </row>
    <row r="1303">
      <c r="A1303" t="n">
        <v>14010720</v>
      </c>
      <c r="B1303" t="n">
        <v>44846</v>
      </c>
      <c r="C1303" t="inlineStr">
        <is>
          <t>1401/07/20</t>
        </is>
      </c>
    </row>
    <row r="1304">
      <c r="A1304" t="n">
        <v>14010721</v>
      </c>
      <c r="B1304" t="n">
        <v>44847</v>
      </c>
      <c r="C1304" t="inlineStr">
        <is>
          <t>1401/07/21</t>
        </is>
      </c>
    </row>
    <row r="1305">
      <c r="A1305" t="n">
        <v>14010722</v>
      </c>
      <c r="B1305" t="n">
        <v>44848</v>
      </c>
      <c r="C1305" t="inlineStr">
        <is>
          <t>1401/07/22</t>
        </is>
      </c>
    </row>
    <row r="1306">
      <c r="A1306" t="n">
        <v>14010723</v>
      </c>
      <c r="B1306" t="n">
        <v>44849</v>
      </c>
      <c r="C1306" t="inlineStr">
        <is>
          <t>1401/07/23</t>
        </is>
      </c>
    </row>
    <row r="1307">
      <c r="A1307" t="n">
        <v>14010724</v>
      </c>
      <c r="B1307" t="n">
        <v>44850</v>
      </c>
      <c r="C1307" t="inlineStr">
        <is>
          <t>1401/07/24</t>
        </is>
      </c>
    </row>
    <row r="1308">
      <c r="A1308" t="n">
        <v>14010725</v>
      </c>
      <c r="B1308" t="n">
        <v>44851</v>
      </c>
      <c r="C1308" t="inlineStr">
        <is>
          <t>1401/07/25</t>
        </is>
      </c>
    </row>
    <row r="1309">
      <c r="A1309" t="n">
        <v>14010726</v>
      </c>
      <c r="B1309" t="n">
        <v>44852</v>
      </c>
      <c r="C1309" t="inlineStr">
        <is>
          <t>1401/07/26</t>
        </is>
      </c>
    </row>
    <row r="1310">
      <c r="A1310" t="n">
        <v>14010727</v>
      </c>
      <c r="B1310" t="n">
        <v>44853</v>
      </c>
      <c r="C1310" t="inlineStr">
        <is>
          <t>1401/07/27</t>
        </is>
      </c>
    </row>
    <row r="1311">
      <c r="A1311" t="n">
        <v>14010728</v>
      </c>
      <c r="B1311" t="n">
        <v>44854</v>
      </c>
      <c r="C1311" t="inlineStr">
        <is>
          <t>1401/07/28</t>
        </is>
      </c>
    </row>
    <row r="1312">
      <c r="A1312" t="n">
        <v>14010729</v>
      </c>
      <c r="B1312" t="n">
        <v>44855</v>
      </c>
      <c r="C1312" t="inlineStr">
        <is>
          <t>1401/07/29</t>
        </is>
      </c>
    </row>
    <row r="1313">
      <c r="A1313" t="n">
        <v>14010730</v>
      </c>
      <c r="B1313" t="n">
        <v>44856</v>
      </c>
      <c r="C1313" t="inlineStr">
        <is>
          <t>1401/07/30</t>
        </is>
      </c>
    </row>
    <row r="1314">
      <c r="A1314" t="n">
        <v>14010801</v>
      </c>
      <c r="B1314" t="n">
        <v>44857</v>
      </c>
      <c r="C1314" t="inlineStr">
        <is>
          <t>1401/08/01</t>
        </is>
      </c>
    </row>
    <row r="1315">
      <c r="A1315" t="n">
        <v>14010802</v>
      </c>
      <c r="B1315" t="n">
        <v>44858</v>
      </c>
      <c r="C1315" t="inlineStr">
        <is>
          <t>1401/08/02</t>
        </is>
      </c>
    </row>
    <row r="1316">
      <c r="A1316" t="n">
        <v>14010803</v>
      </c>
      <c r="B1316" t="n">
        <v>44859</v>
      </c>
      <c r="C1316" t="inlineStr">
        <is>
          <t>1401/08/03</t>
        </is>
      </c>
    </row>
    <row r="1317">
      <c r="A1317" t="n">
        <v>14010804</v>
      </c>
      <c r="B1317" t="n">
        <v>44860</v>
      </c>
      <c r="C1317" t="inlineStr">
        <is>
          <t>1401/08/04</t>
        </is>
      </c>
    </row>
    <row r="1318">
      <c r="A1318" t="n">
        <v>14010805</v>
      </c>
      <c r="B1318" t="n">
        <v>44861</v>
      </c>
      <c r="C1318" t="inlineStr">
        <is>
          <t>1401/08/05</t>
        </is>
      </c>
    </row>
    <row r="1319">
      <c r="A1319" t="n">
        <v>14010806</v>
      </c>
      <c r="B1319" t="n">
        <v>44862</v>
      </c>
      <c r="C1319" t="inlineStr">
        <is>
          <t>1401/08/06</t>
        </is>
      </c>
    </row>
    <row r="1320">
      <c r="A1320" t="n">
        <v>14010807</v>
      </c>
      <c r="B1320" t="n">
        <v>44863</v>
      </c>
      <c r="C1320" t="inlineStr">
        <is>
          <t>1401/08/07</t>
        </is>
      </c>
    </row>
    <row r="1321">
      <c r="A1321" t="n">
        <v>14010808</v>
      </c>
      <c r="B1321" t="n">
        <v>44864</v>
      </c>
      <c r="C1321" t="inlineStr">
        <is>
          <t>1401/08/08</t>
        </is>
      </c>
    </row>
    <row r="1322">
      <c r="A1322" t="n">
        <v>14010809</v>
      </c>
      <c r="B1322" t="n">
        <v>44865</v>
      </c>
      <c r="C1322" t="inlineStr">
        <is>
          <t>1401/08/09</t>
        </is>
      </c>
    </row>
    <row r="1323">
      <c r="A1323" t="n">
        <v>14010810</v>
      </c>
      <c r="B1323" t="n">
        <v>44866</v>
      </c>
      <c r="C1323" t="inlineStr">
        <is>
          <t>1401/08/10</t>
        </is>
      </c>
    </row>
    <row r="1324">
      <c r="A1324" t="n">
        <v>14010811</v>
      </c>
      <c r="B1324" t="n">
        <v>44867</v>
      </c>
      <c r="C1324" t="inlineStr">
        <is>
          <t>1401/08/11</t>
        </is>
      </c>
    </row>
    <row r="1325">
      <c r="A1325" t="n">
        <v>14010812</v>
      </c>
      <c r="B1325" t="n">
        <v>44868</v>
      </c>
      <c r="C1325" t="inlineStr">
        <is>
          <t>1401/08/12</t>
        </is>
      </c>
    </row>
    <row r="1326">
      <c r="A1326" t="n">
        <v>14010813</v>
      </c>
      <c r="B1326" t="n">
        <v>44869</v>
      </c>
      <c r="C1326" t="inlineStr">
        <is>
          <t>1401/08/13</t>
        </is>
      </c>
    </row>
    <row r="1327">
      <c r="A1327" t="n">
        <v>14010814</v>
      </c>
      <c r="B1327" t="n">
        <v>44870</v>
      </c>
      <c r="C1327" t="inlineStr">
        <is>
          <t>1401/08/14</t>
        </is>
      </c>
    </row>
    <row r="1328">
      <c r="A1328" t="n">
        <v>14010815</v>
      </c>
      <c r="B1328" t="n">
        <v>44871</v>
      </c>
      <c r="C1328" t="inlineStr">
        <is>
          <t>1401/08/15</t>
        </is>
      </c>
    </row>
    <row r="1329">
      <c r="A1329" t="n">
        <v>14010816</v>
      </c>
      <c r="B1329" t="n">
        <v>44872</v>
      </c>
      <c r="C1329" t="inlineStr">
        <is>
          <t>1401/08/16</t>
        </is>
      </c>
    </row>
    <row r="1330">
      <c r="A1330" t="n">
        <v>14010817</v>
      </c>
      <c r="B1330" t="n">
        <v>44873</v>
      </c>
      <c r="C1330" t="inlineStr">
        <is>
          <t>1401/08/17</t>
        </is>
      </c>
    </row>
    <row r="1331">
      <c r="A1331" t="n">
        <v>14010818</v>
      </c>
      <c r="B1331" t="n">
        <v>44874</v>
      </c>
      <c r="C1331" t="inlineStr">
        <is>
          <t>1401/08/18</t>
        </is>
      </c>
    </row>
    <row r="1332">
      <c r="A1332" t="n">
        <v>14010819</v>
      </c>
      <c r="B1332" t="n">
        <v>44875</v>
      </c>
      <c r="C1332" t="inlineStr">
        <is>
          <t>1401/08/19</t>
        </is>
      </c>
    </row>
    <row r="1333">
      <c r="A1333" t="n">
        <v>14010820</v>
      </c>
      <c r="B1333" t="n">
        <v>44876</v>
      </c>
      <c r="C1333" t="inlineStr">
        <is>
          <t>1401/08/20</t>
        </is>
      </c>
    </row>
    <row r="1334">
      <c r="A1334" t="n">
        <v>14010821</v>
      </c>
      <c r="B1334" t="n">
        <v>44877</v>
      </c>
      <c r="C1334" t="inlineStr">
        <is>
          <t>1401/08/21</t>
        </is>
      </c>
    </row>
    <row r="1335">
      <c r="A1335" t="n">
        <v>14010822</v>
      </c>
      <c r="B1335" t="n">
        <v>44878</v>
      </c>
      <c r="C1335" t="inlineStr">
        <is>
          <t>1401/08/22</t>
        </is>
      </c>
    </row>
    <row r="1336">
      <c r="A1336" t="n">
        <v>14010823</v>
      </c>
      <c r="B1336" t="n">
        <v>44879</v>
      </c>
      <c r="C1336" t="inlineStr">
        <is>
          <t>1401/08/23</t>
        </is>
      </c>
    </row>
    <row r="1337">
      <c r="A1337" t="n">
        <v>14010824</v>
      </c>
      <c r="B1337" t="n">
        <v>44880</v>
      </c>
      <c r="C1337" t="inlineStr">
        <is>
          <t>1401/08/24</t>
        </is>
      </c>
    </row>
    <row r="1338">
      <c r="A1338" t="n">
        <v>14010825</v>
      </c>
      <c r="B1338" t="n">
        <v>44881</v>
      </c>
      <c r="C1338" t="inlineStr">
        <is>
          <t>1401/08/25</t>
        </is>
      </c>
    </row>
    <row r="1339">
      <c r="A1339" t="n">
        <v>14010826</v>
      </c>
      <c r="B1339" t="n">
        <v>44882</v>
      </c>
      <c r="C1339" t="inlineStr">
        <is>
          <t>1401/08/26</t>
        </is>
      </c>
    </row>
    <row r="1340">
      <c r="A1340" t="n">
        <v>14010827</v>
      </c>
      <c r="B1340" t="n">
        <v>44883</v>
      </c>
      <c r="C1340" t="inlineStr">
        <is>
          <t>1401/08/27</t>
        </is>
      </c>
    </row>
    <row r="1341">
      <c r="A1341" t="n">
        <v>14010828</v>
      </c>
      <c r="B1341" t="n">
        <v>44884</v>
      </c>
      <c r="C1341" t="inlineStr">
        <is>
          <t>1401/08/28</t>
        </is>
      </c>
    </row>
    <row r="1342">
      <c r="A1342" t="n">
        <v>14010829</v>
      </c>
      <c r="B1342" t="n">
        <v>44885</v>
      </c>
      <c r="C1342" t="inlineStr">
        <is>
          <t>1401/08/29</t>
        </is>
      </c>
    </row>
    <row r="1343">
      <c r="A1343" t="n">
        <v>14010830</v>
      </c>
      <c r="B1343" t="n">
        <v>44886</v>
      </c>
      <c r="C1343" t="inlineStr">
        <is>
          <t>1401/08/30</t>
        </is>
      </c>
    </row>
    <row r="1344">
      <c r="A1344" t="n">
        <v>14010901</v>
      </c>
      <c r="B1344" t="n">
        <v>44887</v>
      </c>
      <c r="C1344" t="inlineStr">
        <is>
          <t>1401/09/01</t>
        </is>
      </c>
    </row>
    <row r="1345">
      <c r="A1345" t="n">
        <v>14010902</v>
      </c>
      <c r="B1345" t="n">
        <v>44888</v>
      </c>
      <c r="C1345" t="inlineStr">
        <is>
          <t>1401/09/02</t>
        </is>
      </c>
    </row>
    <row r="1346">
      <c r="A1346" t="n">
        <v>14010903</v>
      </c>
      <c r="B1346" t="n">
        <v>44889</v>
      </c>
      <c r="C1346" t="inlineStr">
        <is>
          <t>1401/09/03</t>
        </is>
      </c>
    </row>
    <row r="1347">
      <c r="A1347" t="n">
        <v>14010904</v>
      </c>
      <c r="B1347" t="n">
        <v>44890</v>
      </c>
      <c r="C1347" t="inlineStr">
        <is>
          <t>1401/09/04</t>
        </is>
      </c>
    </row>
    <row r="1348">
      <c r="A1348" t="n">
        <v>14010905</v>
      </c>
      <c r="B1348" t="n">
        <v>44891</v>
      </c>
      <c r="C1348" t="inlineStr">
        <is>
          <t>1401/09/05</t>
        </is>
      </c>
    </row>
    <row r="1349">
      <c r="A1349" t="n">
        <v>14010906</v>
      </c>
      <c r="B1349" t="n">
        <v>44892</v>
      </c>
      <c r="C1349" t="inlineStr">
        <is>
          <t>1401/09/06</t>
        </is>
      </c>
    </row>
    <row r="1350">
      <c r="A1350" t="n">
        <v>14010907</v>
      </c>
      <c r="B1350" t="n">
        <v>44893</v>
      </c>
      <c r="C1350" t="inlineStr">
        <is>
          <t>1401/09/07</t>
        </is>
      </c>
    </row>
    <row r="1351">
      <c r="A1351" t="n">
        <v>14010908</v>
      </c>
      <c r="B1351" t="n">
        <v>44894</v>
      </c>
      <c r="C1351" t="inlineStr">
        <is>
          <t>1401/09/08</t>
        </is>
      </c>
    </row>
    <row r="1352">
      <c r="A1352" t="n">
        <v>14010909</v>
      </c>
      <c r="B1352" t="n">
        <v>44895</v>
      </c>
      <c r="C1352" t="inlineStr">
        <is>
          <t>1401/09/09</t>
        </is>
      </c>
    </row>
    <row r="1353">
      <c r="A1353" t="n">
        <v>14010910</v>
      </c>
      <c r="B1353" t="n">
        <v>44896</v>
      </c>
      <c r="C1353" t="inlineStr">
        <is>
          <t>1401/09/10</t>
        </is>
      </c>
    </row>
    <row r="1354">
      <c r="A1354" t="n">
        <v>14010911</v>
      </c>
      <c r="B1354" t="n">
        <v>44897</v>
      </c>
      <c r="C1354" t="inlineStr">
        <is>
          <t>1401/09/11</t>
        </is>
      </c>
    </row>
    <row r="1355">
      <c r="A1355" t="n">
        <v>14010912</v>
      </c>
      <c r="B1355" t="n">
        <v>44898</v>
      </c>
      <c r="C1355" t="inlineStr">
        <is>
          <t>1401/09/12</t>
        </is>
      </c>
    </row>
    <row r="1356">
      <c r="A1356" t="n">
        <v>14010913</v>
      </c>
      <c r="B1356" t="n">
        <v>44899</v>
      </c>
      <c r="C1356" t="inlineStr">
        <is>
          <t>1401/09/13</t>
        </is>
      </c>
    </row>
    <row r="1357">
      <c r="A1357" t="n">
        <v>14010914</v>
      </c>
      <c r="B1357" t="n">
        <v>44900</v>
      </c>
      <c r="C1357" t="inlineStr">
        <is>
          <t>1401/09/14</t>
        </is>
      </c>
    </row>
    <row r="1358">
      <c r="A1358" t="n">
        <v>14010915</v>
      </c>
      <c r="B1358" t="n">
        <v>44901</v>
      </c>
      <c r="C1358" t="inlineStr">
        <is>
          <t>1401/09/15</t>
        </is>
      </c>
    </row>
    <row r="1359">
      <c r="A1359" t="n">
        <v>14010916</v>
      </c>
      <c r="B1359" t="n">
        <v>44902</v>
      </c>
      <c r="C1359" t="inlineStr">
        <is>
          <t>1401/09/16</t>
        </is>
      </c>
    </row>
    <row r="1360">
      <c r="A1360" t="n">
        <v>14010917</v>
      </c>
      <c r="B1360" t="n">
        <v>44903</v>
      </c>
      <c r="C1360" t="inlineStr">
        <is>
          <t>1401/09/17</t>
        </is>
      </c>
    </row>
    <row r="1361">
      <c r="A1361" t="n">
        <v>14010918</v>
      </c>
      <c r="B1361" t="n">
        <v>44904</v>
      </c>
      <c r="C1361" t="inlineStr">
        <is>
          <t>1401/09/18</t>
        </is>
      </c>
    </row>
    <row r="1362">
      <c r="A1362" t="n">
        <v>14010919</v>
      </c>
      <c r="B1362" t="n">
        <v>44905</v>
      </c>
      <c r="C1362" t="inlineStr">
        <is>
          <t>1401/09/19</t>
        </is>
      </c>
    </row>
    <row r="1363">
      <c r="A1363" t="n">
        <v>14010920</v>
      </c>
      <c r="B1363" t="n">
        <v>44906</v>
      </c>
      <c r="C1363" t="inlineStr">
        <is>
          <t>1401/09/20</t>
        </is>
      </c>
    </row>
    <row r="1364">
      <c r="A1364" t="n">
        <v>14010921</v>
      </c>
      <c r="B1364" t="n">
        <v>44907</v>
      </c>
      <c r="C1364" t="inlineStr">
        <is>
          <t>1401/09/21</t>
        </is>
      </c>
    </row>
    <row r="1365">
      <c r="A1365" t="n">
        <v>14010922</v>
      </c>
      <c r="B1365" t="n">
        <v>44908</v>
      </c>
      <c r="C1365" t="inlineStr">
        <is>
          <t>1401/09/22</t>
        </is>
      </c>
    </row>
    <row r="1366">
      <c r="A1366" t="n">
        <v>14010923</v>
      </c>
      <c r="B1366" t="n">
        <v>44909</v>
      </c>
      <c r="C1366" t="inlineStr">
        <is>
          <t>1401/09/23</t>
        </is>
      </c>
    </row>
    <row r="1367">
      <c r="A1367" t="n">
        <v>14010924</v>
      </c>
      <c r="B1367" t="n">
        <v>44910</v>
      </c>
      <c r="C1367" t="inlineStr">
        <is>
          <t>1401/09/24</t>
        </is>
      </c>
    </row>
    <row r="1368">
      <c r="A1368" t="n">
        <v>14010925</v>
      </c>
      <c r="B1368" t="n">
        <v>44911</v>
      </c>
      <c r="C1368" t="inlineStr">
        <is>
          <t>1401/09/25</t>
        </is>
      </c>
    </row>
    <row r="1369">
      <c r="A1369" t="n">
        <v>14010926</v>
      </c>
      <c r="B1369" t="n">
        <v>44912</v>
      </c>
      <c r="C1369" t="inlineStr">
        <is>
          <t>1401/09/26</t>
        </is>
      </c>
    </row>
    <row r="1370">
      <c r="A1370" t="n">
        <v>14010927</v>
      </c>
      <c r="B1370" t="n">
        <v>44913</v>
      </c>
      <c r="C1370" t="inlineStr">
        <is>
          <t>1401/09/27</t>
        </is>
      </c>
    </row>
    <row r="1371">
      <c r="A1371" t="n">
        <v>14010928</v>
      </c>
      <c r="B1371" t="n">
        <v>44914</v>
      </c>
      <c r="C1371" t="inlineStr">
        <is>
          <t>1401/09/28</t>
        </is>
      </c>
    </row>
    <row r="1372">
      <c r="A1372" t="n">
        <v>14010929</v>
      </c>
      <c r="B1372" t="n">
        <v>44915</v>
      </c>
      <c r="C1372" t="inlineStr">
        <is>
          <t>1401/09/29</t>
        </is>
      </c>
    </row>
    <row r="1373">
      <c r="A1373" t="n">
        <v>14010930</v>
      </c>
      <c r="B1373" t="n">
        <v>44916</v>
      </c>
      <c r="C1373" t="inlineStr">
        <is>
          <t>1401/09/30</t>
        </is>
      </c>
    </row>
    <row r="1374">
      <c r="A1374" t="n">
        <v>14011001</v>
      </c>
      <c r="B1374" t="n">
        <v>44917</v>
      </c>
      <c r="C1374" t="inlineStr">
        <is>
          <t>1401/10/01</t>
        </is>
      </c>
    </row>
    <row r="1375">
      <c r="A1375" t="n">
        <v>14011002</v>
      </c>
      <c r="B1375" t="n">
        <v>44918</v>
      </c>
      <c r="C1375" t="inlineStr">
        <is>
          <t>1401/10/02</t>
        </is>
      </c>
    </row>
    <row r="1376">
      <c r="A1376" t="n">
        <v>14011003</v>
      </c>
      <c r="B1376" t="n">
        <v>44919</v>
      </c>
      <c r="C1376" t="inlineStr">
        <is>
          <t>1401/10/03</t>
        </is>
      </c>
    </row>
    <row r="1377">
      <c r="A1377" t="n">
        <v>14011004</v>
      </c>
      <c r="B1377" t="n">
        <v>44920</v>
      </c>
      <c r="C1377" t="inlineStr">
        <is>
          <t>1401/10/04</t>
        </is>
      </c>
    </row>
    <row r="1378">
      <c r="A1378" t="n">
        <v>14011005</v>
      </c>
      <c r="B1378" t="n">
        <v>44921</v>
      </c>
      <c r="C1378" t="inlineStr">
        <is>
          <t>1401/10/05</t>
        </is>
      </c>
    </row>
    <row r="1379">
      <c r="A1379" t="n">
        <v>14011006</v>
      </c>
      <c r="B1379" t="n">
        <v>44922</v>
      </c>
      <c r="C1379" t="inlineStr">
        <is>
          <t>1401/10/06</t>
        </is>
      </c>
    </row>
    <row r="1380">
      <c r="A1380" t="n">
        <v>14011007</v>
      </c>
      <c r="B1380" t="n">
        <v>44923</v>
      </c>
      <c r="C1380" t="inlineStr">
        <is>
          <t>1401/10/07</t>
        </is>
      </c>
    </row>
    <row r="1381">
      <c r="A1381" t="n">
        <v>14011008</v>
      </c>
      <c r="B1381" t="n">
        <v>44924</v>
      </c>
      <c r="C1381" t="inlineStr">
        <is>
          <t>1401/10/08</t>
        </is>
      </c>
    </row>
    <row r="1382">
      <c r="A1382" t="n">
        <v>14011009</v>
      </c>
      <c r="B1382" t="n">
        <v>44925</v>
      </c>
      <c r="C1382" t="inlineStr">
        <is>
          <t>1401/10/09</t>
        </is>
      </c>
    </row>
    <row r="1383">
      <c r="A1383" t="n">
        <v>14011010</v>
      </c>
      <c r="B1383" t="n">
        <v>44926</v>
      </c>
      <c r="C1383" t="inlineStr">
        <is>
          <t>1401/10/10</t>
        </is>
      </c>
    </row>
    <row r="1384">
      <c r="A1384" t="n">
        <v>14011011</v>
      </c>
      <c r="B1384" t="n">
        <v>44927</v>
      </c>
      <c r="C1384" t="inlineStr">
        <is>
          <t>1401/10/11</t>
        </is>
      </c>
    </row>
    <row r="1385">
      <c r="A1385" t="n">
        <v>14011012</v>
      </c>
      <c r="B1385" t="n">
        <v>44928</v>
      </c>
      <c r="C1385" t="inlineStr">
        <is>
          <t>1401/10/12</t>
        </is>
      </c>
    </row>
    <row r="1386">
      <c r="A1386" t="n">
        <v>14011013</v>
      </c>
      <c r="B1386" t="n">
        <v>44929</v>
      </c>
      <c r="C1386" t="inlineStr">
        <is>
          <t>1401/10/13</t>
        </is>
      </c>
    </row>
    <row r="1387">
      <c r="A1387" t="n">
        <v>14011014</v>
      </c>
      <c r="B1387" t="n">
        <v>44930</v>
      </c>
      <c r="C1387" t="inlineStr">
        <is>
          <t>1401/10/14</t>
        </is>
      </c>
    </row>
    <row r="1388">
      <c r="A1388" t="n">
        <v>14011015</v>
      </c>
      <c r="B1388" t="n">
        <v>44931</v>
      </c>
      <c r="C1388" t="inlineStr">
        <is>
          <t>1401/10/15</t>
        </is>
      </c>
    </row>
    <row r="1389">
      <c r="A1389" t="n">
        <v>14011016</v>
      </c>
      <c r="B1389" t="n">
        <v>44932</v>
      </c>
      <c r="C1389" t="inlineStr">
        <is>
          <t>1401/10/16</t>
        </is>
      </c>
    </row>
    <row r="1390">
      <c r="A1390" t="n">
        <v>14011017</v>
      </c>
      <c r="B1390" t="n">
        <v>44933</v>
      </c>
      <c r="C1390" t="inlineStr">
        <is>
          <t>1401/10/17</t>
        </is>
      </c>
    </row>
    <row r="1391">
      <c r="A1391" t="n">
        <v>14011018</v>
      </c>
      <c r="B1391" t="n">
        <v>44934</v>
      </c>
      <c r="C1391" t="inlineStr">
        <is>
          <t>1401/10/18</t>
        </is>
      </c>
    </row>
    <row r="1392">
      <c r="A1392" t="n">
        <v>14011019</v>
      </c>
      <c r="B1392" t="n">
        <v>44935</v>
      </c>
      <c r="C1392" t="inlineStr">
        <is>
          <t>1401/10/19</t>
        </is>
      </c>
    </row>
    <row r="1393">
      <c r="A1393" t="n">
        <v>14011020</v>
      </c>
      <c r="B1393" t="n">
        <v>44936</v>
      </c>
      <c r="C1393" t="inlineStr">
        <is>
          <t>1401/10/20</t>
        </is>
      </c>
    </row>
    <row r="1394">
      <c r="A1394" t="n">
        <v>14011021</v>
      </c>
      <c r="B1394" t="n">
        <v>44937</v>
      </c>
      <c r="C1394" t="inlineStr">
        <is>
          <t>1401/10/21</t>
        </is>
      </c>
    </row>
    <row r="1395">
      <c r="A1395" t="n">
        <v>14011022</v>
      </c>
      <c r="B1395" t="n">
        <v>44938</v>
      </c>
      <c r="C1395" t="inlineStr">
        <is>
          <t>1401/10/22</t>
        </is>
      </c>
    </row>
    <row r="1396">
      <c r="A1396" t="n">
        <v>14011023</v>
      </c>
      <c r="B1396" t="n">
        <v>44939</v>
      </c>
      <c r="C1396" t="inlineStr">
        <is>
          <t>1401/10/23</t>
        </is>
      </c>
    </row>
    <row r="1397">
      <c r="A1397" t="n">
        <v>14011024</v>
      </c>
      <c r="B1397" t="n">
        <v>44940</v>
      </c>
      <c r="C1397" t="inlineStr">
        <is>
          <t>1401/10/24</t>
        </is>
      </c>
    </row>
    <row r="1398">
      <c r="A1398" t="n">
        <v>14011025</v>
      </c>
      <c r="B1398" t="n">
        <v>44941</v>
      </c>
      <c r="C1398" t="inlineStr">
        <is>
          <t>1401/10/25</t>
        </is>
      </c>
    </row>
    <row r="1399">
      <c r="A1399" t="n">
        <v>14011026</v>
      </c>
      <c r="B1399" t="n">
        <v>44942</v>
      </c>
      <c r="C1399" t="inlineStr">
        <is>
          <t>1401/10/26</t>
        </is>
      </c>
    </row>
    <row r="1400">
      <c r="A1400" t="n">
        <v>14011027</v>
      </c>
      <c r="B1400" t="n">
        <v>44943</v>
      </c>
      <c r="C1400" t="inlineStr">
        <is>
          <t>1401/10/27</t>
        </is>
      </c>
    </row>
    <row r="1401">
      <c r="A1401" t="n">
        <v>14011028</v>
      </c>
      <c r="B1401" t="n">
        <v>44944</v>
      </c>
      <c r="C1401" t="inlineStr">
        <is>
          <t>1401/10/28</t>
        </is>
      </c>
    </row>
    <row r="1402">
      <c r="A1402" t="n">
        <v>14011029</v>
      </c>
      <c r="B1402" t="n">
        <v>44945</v>
      </c>
      <c r="C1402" t="inlineStr">
        <is>
          <t>1401/10/29</t>
        </is>
      </c>
    </row>
    <row r="1403">
      <c r="A1403" t="n">
        <v>14011030</v>
      </c>
      <c r="B1403" t="n">
        <v>44946</v>
      </c>
      <c r="C1403" t="inlineStr">
        <is>
          <t>1401/10/30</t>
        </is>
      </c>
    </row>
    <row r="1404">
      <c r="A1404" t="n">
        <v>14011101</v>
      </c>
      <c r="B1404" t="n">
        <v>44947</v>
      </c>
      <c r="C1404" t="inlineStr">
        <is>
          <t>1401/11/01</t>
        </is>
      </c>
    </row>
    <row r="1405">
      <c r="A1405" t="n">
        <v>14011102</v>
      </c>
      <c r="B1405" t="n">
        <v>44948</v>
      </c>
      <c r="C1405" t="inlineStr">
        <is>
          <t>1401/11/02</t>
        </is>
      </c>
    </row>
    <row r="1406">
      <c r="A1406" t="n">
        <v>14011103</v>
      </c>
      <c r="B1406" t="n">
        <v>44949</v>
      </c>
      <c r="C1406" t="inlineStr">
        <is>
          <t>1401/11/03</t>
        </is>
      </c>
    </row>
    <row r="1407">
      <c r="A1407" t="n">
        <v>14011104</v>
      </c>
      <c r="B1407" t="n">
        <v>44950</v>
      </c>
      <c r="C1407" t="inlineStr">
        <is>
          <t>1401/11/04</t>
        </is>
      </c>
    </row>
    <row r="1408">
      <c r="A1408" t="n">
        <v>14011105</v>
      </c>
      <c r="B1408" t="n">
        <v>44951</v>
      </c>
      <c r="C1408" t="inlineStr">
        <is>
          <t>1401/11/05</t>
        </is>
      </c>
    </row>
    <row r="1409">
      <c r="A1409" t="n">
        <v>14011106</v>
      </c>
      <c r="B1409" t="n">
        <v>44952</v>
      </c>
      <c r="C1409" t="inlineStr">
        <is>
          <t>1401/11/06</t>
        </is>
      </c>
    </row>
    <row r="1410">
      <c r="A1410" t="n">
        <v>14011107</v>
      </c>
      <c r="B1410" t="n">
        <v>44953</v>
      </c>
      <c r="C1410" t="inlineStr">
        <is>
          <t>1401/11/07</t>
        </is>
      </c>
    </row>
    <row r="1411">
      <c r="A1411" t="n">
        <v>14011108</v>
      </c>
      <c r="B1411" t="n">
        <v>44954</v>
      </c>
      <c r="C1411" t="inlineStr">
        <is>
          <t>1401/11/08</t>
        </is>
      </c>
    </row>
    <row r="1412">
      <c r="A1412" t="n">
        <v>14011109</v>
      </c>
      <c r="B1412" t="n">
        <v>44955</v>
      </c>
      <c r="C1412" t="inlineStr">
        <is>
          <t>1401/11/09</t>
        </is>
      </c>
    </row>
    <row r="1413">
      <c r="A1413" t="n">
        <v>14011110</v>
      </c>
      <c r="B1413" t="n">
        <v>44956</v>
      </c>
      <c r="C1413" t="inlineStr">
        <is>
          <t>1401/11/10</t>
        </is>
      </c>
    </row>
    <row r="1414">
      <c r="A1414" t="n">
        <v>14011111</v>
      </c>
      <c r="B1414" t="n">
        <v>44957</v>
      </c>
      <c r="C1414" t="inlineStr">
        <is>
          <t>1401/11/11</t>
        </is>
      </c>
    </row>
    <row r="1415">
      <c r="A1415" t="n">
        <v>14011112</v>
      </c>
      <c r="B1415" t="n">
        <v>44958</v>
      </c>
      <c r="C1415" t="inlineStr">
        <is>
          <t>1401/11/12</t>
        </is>
      </c>
    </row>
    <row r="1416">
      <c r="A1416" t="n">
        <v>14011113</v>
      </c>
      <c r="B1416" t="n">
        <v>44959</v>
      </c>
      <c r="C1416" t="inlineStr">
        <is>
          <t>1401/11/13</t>
        </is>
      </c>
    </row>
    <row r="1417">
      <c r="A1417" t="n">
        <v>14011114</v>
      </c>
      <c r="B1417" t="n">
        <v>44960</v>
      </c>
      <c r="C1417" t="inlineStr">
        <is>
          <t>1401/11/14</t>
        </is>
      </c>
    </row>
    <row r="1418">
      <c r="A1418" t="n">
        <v>14011115</v>
      </c>
      <c r="B1418" t="n">
        <v>44961</v>
      </c>
      <c r="C1418" t="inlineStr">
        <is>
          <t>1401/11/15</t>
        </is>
      </c>
    </row>
    <row r="1419">
      <c r="A1419" t="n">
        <v>14011116</v>
      </c>
      <c r="B1419" t="n">
        <v>44962</v>
      </c>
      <c r="C1419" t="inlineStr">
        <is>
          <t>1401/11/16</t>
        </is>
      </c>
    </row>
    <row r="1420">
      <c r="A1420" t="n">
        <v>14011117</v>
      </c>
      <c r="B1420" t="n">
        <v>44963</v>
      </c>
      <c r="C1420" t="inlineStr">
        <is>
          <t>1401/11/17</t>
        </is>
      </c>
    </row>
    <row r="1421">
      <c r="A1421" t="n">
        <v>14011118</v>
      </c>
      <c r="B1421" t="n">
        <v>44964</v>
      </c>
      <c r="C1421" t="inlineStr">
        <is>
          <t>1401/11/18</t>
        </is>
      </c>
    </row>
    <row r="1422">
      <c r="A1422" t="n">
        <v>14011119</v>
      </c>
      <c r="B1422" t="n">
        <v>44965</v>
      </c>
      <c r="C1422" t="inlineStr">
        <is>
          <t>1401/11/19</t>
        </is>
      </c>
    </row>
    <row r="1423">
      <c r="A1423" t="n">
        <v>14011120</v>
      </c>
      <c r="B1423" t="n">
        <v>44966</v>
      </c>
      <c r="C1423" t="inlineStr">
        <is>
          <t>1401/11/20</t>
        </is>
      </c>
    </row>
    <row r="1424">
      <c r="A1424" t="n">
        <v>14011121</v>
      </c>
      <c r="B1424" t="n">
        <v>44967</v>
      </c>
      <c r="C1424" t="inlineStr">
        <is>
          <t>1401/11/21</t>
        </is>
      </c>
    </row>
    <row r="1425">
      <c r="A1425" t="n">
        <v>14011122</v>
      </c>
      <c r="B1425" t="n">
        <v>44968</v>
      </c>
      <c r="C1425" t="inlineStr">
        <is>
          <t>1401/11/22</t>
        </is>
      </c>
    </row>
    <row r="1426">
      <c r="A1426" t="n">
        <v>14011123</v>
      </c>
      <c r="B1426" t="n">
        <v>44969</v>
      </c>
      <c r="C1426" t="inlineStr">
        <is>
          <t>1401/11/23</t>
        </is>
      </c>
    </row>
    <row r="1427">
      <c r="A1427" t="n">
        <v>14011124</v>
      </c>
      <c r="B1427" t="n">
        <v>44970</v>
      </c>
      <c r="C1427" t="inlineStr">
        <is>
          <t>1401/11/24</t>
        </is>
      </c>
    </row>
    <row r="1428">
      <c r="A1428" t="n">
        <v>14011125</v>
      </c>
      <c r="B1428" t="n">
        <v>44971</v>
      </c>
      <c r="C1428" t="inlineStr">
        <is>
          <t>1401/11/25</t>
        </is>
      </c>
    </row>
    <row r="1429">
      <c r="A1429" t="n">
        <v>14011126</v>
      </c>
      <c r="B1429" t="n">
        <v>44972</v>
      </c>
      <c r="C1429" t="inlineStr">
        <is>
          <t>1401/11/26</t>
        </is>
      </c>
    </row>
    <row r="1430">
      <c r="A1430" t="n">
        <v>14011127</v>
      </c>
      <c r="B1430" t="n">
        <v>44973</v>
      </c>
      <c r="C1430" t="inlineStr">
        <is>
          <t>1401/11/27</t>
        </is>
      </c>
    </row>
    <row r="1431">
      <c r="A1431" t="n">
        <v>14011128</v>
      </c>
      <c r="B1431" t="n">
        <v>44974</v>
      </c>
      <c r="C1431" t="inlineStr">
        <is>
          <t>1401/11/28</t>
        </is>
      </c>
    </row>
    <row r="1432">
      <c r="A1432" t="n">
        <v>14011129</v>
      </c>
      <c r="B1432" t="n">
        <v>44975</v>
      </c>
      <c r="C1432" t="inlineStr">
        <is>
          <t>1401/11/29</t>
        </is>
      </c>
    </row>
    <row r="1433">
      <c r="A1433" t="n">
        <v>14011130</v>
      </c>
      <c r="B1433" t="n">
        <v>44976</v>
      </c>
      <c r="C1433" t="inlineStr">
        <is>
          <t>1401/11/30</t>
        </is>
      </c>
    </row>
    <row r="1434">
      <c r="A1434" t="n">
        <v>14011201</v>
      </c>
      <c r="B1434" t="n">
        <v>44977</v>
      </c>
      <c r="C1434" t="inlineStr">
        <is>
          <t>1401/12/01</t>
        </is>
      </c>
    </row>
    <row r="1435">
      <c r="A1435" t="n">
        <v>14011202</v>
      </c>
      <c r="B1435" t="n">
        <v>44978</v>
      </c>
      <c r="C1435" t="inlineStr">
        <is>
          <t>1401/12/02</t>
        </is>
      </c>
    </row>
    <row r="1436">
      <c r="A1436" t="n">
        <v>14011203</v>
      </c>
      <c r="B1436" t="n">
        <v>44979</v>
      </c>
      <c r="C1436" t="inlineStr">
        <is>
          <t>1401/12/03</t>
        </is>
      </c>
    </row>
    <row r="1437">
      <c r="A1437" t="n">
        <v>14011204</v>
      </c>
      <c r="B1437" t="n">
        <v>44980</v>
      </c>
      <c r="C1437" t="inlineStr">
        <is>
          <t>1401/12/04</t>
        </is>
      </c>
    </row>
    <row r="1438">
      <c r="A1438" t="n">
        <v>14011205</v>
      </c>
      <c r="B1438" t="n">
        <v>44981</v>
      </c>
      <c r="C1438" t="inlineStr">
        <is>
          <t>1401/12/05</t>
        </is>
      </c>
    </row>
    <row r="1439">
      <c r="A1439" t="n">
        <v>14011206</v>
      </c>
      <c r="B1439" t="n">
        <v>44982</v>
      </c>
      <c r="C1439" t="inlineStr">
        <is>
          <t>1401/12/06</t>
        </is>
      </c>
    </row>
    <row r="1440">
      <c r="A1440" t="n">
        <v>14011207</v>
      </c>
      <c r="B1440" t="n">
        <v>44983</v>
      </c>
      <c r="C1440" t="inlineStr">
        <is>
          <t>1401/12/07</t>
        </is>
      </c>
    </row>
    <row r="1441">
      <c r="A1441" t="n">
        <v>14011208</v>
      </c>
      <c r="B1441" t="n">
        <v>44984</v>
      </c>
      <c r="C1441" t="inlineStr">
        <is>
          <t>1401/12/08</t>
        </is>
      </c>
    </row>
    <row r="1442">
      <c r="A1442" t="n">
        <v>14011209</v>
      </c>
      <c r="B1442" t="n">
        <v>44985</v>
      </c>
      <c r="C1442" t="inlineStr">
        <is>
          <t>1401/12/09</t>
        </is>
      </c>
    </row>
    <row r="1443">
      <c r="A1443" t="n">
        <v>14011210</v>
      </c>
      <c r="B1443" t="n">
        <v>44986</v>
      </c>
      <c r="C1443" t="inlineStr">
        <is>
          <t>1401/12/10</t>
        </is>
      </c>
    </row>
    <row r="1444">
      <c r="A1444" t="n">
        <v>14011211</v>
      </c>
      <c r="B1444" t="n">
        <v>44987</v>
      </c>
      <c r="C1444" t="inlineStr">
        <is>
          <t>1401/12/11</t>
        </is>
      </c>
    </row>
    <row r="1445">
      <c r="A1445" t="n">
        <v>14011212</v>
      </c>
      <c r="B1445" t="n">
        <v>44988</v>
      </c>
      <c r="C1445" t="inlineStr">
        <is>
          <t>1401/12/12</t>
        </is>
      </c>
    </row>
    <row r="1446">
      <c r="A1446" t="n">
        <v>14011213</v>
      </c>
      <c r="B1446" t="n">
        <v>44989</v>
      </c>
      <c r="C1446" t="inlineStr">
        <is>
          <t>1401/12/13</t>
        </is>
      </c>
    </row>
    <row r="1447">
      <c r="A1447" t="n">
        <v>14011214</v>
      </c>
      <c r="B1447" t="n">
        <v>44990</v>
      </c>
      <c r="C1447" t="inlineStr">
        <is>
          <t>1401/12/14</t>
        </is>
      </c>
    </row>
    <row r="1448">
      <c r="A1448" t="n">
        <v>14011215</v>
      </c>
      <c r="B1448" t="n">
        <v>44991</v>
      </c>
      <c r="C1448" t="inlineStr">
        <is>
          <t>1401/12/15</t>
        </is>
      </c>
    </row>
    <row r="1449">
      <c r="A1449" t="n">
        <v>14011216</v>
      </c>
      <c r="B1449" t="n">
        <v>44992</v>
      </c>
      <c r="C1449" t="inlineStr">
        <is>
          <t>1401/12/16</t>
        </is>
      </c>
    </row>
    <row r="1450">
      <c r="A1450" t="n">
        <v>14011217</v>
      </c>
      <c r="B1450" t="n">
        <v>44993</v>
      </c>
      <c r="C1450" t="inlineStr">
        <is>
          <t>1401/12/17</t>
        </is>
      </c>
    </row>
    <row r="1451">
      <c r="A1451" t="n">
        <v>14011218</v>
      </c>
      <c r="B1451" t="n">
        <v>44994</v>
      </c>
      <c r="C1451" t="inlineStr">
        <is>
          <t>1401/12/18</t>
        </is>
      </c>
    </row>
    <row r="1452">
      <c r="A1452" t="n">
        <v>14011219</v>
      </c>
      <c r="B1452" t="n">
        <v>44995</v>
      </c>
      <c r="C1452" t="inlineStr">
        <is>
          <t>1401/12/19</t>
        </is>
      </c>
    </row>
    <row r="1453">
      <c r="A1453" t="n">
        <v>14011220</v>
      </c>
      <c r="B1453" t="n">
        <v>44996</v>
      </c>
      <c r="C1453" t="inlineStr">
        <is>
          <t>1401/12/20</t>
        </is>
      </c>
    </row>
    <row r="1454">
      <c r="A1454" t="n">
        <v>14011221</v>
      </c>
      <c r="B1454" t="n">
        <v>44997</v>
      </c>
      <c r="C1454" t="inlineStr">
        <is>
          <t>1401/12/21</t>
        </is>
      </c>
    </row>
    <row r="1455">
      <c r="A1455" t="n">
        <v>14011222</v>
      </c>
      <c r="B1455" t="n">
        <v>44998</v>
      </c>
      <c r="C1455" t="inlineStr">
        <is>
          <t>1401/12/22</t>
        </is>
      </c>
    </row>
    <row r="1456">
      <c r="A1456" t="n">
        <v>14011223</v>
      </c>
      <c r="B1456" t="n">
        <v>44999</v>
      </c>
      <c r="C1456" t="inlineStr">
        <is>
          <t>1401/12/23</t>
        </is>
      </c>
    </row>
    <row r="1457">
      <c r="A1457" t="n">
        <v>14011224</v>
      </c>
      <c r="B1457" t="n">
        <v>45000</v>
      </c>
      <c r="C1457" t="inlineStr">
        <is>
          <t>1401/12/24</t>
        </is>
      </c>
    </row>
    <row r="1458">
      <c r="A1458" t="n">
        <v>14011225</v>
      </c>
      <c r="B1458" t="n">
        <v>45001</v>
      </c>
      <c r="C1458" t="inlineStr">
        <is>
          <t>1401/12/25</t>
        </is>
      </c>
    </row>
    <row r="1459">
      <c r="A1459" t="n">
        <v>14011226</v>
      </c>
      <c r="B1459" t="n">
        <v>45002</v>
      </c>
      <c r="C1459" t="inlineStr">
        <is>
          <t>1401/12/26</t>
        </is>
      </c>
    </row>
    <row r="1460">
      <c r="A1460" t="n">
        <v>14011227</v>
      </c>
      <c r="B1460" t="n">
        <v>45003</v>
      </c>
      <c r="C1460" t="inlineStr">
        <is>
          <t>1401/12/27</t>
        </is>
      </c>
    </row>
    <row r="1461">
      <c r="A1461" t="n">
        <v>14011228</v>
      </c>
      <c r="B1461" t="n">
        <v>45004</v>
      </c>
      <c r="C1461" t="inlineStr">
        <is>
          <t>1401/12/28</t>
        </is>
      </c>
    </row>
    <row r="1462">
      <c r="A1462" t="n">
        <v>14011229</v>
      </c>
      <c r="B1462" t="n">
        <v>45005</v>
      </c>
      <c r="C1462" t="inlineStr">
        <is>
          <t>1401/12/29</t>
        </is>
      </c>
    </row>
    <row r="1463">
      <c r="A1463" t="n">
        <v>14020101</v>
      </c>
      <c r="B1463" t="n">
        <v>45006</v>
      </c>
      <c r="C1463" t="inlineStr">
        <is>
          <t>1402/01/01</t>
        </is>
      </c>
    </row>
    <row r="1464">
      <c r="A1464" t="n">
        <v>14020102</v>
      </c>
      <c r="B1464" t="n">
        <v>45007</v>
      </c>
      <c r="C1464" t="inlineStr">
        <is>
          <t>1402/01/02</t>
        </is>
      </c>
    </row>
    <row r="1465">
      <c r="A1465" t="n">
        <v>14020103</v>
      </c>
      <c r="B1465" t="n">
        <v>45008</v>
      </c>
      <c r="C1465" t="inlineStr">
        <is>
          <t>1402/01/03</t>
        </is>
      </c>
    </row>
    <row r="1466">
      <c r="A1466" t="n">
        <v>14020104</v>
      </c>
      <c r="B1466" t="n">
        <v>45009</v>
      </c>
      <c r="C1466" t="inlineStr">
        <is>
          <t>1402/01/04</t>
        </is>
      </c>
    </row>
    <row r="1467">
      <c r="A1467" t="n">
        <v>14020105</v>
      </c>
      <c r="B1467" t="n">
        <v>45010</v>
      </c>
      <c r="C1467" t="inlineStr">
        <is>
          <t>1402/01/05</t>
        </is>
      </c>
    </row>
    <row r="1468">
      <c r="A1468" t="n">
        <v>14020106</v>
      </c>
      <c r="B1468" t="n">
        <v>45011</v>
      </c>
      <c r="C1468" t="inlineStr">
        <is>
          <t>1402/01/06</t>
        </is>
      </c>
    </row>
    <row r="1469">
      <c r="A1469" t="n">
        <v>14020107</v>
      </c>
      <c r="B1469" t="n">
        <v>45012</v>
      </c>
      <c r="C1469" t="inlineStr">
        <is>
          <t>1402/01/07</t>
        </is>
      </c>
    </row>
    <row r="1470">
      <c r="A1470" t="n">
        <v>14020108</v>
      </c>
      <c r="B1470" t="n">
        <v>45013</v>
      </c>
      <c r="C1470" t="inlineStr">
        <is>
          <t>1402/01/08</t>
        </is>
      </c>
    </row>
    <row r="1471">
      <c r="A1471" t="n">
        <v>14020109</v>
      </c>
      <c r="B1471" t="n">
        <v>45014</v>
      </c>
      <c r="C1471" t="inlineStr">
        <is>
          <t>1402/01/09</t>
        </is>
      </c>
    </row>
    <row r="1472">
      <c r="A1472" t="n">
        <v>14020110</v>
      </c>
      <c r="B1472" t="n">
        <v>45015</v>
      </c>
      <c r="C1472" t="inlineStr">
        <is>
          <t>1402/01/10</t>
        </is>
      </c>
    </row>
    <row r="1473">
      <c r="A1473" t="n">
        <v>14020111</v>
      </c>
      <c r="B1473" t="n">
        <v>45016</v>
      </c>
      <c r="C1473" t="inlineStr">
        <is>
          <t>1402/01/11</t>
        </is>
      </c>
    </row>
    <row r="1474">
      <c r="A1474" t="n">
        <v>14020112</v>
      </c>
      <c r="B1474" t="n">
        <v>45017</v>
      </c>
      <c r="C1474" t="inlineStr">
        <is>
          <t>1402/01/12</t>
        </is>
      </c>
    </row>
    <row r="1475">
      <c r="A1475" t="n">
        <v>14020113</v>
      </c>
      <c r="B1475" t="n">
        <v>45018</v>
      </c>
      <c r="C1475" t="inlineStr">
        <is>
          <t>1402/01/13</t>
        </is>
      </c>
    </row>
    <row r="1476">
      <c r="A1476" t="n">
        <v>14020114</v>
      </c>
      <c r="B1476" t="n">
        <v>45019</v>
      </c>
      <c r="C1476" t="inlineStr">
        <is>
          <t>1402/01/14</t>
        </is>
      </c>
    </row>
    <row r="1477">
      <c r="A1477" t="n">
        <v>14020115</v>
      </c>
      <c r="B1477" t="n">
        <v>45020</v>
      </c>
      <c r="C1477" t="inlineStr">
        <is>
          <t>1402/01/15</t>
        </is>
      </c>
    </row>
    <row r="1478">
      <c r="A1478" t="n">
        <v>14020116</v>
      </c>
      <c r="B1478" t="n">
        <v>45021</v>
      </c>
      <c r="C1478" t="inlineStr">
        <is>
          <t>1402/01/16</t>
        </is>
      </c>
    </row>
    <row r="1479">
      <c r="A1479" t="n">
        <v>14020117</v>
      </c>
      <c r="B1479" t="n">
        <v>45022</v>
      </c>
      <c r="C1479" t="inlineStr">
        <is>
          <t>1402/01/17</t>
        </is>
      </c>
    </row>
    <row r="1480">
      <c r="A1480" t="n">
        <v>14020118</v>
      </c>
      <c r="B1480" t="n">
        <v>45023</v>
      </c>
      <c r="C1480" t="inlineStr">
        <is>
          <t>1402/01/18</t>
        </is>
      </c>
    </row>
    <row r="1481">
      <c r="A1481" t="n">
        <v>14020119</v>
      </c>
      <c r="B1481" t="n">
        <v>45024</v>
      </c>
      <c r="C1481" t="inlineStr">
        <is>
          <t>1402/01/19</t>
        </is>
      </c>
    </row>
    <row r="1482">
      <c r="A1482" t="n">
        <v>14020120</v>
      </c>
      <c r="B1482" t="n">
        <v>45025</v>
      </c>
      <c r="C1482" t="inlineStr">
        <is>
          <t>1402/01/20</t>
        </is>
      </c>
    </row>
    <row r="1483">
      <c r="A1483" t="n">
        <v>14020121</v>
      </c>
      <c r="B1483" t="n">
        <v>45026</v>
      </c>
      <c r="C1483" t="inlineStr">
        <is>
          <t>1402/01/21</t>
        </is>
      </c>
    </row>
    <row r="1484">
      <c r="A1484" t="n">
        <v>14020122</v>
      </c>
      <c r="B1484" t="n">
        <v>45027</v>
      </c>
      <c r="C1484" t="inlineStr">
        <is>
          <t>1402/01/22</t>
        </is>
      </c>
    </row>
    <row r="1485">
      <c r="A1485" t="n">
        <v>14020123</v>
      </c>
      <c r="B1485" t="n">
        <v>45028</v>
      </c>
      <c r="C1485" t="inlineStr">
        <is>
          <t>1402/01/23</t>
        </is>
      </c>
    </row>
    <row r="1486">
      <c r="A1486" t="n">
        <v>14020124</v>
      </c>
      <c r="B1486" t="n">
        <v>45029</v>
      </c>
      <c r="C1486" t="inlineStr">
        <is>
          <t>1402/01/24</t>
        </is>
      </c>
    </row>
    <row r="1487">
      <c r="A1487" t="n">
        <v>14020125</v>
      </c>
      <c r="B1487" t="n">
        <v>45030</v>
      </c>
      <c r="C1487" t="inlineStr">
        <is>
          <t>1402/01/25</t>
        </is>
      </c>
    </row>
    <row r="1488">
      <c r="A1488" t="n">
        <v>14020126</v>
      </c>
      <c r="B1488" t="n">
        <v>45031</v>
      </c>
      <c r="C1488" t="inlineStr">
        <is>
          <t>1402/01/26</t>
        </is>
      </c>
    </row>
    <row r="1489">
      <c r="A1489" t="n">
        <v>14020127</v>
      </c>
      <c r="B1489" t="n">
        <v>45032</v>
      </c>
      <c r="C1489" t="inlineStr">
        <is>
          <t>1402/01/27</t>
        </is>
      </c>
    </row>
    <row r="1490">
      <c r="A1490" t="n">
        <v>14020128</v>
      </c>
      <c r="B1490" t="n">
        <v>45033</v>
      </c>
      <c r="C1490" t="inlineStr">
        <is>
          <t>1402/01/28</t>
        </is>
      </c>
    </row>
    <row r="1491">
      <c r="A1491" t="n">
        <v>14020129</v>
      </c>
      <c r="B1491" t="n">
        <v>45034</v>
      </c>
      <c r="C1491" t="inlineStr">
        <is>
          <t>1402/01/29</t>
        </is>
      </c>
    </row>
    <row r="1492">
      <c r="A1492" t="n">
        <v>14020130</v>
      </c>
      <c r="B1492" t="n">
        <v>45035</v>
      </c>
      <c r="C1492" t="inlineStr">
        <is>
          <t>1402/01/30</t>
        </is>
      </c>
    </row>
    <row r="1493">
      <c r="A1493" t="n">
        <v>14020131</v>
      </c>
      <c r="B1493" t="n">
        <v>45036</v>
      </c>
      <c r="C1493" t="inlineStr">
        <is>
          <t>1402/01/31</t>
        </is>
      </c>
    </row>
    <row r="1494">
      <c r="A1494" t="n">
        <v>14020201</v>
      </c>
      <c r="B1494" t="n">
        <v>45037</v>
      </c>
      <c r="C1494" t="inlineStr">
        <is>
          <t>1402/02/01</t>
        </is>
      </c>
    </row>
    <row r="1495">
      <c r="A1495" t="n">
        <v>14020202</v>
      </c>
      <c r="B1495" t="n">
        <v>45038</v>
      </c>
      <c r="C1495" t="inlineStr">
        <is>
          <t>1402/02/02</t>
        </is>
      </c>
    </row>
    <row r="1496">
      <c r="A1496" t="n">
        <v>14020203</v>
      </c>
      <c r="B1496" t="n">
        <v>45039</v>
      </c>
      <c r="C1496" t="inlineStr">
        <is>
          <t>1402/02/03</t>
        </is>
      </c>
    </row>
    <row r="1497">
      <c r="A1497" t="n">
        <v>14020204</v>
      </c>
      <c r="B1497" t="n">
        <v>45040</v>
      </c>
      <c r="C1497" t="inlineStr">
        <is>
          <t>1402/02/04</t>
        </is>
      </c>
    </row>
    <row r="1498">
      <c r="A1498" t="n">
        <v>14020205</v>
      </c>
      <c r="B1498" t="n">
        <v>45041</v>
      </c>
      <c r="C1498" t="inlineStr">
        <is>
          <t>1402/02/05</t>
        </is>
      </c>
    </row>
    <row r="1499">
      <c r="A1499" t="n">
        <v>14020206</v>
      </c>
      <c r="B1499" t="n">
        <v>45042</v>
      </c>
      <c r="C1499" t="inlineStr">
        <is>
          <t>1402/02/06</t>
        </is>
      </c>
    </row>
    <row r="1500">
      <c r="A1500" t="n">
        <v>14020207</v>
      </c>
      <c r="B1500" t="n">
        <v>45043</v>
      </c>
      <c r="C1500" t="inlineStr">
        <is>
          <t>1402/02/07</t>
        </is>
      </c>
    </row>
    <row r="1501">
      <c r="A1501" t="n">
        <v>14020208</v>
      </c>
      <c r="B1501" t="n">
        <v>45044</v>
      </c>
      <c r="C1501" t="inlineStr">
        <is>
          <t>1402/02/08</t>
        </is>
      </c>
    </row>
    <row r="1502">
      <c r="A1502" t="n">
        <v>14020209</v>
      </c>
      <c r="B1502" t="n">
        <v>45045</v>
      </c>
      <c r="C1502" t="inlineStr">
        <is>
          <t>1402/02/09</t>
        </is>
      </c>
    </row>
    <row r="1503">
      <c r="A1503" t="n">
        <v>14020210</v>
      </c>
      <c r="B1503" t="n">
        <v>45046</v>
      </c>
      <c r="C1503" t="inlineStr">
        <is>
          <t>1402/02/10</t>
        </is>
      </c>
    </row>
    <row r="1504">
      <c r="A1504" t="n">
        <v>14020211</v>
      </c>
      <c r="B1504" t="n">
        <v>45047</v>
      </c>
      <c r="C1504" t="inlineStr">
        <is>
          <t>1402/02/11</t>
        </is>
      </c>
    </row>
    <row r="1505">
      <c r="A1505" t="n">
        <v>14020212</v>
      </c>
      <c r="B1505" t="n">
        <v>45048</v>
      </c>
      <c r="C1505" t="inlineStr">
        <is>
          <t>1402/02/12</t>
        </is>
      </c>
    </row>
    <row r="1506">
      <c r="A1506" t="n">
        <v>14020213</v>
      </c>
      <c r="B1506" t="n">
        <v>45049</v>
      </c>
      <c r="C1506" t="inlineStr">
        <is>
          <t>1402/02/13</t>
        </is>
      </c>
    </row>
    <row r="1507">
      <c r="A1507" t="n">
        <v>14020214</v>
      </c>
      <c r="B1507" t="n">
        <v>45050</v>
      </c>
      <c r="C1507" t="inlineStr">
        <is>
          <t>1402/02/14</t>
        </is>
      </c>
    </row>
    <row r="1508">
      <c r="A1508" t="n">
        <v>14020215</v>
      </c>
      <c r="B1508" t="n">
        <v>45051</v>
      </c>
      <c r="C1508" t="inlineStr">
        <is>
          <t>1402/02/15</t>
        </is>
      </c>
    </row>
    <row r="1509">
      <c r="A1509" t="n">
        <v>14020216</v>
      </c>
      <c r="B1509" t="n">
        <v>45052</v>
      </c>
      <c r="C1509" t="inlineStr">
        <is>
          <t>1402/02/16</t>
        </is>
      </c>
    </row>
    <row r="1510">
      <c r="A1510" t="n">
        <v>14020217</v>
      </c>
      <c r="B1510" t="n">
        <v>45053</v>
      </c>
      <c r="C1510" t="inlineStr">
        <is>
          <t>1402/02/17</t>
        </is>
      </c>
    </row>
    <row r="1511">
      <c r="A1511" t="n">
        <v>14020218</v>
      </c>
      <c r="B1511" t="n">
        <v>45054</v>
      </c>
      <c r="C1511" t="inlineStr">
        <is>
          <t>1402/02/18</t>
        </is>
      </c>
    </row>
    <row r="1512">
      <c r="A1512" t="n">
        <v>14020219</v>
      </c>
      <c r="B1512" t="n">
        <v>45055</v>
      </c>
      <c r="C1512" t="inlineStr">
        <is>
          <t>1402/02/19</t>
        </is>
      </c>
    </row>
    <row r="1513">
      <c r="A1513" t="n">
        <v>14020220</v>
      </c>
      <c r="B1513" t="n">
        <v>45056</v>
      </c>
      <c r="C1513" t="inlineStr">
        <is>
          <t>1402/02/20</t>
        </is>
      </c>
    </row>
    <row r="1514">
      <c r="A1514" t="n">
        <v>14020221</v>
      </c>
      <c r="B1514" t="n">
        <v>45057</v>
      </c>
      <c r="C1514" t="inlineStr">
        <is>
          <t>1402/02/21</t>
        </is>
      </c>
    </row>
    <row r="1515">
      <c r="A1515" t="n">
        <v>14020222</v>
      </c>
      <c r="B1515" t="n">
        <v>45058</v>
      </c>
      <c r="C1515" t="inlineStr">
        <is>
          <t>1402/02/22</t>
        </is>
      </c>
    </row>
    <row r="1516">
      <c r="A1516" t="n">
        <v>14020223</v>
      </c>
      <c r="B1516" t="n">
        <v>45059</v>
      </c>
      <c r="C1516" t="inlineStr">
        <is>
          <t>1402/02/23</t>
        </is>
      </c>
    </row>
    <row r="1517">
      <c r="A1517" t="n">
        <v>14020224</v>
      </c>
      <c r="B1517" t="n">
        <v>45060</v>
      </c>
      <c r="C1517" t="inlineStr">
        <is>
          <t>1402/02/24</t>
        </is>
      </c>
    </row>
    <row r="1518">
      <c r="A1518" t="n">
        <v>14020225</v>
      </c>
      <c r="B1518" t="n">
        <v>45061</v>
      </c>
      <c r="C1518" t="inlineStr">
        <is>
          <t>1402/02/25</t>
        </is>
      </c>
    </row>
    <row r="1519">
      <c r="A1519" t="n">
        <v>14020226</v>
      </c>
      <c r="B1519" t="n">
        <v>45062</v>
      </c>
      <c r="C1519" t="inlineStr">
        <is>
          <t>1402/02/26</t>
        </is>
      </c>
    </row>
    <row r="1520">
      <c r="A1520" t="n">
        <v>14020227</v>
      </c>
      <c r="B1520" t="n">
        <v>45063</v>
      </c>
      <c r="C1520" t="inlineStr">
        <is>
          <t>1402/02/27</t>
        </is>
      </c>
    </row>
    <row r="1521">
      <c r="A1521" t="n">
        <v>14020228</v>
      </c>
      <c r="B1521" t="n">
        <v>45064</v>
      </c>
      <c r="C1521" t="inlineStr">
        <is>
          <t>1402/02/28</t>
        </is>
      </c>
    </row>
    <row r="1522">
      <c r="A1522" t="n">
        <v>14020229</v>
      </c>
      <c r="B1522" t="n">
        <v>45065</v>
      </c>
      <c r="C1522" t="inlineStr">
        <is>
          <t>1402/02/29</t>
        </is>
      </c>
    </row>
    <row r="1523">
      <c r="A1523" t="n">
        <v>14020230</v>
      </c>
      <c r="B1523" t="n">
        <v>45066</v>
      </c>
      <c r="C1523" t="inlineStr">
        <is>
          <t>1402/02/30</t>
        </is>
      </c>
    </row>
    <row r="1524">
      <c r="A1524" t="n">
        <v>14020231</v>
      </c>
      <c r="B1524" t="n">
        <v>45067</v>
      </c>
      <c r="C1524" t="inlineStr">
        <is>
          <t>1402/02/31</t>
        </is>
      </c>
    </row>
    <row r="1525">
      <c r="A1525" t="n">
        <v>14020301</v>
      </c>
      <c r="B1525" t="n">
        <v>45068</v>
      </c>
      <c r="C1525" t="inlineStr">
        <is>
          <t>1402/03/01</t>
        </is>
      </c>
    </row>
    <row r="1526">
      <c r="A1526" t="n">
        <v>14020302</v>
      </c>
      <c r="B1526" t="n">
        <v>45069</v>
      </c>
      <c r="C1526" t="inlineStr">
        <is>
          <t>1402/03/02</t>
        </is>
      </c>
    </row>
    <row r="1527">
      <c r="A1527" t="n">
        <v>14020303</v>
      </c>
      <c r="B1527" t="n">
        <v>45070</v>
      </c>
      <c r="C1527" t="inlineStr">
        <is>
          <t>1402/03/03</t>
        </is>
      </c>
    </row>
    <row r="1528">
      <c r="A1528" t="n">
        <v>14020304</v>
      </c>
      <c r="B1528" t="n">
        <v>45071</v>
      </c>
      <c r="C1528" t="inlineStr">
        <is>
          <t>1402/03/04</t>
        </is>
      </c>
    </row>
    <row r="1529">
      <c r="A1529" t="n">
        <v>14020305</v>
      </c>
      <c r="B1529" t="n">
        <v>45072</v>
      </c>
      <c r="C1529" t="inlineStr">
        <is>
          <t>1402/03/05</t>
        </is>
      </c>
    </row>
    <row r="1530">
      <c r="A1530" t="n">
        <v>14020306</v>
      </c>
      <c r="B1530" t="n">
        <v>45073</v>
      </c>
      <c r="C1530" t="inlineStr">
        <is>
          <t>1402/03/06</t>
        </is>
      </c>
    </row>
    <row r="1531">
      <c r="A1531" t="n">
        <v>14020307</v>
      </c>
      <c r="B1531" t="n">
        <v>45074</v>
      </c>
      <c r="C1531" t="inlineStr">
        <is>
          <t>1402/03/07</t>
        </is>
      </c>
    </row>
    <row r="1532">
      <c r="A1532" t="n">
        <v>14020308</v>
      </c>
      <c r="B1532" t="n">
        <v>45075</v>
      </c>
      <c r="C1532" t="inlineStr">
        <is>
          <t>1402/03/08</t>
        </is>
      </c>
    </row>
    <row r="1533">
      <c r="A1533" t="n">
        <v>14020309</v>
      </c>
      <c r="B1533" t="n">
        <v>45076</v>
      </c>
      <c r="C1533" t="inlineStr">
        <is>
          <t>1402/03/09</t>
        </is>
      </c>
    </row>
    <row r="1534">
      <c r="A1534" t="n">
        <v>14020310</v>
      </c>
      <c r="B1534" t="n">
        <v>45077</v>
      </c>
      <c r="C1534" t="inlineStr">
        <is>
          <t>1402/03/10</t>
        </is>
      </c>
    </row>
    <row r="1535">
      <c r="A1535" t="n">
        <v>14020311</v>
      </c>
      <c r="B1535" t="n">
        <v>45078</v>
      </c>
      <c r="C1535" t="inlineStr">
        <is>
          <t>1402/03/11</t>
        </is>
      </c>
    </row>
    <row r="1536">
      <c r="A1536" t="n">
        <v>14020312</v>
      </c>
      <c r="B1536" t="n">
        <v>45079</v>
      </c>
      <c r="C1536" t="inlineStr">
        <is>
          <t>1402/03/12</t>
        </is>
      </c>
    </row>
    <row r="1537">
      <c r="A1537" t="n">
        <v>14020313</v>
      </c>
      <c r="B1537" t="n">
        <v>45080</v>
      </c>
      <c r="C1537" t="inlineStr">
        <is>
          <t>1402/03/13</t>
        </is>
      </c>
    </row>
    <row r="1538">
      <c r="A1538" t="n">
        <v>14020314</v>
      </c>
      <c r="B1538" t="n">
        <v>45081</v>
      </c>
      <c r="C1538" t="inlineStr">
        <is>
          <t>1402/03/14</t>
        </is>
      </c>
    </row>
    <row r="1539">
      <c r="A1539" t="n">
        <v>14020315</v>
      </c>
      <c r="B1539" t="n">
        <v>45082</v>
      </c>
      <c r="C1539" t="inlineStr">
        <is>
          <t>1402/03/15</t>
        </is>
      </c>
    </row>
    <row r="1540">
      <c r="A1540" t="n">
        <v>14020316</v>
      </c>
      <c r="B1540" t="n">
        <v>45083</v>
      </c>
      <c r="C1540" t="inlineStr">
        <is>
          <t>1402/03/16</t>
        </is>
      </c>
    </row>
    <row r="1541">
      <c r="A1541" t="n">
        <v>14020317</v>
      </c>
      <c r="B1541" t="n">
        <v>45084</v>
      </c>
      <c r="C1541" t="inlineStr">
        <is>
          <t>1402/03/17</t>
        </is>
      </c>
    </row>
    <row r="1542">
      <c r="A1542" t="n">
        <v>14020318</v>
      </c>
      <c r="B1542" t="n">
        <v>45085</v>
      </c>
      <c r="C1542" t="inlineStr">
        <is>
          <t>1402/03/18</t>
        </is>
      </c>
    </row>
    <row r="1543">
      <c r="A1543" t="n">
        <v>14020319</v>
      </c>
      <c r="B1543" t="n">
        <v>45086</v>
      </c>
      <c r="C1543" t="inlineStr">
        <is>
          <t>1402/03/19</t>
        </is>
      </c>
    </row>
    <row r="1544">
      <c r="A1544" t="n">
        <v>14020320</v>
      </c>
      <c r="B1544" t="n">
        <v>45087</v>
      </c>
      <c r="C1544" t="inlineStr">
        <is>
          <t>1402/03/20</t>
        </is>
      </c>
    </row>
    <row r="1545">
      <c r="A1545" t="n">
        <v>14020321</v>
      </c>
      <c r="B1545" t="n">
        <v>45088</v>
      </c>
      <c r="C1545" t="inlineStr">
        <is>
          <t>1402/03/21</t>
        </is>
      </c>
    </row>
    <row r="1546">
      <c r="A1546" t="n">
        <v>14020322</v>
      </c>
      <c r="B1546" t="n">
        <v>45089</v>
      </c>
      <c r="C1546" t="inlineStr">
        <is>
          <t>1402/03/22</t>
        </is>
      </c>
    </row>
    <row r="1547">
      <c r="A1547" t="n">
        <v>14020323</v>
      </c>
      <c r="B1547" t="n">
        <v>45090</v>
      </c>
      <c r="C1547" t="inlineStr">
        <is>
          <t>1402/03/23</t>
        </is>
      </c>
    </row>
    <row r="1548">
      <c r="A1548" t="n">
        <v>14020324</v>
      </c>
      <c r="B1548" t="n">
        <v>45091</v>
      </c>
      <c r="C1548" t="inlineStr">
        <is>
          <t>1402/03/24</t>
        </is>
      </c>
    </row>
    <row r="1549">
      <c r="A1549" t="n">
        <v>14020325</v>
      </c>
      <c r="B1549" t="n">
        <v>45092</v>
      </c>
      <c r="C1549" t="inlineStr">
        <is>
          <t>1402/03/25</t>
        </is>
      </c>
    </row>
    <row r="1550">
      <c r="A1550" t="n">
        <v>14020326</v>
      </c>
      <c r="B1550" t="n">
        <v>45093</v>
      </c>
      <c r="C1550" t="inlineStr">
        <is>
          <t>1402/03/26</t>
        </is>
      </c>
    </row>
    <row r="1551">
      <c r="A1551" t="n">
        <v>14020327</v>
      </c>
      <c r="B1551" t="n">
        <v>45094</v>
      </c>
      <c r="C1551" t="inlineStr">
        <is>
          <t>1402/03/27</t>
        </is>
      </c>
    </row>
    <row r="1552">
      <c r="A1552" t="n">
        <v>14020328</v>
      </c>
      <c r="B1552" t="n">
        <v>45095</v>
      </c>
      <c r="C1552" t="inlineStr">
        <is>
          <t>1402/03/28</t>
        </is>
      </c>
    </row>
    <row r="1553">
      <c r="A1553" t="n">
        <v>14020329</v>
      </c>
      <c r="B1553" t="n">
        <v>45096</v>
      </c>
      <c r="C1553" t="inlineStr">
        <is>
          <t>1402/03/29</t>
        </is>
      </c>
    </row>
    <row r="1554">
      <c r="A1554" t="n">
        <v>14020330</v>
      </c>
      <c r="B1554" t="n">
        <v>45097</v>
      </c>
      <c r="C1554" t="inlineStr">
        <is>
          <t>1402/03/30</t>
        </is>
      </c>
    </row>
    <row r="1555">
      <c r="A1555" t="n">
        <v>14020331</v>
      </c>
      <c r="B1555" t="n">
        <v>45098</v>
      </c>
      <c r="C1555" t="inlineStr">
        <is>
          <t>1402/03/31</t>
        </is>
      </c>
    </row>
    <row r="1556">
      <c r="A1556" t="n">
        <v>14020401</v>
      </c>
      <c r="B1556" t="n">
        <v>45099</v>
      </c>
      <c r="C1556" t="inlineStr">
        <is>
          <t>1402/04/01</t>
        </is>
      </c>
    </row>
    <row r="1557">
      <c r="A1557" t="n">
        <v>14020402</v>
      </c>
      <c r="B1557" t="n">
        <v>45100</v>
      </c>
      <c r="C1557" t="inlineStr">
        <is>
          <t>1402/04/02</t>
        </is>
      </c>
    </row>
    <row r="1558">
      <c r="A1558" t="n">
        <v>14020403</v>
      </c>
      <c r="B1558" t="n">
        <v>45101</v>
      </c>
      <c r="C1558" t="inlineStr">
        <is>
          <t>1402/04/03</t>
        </is>
      </c>
    </row>
    <row r="1559">
      <c r="A1559" t="n">
        <v>14020404</v>
      </c>
      <c r="B1559" t="n">
        <v>45102</v>
      </c>
      <c r="C1559" t="inlineStr">
        <is>
          <t>1402/04/04</t>
        </is>
      </c>
    </row>
    <row r="1560">
      <c r="A1560" t="n">
        <v>14020405</v>
      </c>
      <c r="B1560" t="n">
        <v>45103</v>
      </c>
      <c r="C1560" t="inlineStr">
        <is>
          <t>1402/04/05</t>
        </is>
      </c>
    </row>
    <row r="1561">
      <c r="A1561" t="n">
        <v>14020406</v>
      </c>
      <c r="B1561" t="n">
        <v>45104</v>
      </c>
      <c r="C1561" t="inlineStr">
        <is>
          <t>1402/04/06</t>
        </is>
      </c>
    </row>
    <row r="1562">
      <c r="A1562" t="n">
        <v>14020407</v>
      </c>
      <c r="B1562" t="n">
        <v>45105</v>
      </c>
      <c r="C1562" t="inlineStr">
        <is>
          <t>1402/04/07</t>
        </is>
      </c>
    </row>
    <row r="1563">
      <c r="A1563" t="n">
        <v>14020408</v>
      </c>
      <c r="B1563" t="n">
        <v>45106</v>
      </c>
      <c r="C1563" t="inlineStr">
        <is>
          <t>1402/04/08</t>
        </is>
      </c>
    </row>
    <row r="1564">
      <c r="A1564" t="n">
        <v>14020409</v>
      </c>
      <c r="B1564" t="n">
        <v>45107</v>
      </c>
      <c r="C1564" t="inlineStr">
        <is>
          <t>1402/04/09</t>
        </is>
      </c>
    </row>
    <row r="1565">
      <c r="A1565" t="n">
        <v>14020410</v>
      </c>
      <c r="B1565" t="n">
        <v>45108</v>
      </c>
      <c r="C1565" t="inlineStr">
        <is>
          <t>1402/04/10</t>
        </is>
      </c>
    </row>
    <row r="1566">
      <c r="A1566" t="n">
        <v>14020411</v>
      </c>
      <c r="B1566" t="n">
        <v>45109</v>
      </c>
      <c r="C1566" t="inlineStr">
        <is>
          <t>1402/04/11</t>
        </is>
      </c>
    </row>
    <row r="1567">
      <c r="A1567" t="n">
        <v>14020412</v>
      </c>
      <c r="B1567" t="n">
        <v>45110</v>
      </c>
      <c r="C1567" t="inlineStr">
        <is>
          <t>1402/04/12</t>
        </is>
      </c>
    </row>
    <row r="1568">
      <c r="A1568" t="n">
        <v>14020413</v>
      </c>
      <c r="B1568" t="n">
        <v>45111</v>
      </c>
      <c r="C1568" t="inlineStr">
        <is>
          <t>1402/04/13</t>
        </is>
      </c>
    </row>
    <row r="1569">
      <c r="A1569" t="n">
        <v>14020414</v>
      </c>
      <c r="B1569" t="n">
        <v>45112</v>
      </c>
      <c r="C1569" t="inlineStr">
        <is>
          <t>1402/04/14</t>
        </is>
      </c>
    </row>
    <row r="1570">
      <c r="A1570" t="n">
        <v>14020415</v>
      </c>
      <c r="B1570" t="n">
        <v>45113</v>
      </c>
      <c r="C1570" t="inlineStr">
        <is>
          <t>1402/04/15</t>
        </is>
      </c>
    </row>
    <row r="1571">
      <c r="A1571" t="n">
        <v>14020416</v>
      </c>
      <c r="B1571" t="n">
        <v>45114</v>
      </c>
      <c r="C1571" t="inlineStr">
        <is>
          <t>1402/04/16</t>
        </is>
      </c>
    </row>
    <row r="1572">
      <c r="A1572" t="n">
        <v>14020417</v>
      </c>
      <c r="B1572" t="n">
        <v>45115</v>
      </c>
      <c r="C1572" t="inlineStr">
        <is>
          <t>1402/04/17</t>
        </is>
      </c>
    </row>
    <row r="1573">
      <c r="A1573" t="n">
        <v>14020418</v>
      </c>
      <c r="B1573" t="n">
        <v>45116</v>
      </c>
      <c r="C1573" t="inlineStr">
        <is>
          <t>1402/04/18</t>
        </is>
      </c>
    </row>
    <row r="1574">
      <c r="A1574" t="n">
        <v>14020419</v>
      </c>
      <c r="B1574" t="n">
        <v>45117</v>
      </c>
      <c r="C1574" t="inlineStr">
        <is>
          <t>1402/04/19</t>
        </is>
      </c>
    </row>
    <row r="1575">
      <c r="A1575" t="n">
        <v>14020420</v>
      </c>
      <c r="B1575" t="n">
        <v>45118</v>
      </c>
      <c r="C1575" t="inlineStr">
        <is>
          <t>1402/04/20</t>
        </is>
      </c>
    </row>
    <row r="1576">
      <c r="A1576" t="n">
        <v>14020421</v>
      </c>
      <c r="B1576" t="n">
        <v>45119</v>
      </c>
      <c r="C1576" t="inlineStr">
        <is>
          <t>1402/04/21</t>
        </is>
      </c>
    </row>
    <row r="1577">
      <c r="A1577" t="n">
        <v>14020422</v>
      </c>
      <c r="B1577" t="n">
        <v>45120</v>
      </c>
      <c r="C1577" t="inlineStr">
        <is>
          <t>1402/04/22</t>
        </is>
      </c>
    </row>
    <row r="1578">
      <c r="A1578" t="n">
        <v>14020423</v>
      </c>
      <c r="B1578" t="n">
        <v>45121</v>
      </c>
      <c r="C1578" t="inlineStr">
        <is>
          <t>1402/04/23</t>
        </is>
      </c>
    </row>
    <row r="1579">
      <c r="A1579" t="n">
        <v>14020424</v>
      </c>
      <c r="B1579" t="n">
        <v>45122</v>
      </c>
      <c r="C1579" t="inlineStr">
        <is>
          <t>1402/04/24</t>
        </is>
      </c>
    </row>
    <row r="1580">
      <c r="A1580" t="n">
        <v>14020425</v>
      </c>
      <c r="B1580" t="n">
        <v>45123</v>
      </c>
      <c r="C1580" t="inlineStr">
        <is>
          <t>1402/04/25</t>
        </is>
      </c>
    </row>
    <row r="1581">
      <c r="A1581" t="n">
        <v>14020426</v>
      </c>
      <c r="B1581" t="n">
        <v>45124</v>
      </c>
      <c r="C1581" t="inlineStr">
        <is>
          <t>1402/04/26</t>
        </is>
      </c>
    </row>
    <row r="1582">
      <c r="A1582" t="n">
        <v>14020427</v>
      </c>
      <c r="B1582" t="n">
        <v>45125</v>
      </c>
      <c r="C1582" t="inlineStr">
        <is>
          <t>1402/04/27</t>
        </is>
      </c>
    </row>
    <row r="1583">
      <c r="A1583" t="n">
        <v>14020428</v>
      </c>
      <c r="B1583" t="n">
        <v>45126</v>
      </c>
      <c r="C1583" t="inlineStr">
        <is>
          <t>1402/04/28</t>
        </is>
      </c>
    </row>
    <row r="1584">
      <c r="A1584" t="n">
        <v>14020429</v>
      </c>
      <c r="B1584" t="n">
        <v>45127</v>
      </c>
      <c r="C1584" t="inlineStr">
        <is>
          <t>1402/04/29</t>
        </is>
      </c>
    </row>
    <row r="1585">
      <c r="A1585" t="n">
        <v>14020430</v>
      </c>
      <c r="B1585" t="n">
        <v>45128</v>
      </c>
      <c r="C1585" t="inlineStr">
        <is>
          <t>1402/04/30</t>
        </is>
      </c>
    </row>
    <row r="1586">
      <c r="A1586" t="n">
        <v>14020431</v>
      </c>
      <c r="B1586" t="n">
        <v>45129</v>
      </c>
      <c r="C1586" t="inlineStr">
        <is>
          <t>1402/04/31</t>
        </is>
      </c>
    </row>
    <row r="1587">
      <c r="A1587" t="n">
        <v>14020501</v>
      </c>
      <c r="B1587" t="n">
        <v>45130</v>
      </c>
      <c r="C1587" t="inlineStr">
        <is>
          <t>1402/05/01</t>
        </is>
      </c>
    </row>
    <row r="1588">
      <c r="A1588" t="n">
        <v>14020502</v>
      </c>
      <c r="B1588" t="n">
        <v>45131</v>
      </c>
      <c r="C1588" t="inlineStr">
        <is>
          <t>1402/05/02</t>
        </is>
      </c>
    </row>
    <row r="1589">
      <c r="A1589" t="n">
        <v>14020503</v>
      </c>
      <c r="B1589" t="n">
        <v>45132</v>
      </c>
      <c r="C1589" t="inlineStr">
        <is>
          <t>1402/05/03</t>
        </is>
      </c>
    </row>
    <row r="1590">
      <c r="A1590" t="n">
        <v>14020504</v>
      </c>
      <c r="B1590" t="n">
        <v>45133</v>
      </c>
      <c r="C1590" t="inlineStr">
        <is>
          <t>1402/05/04</t>
        </is>
      </c>
    </row>
    <row r="1591">
      <c r="A1591" t="n">
        <v>14020505</v>
      </c>
      <c r="B1591" t="n">
        <v>45134</v>
      </c>
      <c r="C1591" t="inlineStr">
        <is>
          <t>1402/05/05</t>
        </is>
      </c>
    </row>
    <row r="1592">
      <c r="A1592" t="n">
        <v>14020506</v>
      </c>
      <c r="B1592" t="n">
        <v>45135</v>
      </c>
      <c r="C1592" t="inlineStr">
        <is>
          <t>1402/05/06</t>
        </is>
      </c>
    </row>
    <row r="1593">
      <c r="A1593" t="n">
        <v>14020507</v>
      </c>
      <c r="B1593" t="n">
        <v>45136</v>
      </c>
      <c r="C1593" t="inlineStr">
        <is>
          <t>1402/05/07</t>
        </is>
      </c>
    </row>
    <row r="1594">
      <c r="A1594" t="n">
        <v>14020508</v>
      </c>
      <c r="B1594" t="n">
        <v>45137</v>
      </c>
      <c r="C1594" t="inlineStr">
        <is>
          <t>1402/05/08</t>
        </is>
      </c>
    </row>
    <row r="1595">
      <c r="A1595" t="n">
        <v>14020509</v>
      </c>
      <c r="B1595" t="n">
        <v>45138</v>
      </c>
      <c r="C1595" t="inlineStr">
        <is>
          <t>1402/05/09</t>
        </is>
      </c>
    </row>
    <row r="1596">
      <c r="A1596" t="n">
        <v>14020510</v>
      </c>
      <c r="B1596" t="n">
        <v>45139</v>
      </c>
      <c r="C1596" t="inlineStr">
        <is>
          <t>1402/05/10</t>
        </is>
      </c>
    </row>
    <row r="1597">
      <c r="A1597" t="n">
        <v>14020511</v>
      </c>
      <c r="B1597" t="n">
        <v>45140</v>
      </c>
      <c r="C1597" t="inlineStr">
        <is>
          <t>1402/05/11</t>
        </is>
      </c>
    </row>
    <row r="1598">
      <c r="A1598" t="n">
        <v>14020512</v>
      </c>
      <c r="B1598" t="n">
        <v>45141</v>
      </c>
      <c r="C1598" t="inlineStr">
        <is>
          <t>1402/05/12</t>
        </is>
      </c>
    </row>
    <row r="1599">
      <c r="A1599" t="n">
        <v>14020513</v>
      </c>
      <c r="B1599" t="n">
        <v>45142</v>
      </c>
      <c r="C1599" t="inlineStr">
        <is>
          <t>1402/05/13</t>
        </is>
      </c>
    </row>
    <row r="1600">
      <c r="A1600" t="n">
        <v>14020514</v>
      </c>
      <c r="B1600" t="n">
        <v>45143</v>
      </c>
      <c r="C1600" t="inlineStr">
        <is>
          <t>1402/05/14</t>
        </is>
      </c>
    </row>
    <row r="1601">
      <c r="A1601" t="n">
        <v>14020515</v>
      </c>
      <c r="B1601" t="n">
        <v>45144</v>
      </c>
      <c r="C1601" t="inlineStr">
        <is>
          <t>1402/05/15</t>
        </is>
      </c>
    </row>
    <row r="1602">
      <c r="A1602" t="n">
        <v>14020516</v>
      </c>
      <c r="B1602" t="n">
        <v>45145</v>
      </c>
      <c r="C1602" t="inlineStr">
        <is>
          <t>1402/05/16</t>
        </is>
      </c>
    </row>
    <row r="1603">
      <c r="A1603" t="n">
        <v>14020517</v>
      </c>
      <c r="B1603" t="n">
        <v>45146</v>
      </c>
      <c r="C1603" t="inlineStr">
        <is>
          <t>1402/05/17</t>
        </is>
      </c>
    </row>
    <row r="1604">
      <c r="A1604" t="n">
        <v>14020518</v>
      </c>
      <c r="B1604" t="n">
        <v>45147</v>
      </c>
      <c r="C1604" t="inlineStr">
        <is>
          <t>1402/05/18</t>
        </is>
      </c>
    </row>
    <row r="1605">
      <c r="A1605" t="n">
        <v>14020519</v>
      </c>
      <c r="B1605" t="n">
        <v>45148</v>
      </c>
      <c r="C1605" t="inlineStr">
        <is>
          <t>1402/05/19</t>
        </is>
      </c>
    </row>
    <row r="1606">
      <c r="A1606" t="n">
        <v>14020520</v>
      </c>
      <c r="B1606" t="n">
        <v>45149</v>
      </c>
      <c r="C1606" t="inlineStr">
        <is>
          <t>1402/05/20</t>
        </is>
      </c>
    </row>
    <row r="1607">
      <c r="A1607" t="n">
        <v>14020521</v>
      </c>
      <c r="B1607" t="n">
        <v>45150</v>
      </c>
      <c r="C1607" t="inlineStr">
        <is>
          <t>1402/05/21</t>
        </is>
      </c>
    </row>
    <row r="1608">
      <c r="A1608" t="n">
        <v>14020522</v>
      </c>
      <c r="B1608" t="n">
        <v>45151</v>
      </c>
      <c r="C1608" t="inlineStr">
        <is>
          <t>1402/05/22</t>
        </is>
      </c>
    </row>
    <row r="1609">
      <c r="A1609" t="n">
        <v>14020523</v>
      </c>
      <c r="B1609" t="n">
        <v>45152</v>
      </c>
      <c r="C1609" t="inlineStr">
        <is>
          <t>1402/05/23</t>
        </is>
      </c>
    </row>
    <row r="1610">
      <c r="A1610" t="n">
        <v>14020524</v>
      </c>
      <c r="B1610" t="n">
        <v>45153</v>
      </c>
      <c r="C1610" t="inlineStr">
        <is>
          <t>1402/05/24</t>
        </is>
      </c>
    </row>
    <row r="1611">
      <c r="A1611" t="n">
        <v>14020525</v>
      </c>
      <c r="B1611" t="n">
        <v>45154</v>
      </c>
      <c r="C1611" t="inlineStr">
        <is>
          <t>1402/05/25</t>
        </is>
      </c>
    </row>
    <row r="1612">
      <c r="A1612" t="n">
        <v>14020526</v>
      </c>
      <c r="B1612" t="n">
        <v>45155</v>
      </c>
      <c r="C1612" t="inlineStr">
        <is>
          <t>1402/05/26</t>
        </is>
      </c>
    </row>
    <row r="1613">
      <c r="A1613" t="n">
        <v>14020527</v>
      </c>
      <c r="B1613" t="n">
        <v>45156</v>
      </c>
      <c r="C1613" t="inlineStr">
        <is>
          <t>1402/05/27</t>
        </is>
      </c>
    </row>
    <row r="1614">
      <c r="A1614" t="n">
        <v>14020528</v>
      </c>
      <c r="B1614" t="n">
        <v>45157</v>
      </c>
      <c r="C1614" t="inlineStr">
        <is>
          <t>1402/05/28</t>
        </is>
      </c>
    </row>
    <row r="1615">
      <c r="A1615" t="n">
        <v>14020529</v>
      </c>
      <c r="B1615" t="n">
        <v>45158</v>
      </c>
      <c r="C1615" t="inlineStr">
        <is>
          <t>1402/05/29</t>
        </is>
      </c>
    </row>
    <row r="1616">
      <c r="A1616" t="n">
        <v>14020530</v>
      </c>
      <c r="B1616" t="n">
        <v>45159</v>
      </c>
      <c r="C1616" t="inlineStr">
        <is>
          <t>1402/05/30</t>
        </is>
      </c>
    </row>
    <row r="1617">
      <c r="A1617" t="n">
        <v>14020531</v>
      </c>
      <c r="B1617" t="n">
        <v>45160</v>
      </c>
      <c r="C1617" t="inlineStr">
        <is>
          <t>1402/05/31</t>
        </is>
      </c>
    </row>
    <row r="1618">
      <c r="A1618" t="n">
        <v>14020601</v>
      </c>
      <c r="B1618" t="n">
        <v>45161</v>
      </c>
      <c r="C1618" t="inlineStr">
        <is>
          <t>1402/06/01</t>
        </is>
      </c>
    </row>
    <row r="1619">
      <c r="A1619" t="n">
        <v>14020602</v>
      </c>
      <c r="B1619" t="n">
        <v>45162</v>
      </c>
      <c r="C1619" t="inlineStr">
        <is>
          <t>1402/06/02</t>
        </is>
      </c>
    </row>
    <row r="1620">
      <c r="A1620" t="n">
        <v>14020603</v>
      </c>
      <c r="B1620" t="n">
        <v>45163</v>
      </c>
      <c r="C1620" t="inlineStr">
        <is>
          <t>1402/06/03</t>
        </is>
      </c>
    </row>
    <row r="1621">
      <c r="A1621" t="n">
        <v>14020604</v>
      </c>
      <c r="B1621" t="n">
        <v>45164</v>
      </c>
      <c r="C1621" t="inlineStr">
        <is>
          <t>1402/06/04</t>
        </is>
      </c>
    </row>
    <row r="1622">
      <c r="A1622" t="n">
        <v>14020605</v>
      </c>
      <c r="B1622" t="n">
        <v>45165</v>
      </c>
      <c r="C1622" t="inlineStr">
        <is>
          <t>1402/06/05</t>
        </is>
      </c>
    </row>
    <row r="1623">
      <c r="A1623" t="n">
        <v>14020606</v>
      </c>
      <c r="B1623" t="n">
        <v>45166</v>
      </c>
      <c r="C1623" t="inlineStr">
        <is>
          <t>1402/06/06</t>
        </is>
      </c>
    </row>
    <row r="1624">
      <c r="A1624" t="n">
        <v>14020607</v>
      </c>
      <c r="B1624" t="n">
        <v>45167</v>
      </c>
      <c r="C1624" t="inlineStr">
        <is>
          <t>1402/06/07</t>
        </is>
      </c>
    </row>
    <row r="1625">
      <c r="A1625" t="n">
        <v>14020608</v>
      </c>
      <c r="B1625" t="n">
        <v>45168</v>
      </c>
      <c r="C1625" t="inlineStr">
        <is>
          <t>1402/06/08</t>
        </is>
      </c>
    </row>
    <row r="1626">
      <c r="A1626" t="n">
        <v>14020609</v>
      </c>
      <c r="B1626" t="n">
        <v>45169</v>
      </c>
      <c r="C1626" t="inlineStr">
        <is>
          <t>1402/06/09</t>
        </is>
      </c>
    </row>
    <row r="1627">
      <c r="A1627" t="n">
        <v>14020610</v>
      </c>
      <c r="B1627" t="n">
        <v>45170</v>
      </c>
      <c r="C1627" t="inlineStr">
        <is>
          <t>1402/06/10</t>
        </is>
      </c>
    </row>
    <row r="1628">
      <c r="A1628" t="n">
        <v>14020611</v>
      </c>
      <c r="B1628" t="n">
        <v>45171</v>
      </c>
      <c r="C1628" t="inlineStr">
        <is>
          <t>1402/06/11</t>
        </is>
      </c>
    </row>
    <row r="1629">
      <c r="A1629" t="n">
        <v>14020612</v>
      </c>
      <c r="B1629" t="n">
        <v>45172</v>
      </c>
      <c r="C1629" t="inlineStr">
        <is>
          <t>1402/06/12</t>
        </is>
      </c>
    </row>
    <row r="1630">
      <c r="A1630" t="n">
        <v>14020613</v>
      </c>
      <c r="B1630" t="n">
        <v>45173</v>
      </c>
      <c r="C1630" t="inlineStr">
        <is>
          <t>1402/06/13</t>
        </is>
      </c>
    </row>
    <row r="1631">
      <c r="A1631" t="n">
        <v>14020614</v>
      </c>
      <c r="B1631" t="n">
        <v>45174</v>
      </c>
      <c r="C1631" t="inlineStr">
        <is>
          <t>1402/06/14</t>
        </is>
      </c>
    </row>
    <row r="1632">
      <c r="A1632" t="n">
        <v>14020615</v>
      </c>
      <c r="B1632" t="n">
        <v>45175</v>
      </c>
      <c r="C1632" t="inlineStr">
        <is>
          <t>1402/06/15</t>
        </is>
      </c>
    </row>
    <row r="1633">
      <c r="A1633" t="n">
        <v>14020616</v>
      </c>
      <c r="B1633" t="n">
        <v>45176</v>
      </c>
      <c r="C1633" t="inlineStr">
        <is>
          <t>1402/06/16</t>
        </is>
      </c>
    </row>
    <row r="1634">
      <c r="A1634" t="n">
        <v>14020617</v>
      </c>
      <c r="B1634" t="n">
        <v>45177</v>
      </c>
      <c r="C1634" t="inlineStr">
        <is>
          <t>1402/06/17</t>
        </is>
      </c>
    </row>
    <row r="1635">
      <c r="A1635" t="n">
        <v>14020618</v>
      </c>
      <c r="B1635" t="n">
        <v>45178</v>
      </c>
      <c r="C1635" t="inlineStr">
        <is>
          <t>1402/06/18</t>
        </is>
      </c>
    </row>
    <row r="1636">
      <c r="A1636" t="n">
        <v>14020619</v>
      </c>
      <c r="B1636" t="n">
        <v>45179</v>
      </c>
      <c r="C1636" t="inlineStr">
        <is>
          <t>1402/06/19</t>
        </is>
      </c>
    </row>
    <row r="1637">
      <c r="A1637" t="n">
        <v>14020620</v>
      </c>
      <c r="B1637" t="n">
        <v>45180</v>
      </c>
      <c r="C1637" t="inlineStr">
        <is>
          <t>1402/06/20</t>
        </is>
      </c>
    </row>
    <row r="1638">
      <c r="A1638" t="n">
        <v>14020621</v>
      </c>
      <c r="B1638" t="n">
        <v>45181</v>
      </c>
      <c r="C1638" t="inlineStr">
        <is>
          <t>1402/06/21</t>
        </is>
      </c>
    </row>
    <row r="1639">
      <c r="A1639" t="n">
        <v>14020622</v>
      </c>
      <c r="B1639" t="n">
        <v>45182</v>
      </c>
      <c r="C1639" t="inlineStr">
        <is>
          <t>1402/06/22</t>
        </is>
      </c>
    </row>
    <row r="1640">
      <c r="A1640" t="n">
        <v>14020623</v>
      </c>
      <c r="B1640" t="n">
        <v>45183</v>
      </c>
      <c r="C1640" t="inlineStr">
        <is>
          <t>1402/06/23</t>
        </is>
      </c>
    </row>
    <row r="1641">
      <c r="A1641" t="n">
        <v>14020624</v>
      </c>
      <c r="B1641" t="n">
        <v>45184</v>
      </c>
      <c r="C1641" t="inlineStr">
        <is>
          <t>1402/06/24</t>
        </is>
      </c>
    </row>
    <row r="1642">
      <c r="A1642" t="n">
        <v>14020625</v>
      </c>
      <c r="B1642" t="n">
        <v>45185</v>
      </c>
      <c r="C1642" t="inlineStr">
        <is>
          <t>1402/06/25</t>
        </is>
      </c>
    </row>
    <row r="1643">
      <c r="A1643" t="n">
        <v>14020626</v>
      </c>
      <c r="B1643" t="n">
        <v>45186</v>
      </c>
      <c r="C1643" t="inlineStr">
        <is>
          <t>1402/06/26</t>
        </is>
      </c>
    </row>
    <row r="1644">
      <c r="A1644" t="n">
        <v>14020627</v>
      </c>
      <c r="B1644" t="n">
        <v>45187</v>
      </c>
      <c r="C1644" t="inlineStr">
        <is>
          <t>1402/06/27</t>
        </is>
      </c>
    </row>
    <row r="1645">
      <c r="A1645" t="n">
        <v>14020628</v>
      </c>
      <c r="B1645" t="n">
        <v>45188</v>
      </c>
      <c r="C1645" t="inlineStr">
        <is>
          <t>1402/06/28</t>
        </is>
      </c>
    </row>
    <row r="1646">
      <c r="A1646" t="n">
        <v>14020629</v>
      </c>
      <c r="B1646" t="n">
        <v>45189</v>
      </c>
      <c r="C1646" t="inlineStr">
        <is>
          <t>1402/06/29</t>
        </is>
      </c>
    </row>
    <row r="1647">
      <c r="A1647" t="n">
        <v>14020630</v>
      </c>
      <c r="B1647" t="n">
        <v>45190</v>
      </c>
      <c r="C1647" t="inlineStr">
        <is>
          <t>1402/06/30</t>
        </is>
      </c>
    </row>
    <row r="1648">
      <c r="A1648" t="n">
        <v>14020631</v>
      </c>
      <c r="B1648" t="n">
        <v>45191</v>
      </c>
      <c r="C1648" t="inlineStr">
        <is>
          <t>1402/06/31</t>
        </is>
      </c>
    </row>
    <row r="1649">
      <c r="A1649" t="n">
        <v>14020701</v>
      </c>
      <c r="B1649" t="n">
        <v>45192</v>
      </c>
      <c r="C1649" t="inlineStr">
        <is>
          <t>1402/07/01</t>
        </is>
      </c>
    </row>
    <row r="1650">
      <c r="A1650" t="n">
        <v>14020702</v>
      </c>
      <c r="B1650" t="n">
        <v>45193</v>
      </c>
      <c r="C1650" t="inlineStr">
        <is>
          <t>1402/07/02</t>
        </is>
      </c>
    </row>
    <row r="1651">
      <c r="A1651" t="n">
        <v>14020703</v>
      </c>
      <c r="B1651" t="n">
        <v>45194</v>
      </c>
      <c r="C1651" t="inlineStr">
        <is>
          <t>1402/07/03</t>
        </is>
      </c>
    </row>
    <row r="1652">
      <c r="A1652" t="n">
        <v>14020704</v>
      </c>
      <c r="B1652" t="n">
        <v>45195</v>
      </c>
      <c r="C1652" t="inlineStr">
        <is>
          <t>1402/07/04</t>
        </is>
      </c>
    </row>
    <row r="1653">
      <c r="A1653" t="n">
        <v>14020705</v>
      </c>
      <c r="B1653" t="n">
        <v>45196</v>
      </c>
      <c r="C1653" t="inlineStr">
        <is>
          <t>1402/07/05</t>
        </is>
      </c>
    </row>
    <row r="1654">
      <c r="A1654" t="n">
        <v>14020706</v>
      </c>
      <c r="B1654" t="n">
        <v>45197</v>
      </c>
      <c r="C1654" t="inlineStr">
        <is>
          <t>1402/07/06</t>
        </is>
      </c>
    </row>
    <row r="1655">
      <c r="A1655" t="n">
        <v>14020707</v>
      </c>
      <c r="B1655" t="n">
        <v>45198</v>
      </c>
      <c r="C1655" t="inlineStr">
        <is>
          <t>1402/07/07</t>
        </is>
      </c>
    </row>
    <row r="1656">
      <c r="A1656" t="n">
        <v>14020708</v>
      </c>
      <c r="B1656" t="n">
        <v>45199</v>
      </c>
      <c r="C1656" t="inlineStr">
        <is>
          <t>1402/07/08</t>
        </is>
      </c>
    </row>
    <row r="1657">
      <c r="A1657" t="n">
        <v>14020709</v>
      </c>
      <c r="B1657" t="n">
        <v>45200</v>
      </c>
      <c r="C1657" t="inlineStr">
        <is>
          <t>1402/07/09</t>
        </is>
      </c>
    </row>
    <row r="1658">
      <c r="A1658" t="n">
        <v>14020710</v>
      </c>
      <c r="B1658" t="n">
        <v>45201</v>
      </c>
      <c r="C1658" t="inlineStr">
        <is>
          <t>1402/07/10</t>
        </is>
      </c>
    </row>
    <row r="1659">
      <c r="A1659" t="n">
        <v>14020711</v>
      </c>
      <c r="B1659" t="n">
        <v>45202</v>
      </c>
      <c r="C1659" t="inlineStr">
        <is>
          <t>1402/07/11</t>
        </is>
      </c>
    </row>
    <row r="1660">
      <c r="A1660" t="n">
        <v>14020712</v>
      </c>
      <c r="B1660" t="n">
        <v>45203</v>
      </c>
      <c r="C1660" t="inlineStr">
        <is>
          <t>1402/07/12</t>
        </is>
      </c>
    </row>
    <row r="1661">
      <c r="A1661" t="n">
        <v>14020713</v>
      </c>
      <c r="B1661" t="n">
        <v>45204</v>
      </c>
      <c r="C1661" t="inlineStr">
        <is>
          <t>1402/07/13</t>
        </is>
      </c>
    </row>
    <row r="1662">
      <c r="A1662" t="n">
        <v>14020714</v>
      </c>
      <c r="B1662" t="n">
        <v>45205</v>
      </c>
      <c r="C1662" t="inlineStr">
        <is>
          <t>1402/07/14</t>
        </is>
      </c>
    </row>
    <row r="1663">
      <c r="A1663" t="n">
        <v>14020715</v>
      </c>
      <c r="B1663" t="n">
        <v>45206</v>
      </c>
      <c r="C1663" t="inlineStr">
        <is>
          <t>1402/07/15</t>
        </is>
      </c>
    </row>
    <row r="1664">
      <c r="A1664" t="n">
        <v>14020716</v>
      </c>
      <c r="B1664" t="n">
        <v>45207</v>
      </c>
      <c r="C1664" t="inlineStr">
        <is>
          <t>1402/07/16</t>
        </is>
      </c>
    </row>
    <row r="1665">
      <c r="A1665" t="n">
        <v>14020717</v>
      </c>
      <c r="B1665" t="n">
        <v>45208</v>
      </c>
      <c r="C1665" t="inlineStr">
        <is>
          <t>1402/07/17</t>
        </is>
      </c>
    </row>
    <row r="1666">
      <c r="A1666" t="n">
        <v>14020718</v>
      </c>
      <c r="B1666" t="n">
        <v>45209</v>
      </c>
      <c r="C1666" t="inlineStr">
        <is>
          <t>1402/07/18</t>
        </is>
      </c>
    </row>
    <row r="1667">
      <c r="A1667" t="n">
        <v>14020719</v>
      </c>
      <c r="B1667" t="n">
        <v>45210</v>
      </c>
      <c r="C1667" t="inlineStr">
        <is>
          <t>1402/07/19</t>
        </is>
      </c>
    </row>
    <row r="1668">
      <c r="A1668" t="n">
        <v>14020720</v>
      </c>
      <c r="B1668" t="n">
        <v>45211</v>
      </c>
      <c r="C1668" t="inlineStr">
        <is>
          <t>1402/07/20</t>
        </is>
      </c>
    </row>
    <row r="1669">
      <c r="A1669" t="n">
        <v>14020721</v>
      </c>
      <c r="B1669" t="n">
        <v>45212</v>
      </c>
      <c r="C1669" t="inlineStr">
        <is>
          <t>1402/07/21</t>
        </is>
      </c>
    </row>
    <row r="1670">
      <c r="A1670" t="n">
        <v>14020722</v>
      </c>
      <c r="B1670" t="n">
        <v>45213</v>
      </c>
      <c r="C1670" t="inlineStr">
        <is>
          <t>1402/07/22</t>
        </is>
      </c>
    </row>
    <row r="1671">
      <c r="A1671" t="n">
        <v>14020723</v>
      </c>
      <c r="B1671" t="n">
        <v>45214</v>
      </c>
      <c r="C1671" t="inlineStr">
        <is>
          <t>1402/07/23</t>
        </is>
      </c>
    </row>
    <row r="1672">
      <c r="A1672" t="n">
        <v>14020724</v>
      </c>
      <c r="B1672" t="n">
        <v>45215</v>
      </c>
      <c r="C1672" t="inlineStr">
        <is>
          <t>1402/07/24</t>
        </is>
      </c>
    </row>
    <row r="1673">
      <c r="A1673" t="n">
        <v>14020725</v>
      </c>
      <c r="B1673" t="n">
        <v>45216</v>
      </c>
      <c r="C1673" t="inlineStr">
        <is>
          <t>1402/07/25</t>
        </is>
      </c>
    </row>
    <row r="1674">
      <c r="A1674" t="n">
        <v>14020726</v>
      </c>
      <c r="B1674" t="n">
        <v>45217</v>
      </c>
      <c r="C1674" t="inlineStr">
        <is>
          <t>1402/07/26</t>
        </is>
      </c>
    </row>
    <row r="1675">
      <c r="A1675" t="n">
        <v>14020727</v>
      </c>
      <c r="B1675" t="n">
        <v>45218</v>
      </c>
      <c r="C1675" t="inlineStr">
        <is>
          <t>1402/07/27</t>
        </is>
      </c>
    </row>
    <row r="1676">
      <c r="A1676" t="n">
        <v>14020728</v>
      </c>
      <c r="B1676" t="n">
        <v>45219</v>
      </c>
      <c r="C1676" t="inlineStr">
        <is>
          <t>1402/07/28</t>
        </is>
      </c>
    </row>
    <row r="1677">
      <c r="A1677" t="n">
        <v>14020729</v>
      </c>
      <c r="B1677" t="n">
        <v>45220</v>
      </c>
      <c r="C1677" t="inlineStr">
        <is>
          <t>1402/07/29</t>
        </is>
      </c>
    </row>
    <row r="1678">
      <c r="A1678" t="n">
        <v>14020730</v>
      </c>
      <c r="B1678" t="n">
        <v>45221</v>
      </c>
      <c r="C1678" t="inlineStr">
        <is>
          <t>1402/07/30</t>
        </is>
      </c>
    </row>
    <row r="1679">
      <c r="A1679" t="n">
        <v>14020801</v>
      </c>
      <c r="B1679" t="n">
        <v>45222</v>
      </c>
      <c r="C1679" t="inlineStr">
        <is>
          <t>1402/08/01</t>
        </is>
      </c>
    </row>
    <row r="1680">
      <c r="A1680" t="n">
        <v>14020802</v>
      </c>
      <c r="B1680" t="n">
        <v>45223</v>
      </c>
      <c r="C1680" t="inlineStr">
        <is>
          <t>1402/08/02</t>
        </is>
      </c>
    </row>
    <row r="1681">
      <c r="A1681" t="n">
        <v>14020803</v>
      </c>
      <c r="B1681" t="n">
        <v>45224</v>
      </c>
      <c r="C1681" t="inlineStr">
        <is>
          <t>1402/08/03</t>
        </is>
      </c>
    </row>
    <row r="1682">
      <c r="A1682" t="n">
        <v>14020804</v>
      </c>
      <c r="B1682" t="n">
        <v>45225</v>
      </c>
      <c r="C1682" t="inlineStr">
        <is>
          <t>1402/08/04</t>
        </is>
      </c>
    </row>
    <row r="1683">
      <c r="A1683" t="n">
        <v>14020805</v>
      </c>
      <c r="B1683" t="n">
        <v>45226</v>
      </c>
      <c r="C1683" t="inlineStr">
        <is>
          <t>1402/08/05</t>
        </is>
      </c>
    </row>
    <row r="1684">
      <c r="A1684" t="n">
        <v>14020806</v>
      </c>
      <c r="B1684" t="n">
        <v>45227</v>
      </c>
      <c r="C1684" t="inlineStr">
        <is>
          <t>1402/08/06</t>
        </is>
      </c>
    </row>
    <row r="1685">
      <c r="A1685" t="n">
        <v>14020807</v>
      </c>
      <c r="B1685" t="n">
        <v>45228</v>
      </c>
      <c r="C1685" t="inlineStr">
        <is>
          <t>1402/08/07</t>
        </is>
      </c>
    </row>
    <row r="1686">
      <c r="A1686" t="n">
        <v>14020808</v>
      </c>
      <c r="B1686" t="n">
        <v>45229</v>
      </c>
      <c r="C1686" t="inlineStr">
        <is>
          <t>1402/08/08</t>
        </is>
      </c>
    </row>
    <row r="1687">
      <c r="A1687" t="n">
        <v>14020809</v>
      </c>
      <c r="B1687" t="n">
        <v>45230</v>
      </c>
      <c r="C1687" t="inlineStr">
        <is>
          <t>1402/08/09</t>
        </is>
      </c>
    </row>
    <row r="1688">
      <c r="A1688" t="n">
        <v>14020810</v>
      </c>
      <c r="B1688" t="n">
        <v>45231</v>
      </c>
      <c r="C1688" t="inlineStr">
        <is>
          <t>1402/08/10</t>
        </is>
      </c>
    </row>
    <row r="1689">
      <c r="A1689" t="n">
        <v>14020811</v>
      </c>
      <c r="B1689" t="n">
        <v>45232</v>
      </c>
      <c r="C1689" t="inlineStr">
        <is>
          <t>1402/08/11</t>
        </is>
      </c>
    </row>
    <row r="1690">
      <c r="A1690" t="n">
        <v>14020812</v>
      </c>
      <c r="B1690" t="n">
        <v>45233</v>
      </c>
      <c r="C1690" t="inlineStr">
        <is>
          <t>1402/08/12</t>
        </is>
      </c>
    </row>
    <row r="1691">
      <c r="A1691" t="n">
        <v>14020813</v>
      </c>
      <c r="B1691" t="n">
        <v>45234</v>
      </c>
      <c r="C1691" t="inlineStr">
        <is>
          <t>1402/08/13</t>
        </is>
      </c>
    </row>
    <row r="1692">
      <c r="A1692" t="n">
        <v>14020814</v>
      </c>
      <c r="B1692" t="n">
        <v>45235</v>
      </c>
      <c r="C1692" t="inlineStr">
        <is>
          <t>1402/08/14</t>
        </is>
      </c>
    </row>
    <row r="1693">
      <c r="A1693" t="n">
        <v>14020815</v>
      </c>
      <c r="B1693" t="n">
        <v>45236</v>
      </c>
      <c r="C1693" t="inlineStr">
        <is>
          <t>1402/08/15</t>
        </is>
      </c>
    </row>
    <row r="1694">
      <c r="A1694" t="n">
        <v>14020816</v>
      </c>
      <c r="B1694" t="n">
        <v>45237</v>
      </c>
      <c r="C1694" t="inlineStr">
        <is>
          <t>1402/08/16</t>
        </is>
      </c>
    </row>
    <row r="1695">
      <c r="A1695" t="n">
        <v>14020817</v>
      </c>
      <c r="B1695" t="n">
        <v>45238</v>
      </c>
      <c r="C1695" t="inlineStr">
        <is>
          <t>1402/08/17</t>
        </is>
      </c>
    </row>
    <row r="1696">
      <c r="A1696" t="n">
        <v>14020818</v>
      </c>
      <c r="B1696" t="n">
        <v>45239</v>
      </c>
      <c r="C1696" t="inlineStr">
        <is>
          <t>1402/08/18</t>
        </is>
      </c>
    </row>
    <row r="1697">
      <c r="A1697" t="n">
        <v>14020819</v>
      </c>
      <c r="B1697" t="n">
        <v>45240</v>
      </c>
      <c r="C1697" t="inlineStr">
        <is>
          <t>1402/08/19</t>
        </is>
      </c>
    </row>
    <row r="1698">
      <c r="A1698" t="n">
        <v>14020820</v>
      </c>
      <c r="B1698" t="n">
        <v>45241</v>
      </c>
      <c r="C1698" t="inlineStr">
        <is>
          <t>1402/08/20</t>
        </is>
      </c>
    </row>
    <row r="1699">
      <c r="A1699" t="n">
        <v>14020821</v>
      </c>
      <c r="B1699" t="n">
        <v>45242</v>
      </c>
      <c r="C1699" t="inlineStr">
        <is>
          <t>1402/08/21</t>
        </is>
      </c>
    </row>
    <row r="1700">
      <c r="A1700" t="n">
        <v>14020822</v>
      </c>
      <c r="B1700" t="n">
        <v>45243</v>
      </c>
      <c r="C1700" t="inlineStr">
        <is>
          <t>1402/08/22</t>
        </is>
      </c>
    </row>
    <row r="1701">
      <c r="A1701" t="n">
        <v>14020823</v>
      </c>
      <c r="B1701" t="n">
        <v>45244</v>
      </c>
      <c r="C1701" t="inlineStr">
        <is>
          <t>1402/08/23</t>
        </is>
      </c>
    </row>
    <row r="1702">
      <c r="A1702" t="n">
        <v>14020824</v>
      </c>
      <c r="B1702" t="n">
        <v>45245</v>
      </c>
      <c r="C1702" t="inlineStr">
        <is>
          <t>1402/08/24</t>
        </is>
      </c>
    </row>
    <row r="1703">
      <c r="A1703" t="n">
        <v>14020825</v>
      </c>
      <c r="B1703" t="n">
        <v>45246</v>
      </c>
      <c r="C1703" t="inlineStr">
        <is>
          <t>1402/08/25</t>
        </is>
      </c>
    </row>
    <row r="1704">
      <c r="A1704" t="n">
        <v>14020826</v>
      </c>
      <c r="B1704" t="n">
        <v>45247</v>
      </c>
      <c r="C1704" t="inlineStr">
        <is>
          <t>1402/08/26</t>
        </is>
      </c>
    </row>
    <row r="1705">
      <c r="A1705" t="n">
        <v>14020827</v>
      </c>
      <c r="B1705" t="n">
        <v>45248</v>
      </c>
      <c r="C1705" t="inlineStr">
        <is>
          <t>1402/08/27</t>
        </is>
      </c>
    </row>
    <row r="1706">
      <c r="A1706" t="n">
        <v>14020828</v>
      </c>
      <c r="B1706" t="n">
        <v>45249</v>
      </c>
      <c r="C1706" t="inlineStr">
        <is>
          <t>1402/08/28</t>
        </is>
      </c>
    </row>
    <row r="1707">
      <c r="A1707" t="n">
        <v>14020829</v>
      </c>
      <c r="B1707" t="n">
        <v>45250</v>
      </c>
      <c r="C1707" t="inlineStr">
        <is>
          <t>1402/08/29</t>
        </is>
      </c>
    </row>
    <row r="1708">
      <c r="A1708" t="n">
        <v>14020830</v>
      </c>
      <c r="B1708" t="n">
        <v>45251</v>
      </c>
      <c r="C1708" t="inlineStr">
        <is>
          <t>1402/08/30</t>
        </is>
      </c>
    </row>
    <row r="1709">
      <c r="A1709" t="n">
        <v>14020901</v>
      </c>
      <c r="B1709" t="n">
        <v>45252</v>
      </c>
      <c r="C1709" t="inlineStr">
        <is>
          <t>1402/09/01</t>
        </is>
      </c>
    </row>
    <row r="1710">
      <c r="A1710" t="n">
        <v>14020902</v>
      </c>
      <c r="B1710" t="n">
        <v>45253</v>
      </c>
      <c r="C1710" t="inlineStr">
        <is>
          <t>1402/09/02</t>
        </is>
      </c>
    </row>
    <row r="1711">
      <c r="A1711" t="n">
        <v>14020903</v>
      </c>
      <c r="B1711" t="n">
        <v>45254</v>
      </c>
      <c r="C1711" t="inlineStr">
        <is>
          <t>1402/09/03</t>
        </is>
      </c>
    </row>
    <row r="1712">
      <c r="A1712" t="n">
        <v>14020904</v>
      </c>
      <c r="B1712" t="n">
        <v>45255</v>
      </c>
      <c r="C1712" t="inlineStr">
        <is>
          <t>1402/09/04</t>
        </is>
      </c>
    </row>
    <row r="1713">
      <c r="A1713" t="n">
        <v>14020905</v>
      </c>
      <c r="B1713" t="n">
        <v>45256</v>
      </c>
      <c r="C1713" t="inlineStr">
        <is>
          <t>1402/09/05</t>
        </is>
      </c>
    </row>
    <row r="1714">
      <c r="A1714" t="n">
        <v>14020906</v>
      </c>
      <c r="B1714" t="n">
        <v>45257</v>
      </c>
      <c r="C1714" t="inlineStr">
        <is>
          <t>1402/09/06</t>
        </is>
      </c>
    </row>
    <row r="1715">
      <c r="A1715" t="n">
        <v>14020907</v>
      </c>
      <c r="B1715" t="n">
        <v>45258</v>
      </c>
      <c r="C1715" t="inlineStr">
        <is>
          <t>1402/09/07</t>
        </is>
      </c>
    </row>
    <row r="1716">
      <c r="A1716" t="n">
        <v>14020908</v>
      </c>
      <c r="B1716" t="n">
        <v>45259</v>
      </c>
      <c r="C1716" t="inlineStr">
        <is>
          <t>1402/09/08</t>
        </is>
      </c>
    </row>
    <row r="1717">
      <c r="A1717" t="n">
        <v>14020909</v>
      </c>
      <c r="B1717" t="n">
        <v>45260</v>
      </c>
      <c r="C1717" t="inlineStr">
        <is>
          <t>1402/09/09</t>
        </is>
      </c>
    </row>
    <row r="1718">
      <c r="A1718" t="n">
        <v>14020910</v>
      </c>
      <c r="B1718" t="n">
        <v>45261</v>
      </c>
      <c r="C1718" t="inlineStr">
        <is>
          <t>1402/09/10</t>
        </is>
      </c>
    </row>
    <row r="1719">
      <c r="A1719" t="n">
        <v>14020911</v>
      </c>
      <c r="B1719" t="n">
        <v>45262</v>
      </c>
      <c r="C1719" t="inlineStr">
        <is>
          <t>1402/09/11</t>
        </is>
      </c>
    </row>
    <row r="1720">
      <c r="A1720" t="n">
        <v>14020912</v>
      </c>
      <c r="B1720" t="n">
        <v>45263</v>
      </c>
      <c r="C1720" t="inlineStr">
        <is>
          <t>1402/09/12</t>
        </is>
      </c>
    </row>
    <row r="1721">
      <c r="A1721" t="n">
        <v>14020913</v>
      </c>
      <c r="B1721" t="n">
        <v>45264</v>
      </c>
      <c r="C1721" t="inlineStr">
        <is>
          <t>1402/09/13</t>
        </is>
      </c>
    </row>
    <row r="1722">
      <c r="A1722" t="n">
        <v>14020914</v>
      </c>
      <c r="B1722" t="n">
        <v>45265</v>
      </c>
      <c r="C1722" t="inlineStr">
        <is>
          <t>1402/09/14</t>
        </is>
      </c>
    </row>
    <row r="1723">
      <c r="A1723" t="n">
        <v>14020915</v>
      </c>
      <c r="B1723" t="n">
        <v>45266</v>
      </c>
      <c r="C1723" t="inlineStr">
        <is>
          <t>1402/09/15</t>
        </is>
      </c>
    </row>
    <row r="1724">
      <c r="A1724" t="n">
        <v>14020916</v>
      </c>
      <c r="B1724" t="n">
        <v>45267</v>
      </c>
      <c r="C1724" t="inlineStr">
        <is>
          <t>1402/09/16</t>
        </is>
      </c>
    </row>
    <row r="1725">
      <c r="A1725" t="n">
        <v>14020917</v>
      </c>
      <c r="B1725" t="n">
        <v>45268</v>
      </c>
      <c r="C1725" t="inlineStr">
        <is>
          <t>1402/09/17</t>
        </is>
      </c>
    </row>
    <row r="1726">
      <c r="A1726" t="n">
        <v>14020918</v>
      </c>
      <c r="B1726" t="n">
        <v>45269</v>
      </c>
      <c r="C1726" t="inlineStr">
        <is>
          <t>1402/09/18</t>
        </is>
      </c>
    </row>
    <row r="1727">
      <c r="A1727" t="n">
        <v>14020919</v>
      </c>
      <c r="B1727" t="n">
        <v>45270</v>
      </c>
      <c r="C1727" t="inlineStr">
        <is>
          <t>1402/09/19</t>
        </is>
      </c>
    </row>
    <row r="1728">
      <c r="A1728" t="n">
        <v>14020920</v>
      </c>
      <c r="B1728" t="n">
        <v>45271</v>
      </c>
      <c r="C1728" t="inlineStr">
        <is>
          <t>1402/09/20</t>
        </is>
      </c>
    </row>
    <row r="1729">
      <c r="A1729" t="n">
        <v>14020921</v>
      </c>
      <c r="B1729" t="n">
        <v>45272</v>
      </c>
      <c r="C1729" t="inlineStr">
        <is>
          <t>1402/09/21</t>
        </is>
      </c>
    </row>
    <row r="1730">
      <c r="A1730" t="n">
        <v>14020922</v>
      </c>
      <c r="B1730" t="n">
        <v>45273</v>
      </c>
      <c r="C1730" t="inlineStr">
        <is>
          <t>1402/09/22</t>
        </is>
      </c>
    </row>
    <row r="1731">
      <c r="A1731" t="n">
        <v>14020923</v>
      </c>
      <c r="B1731" t="n">
        <v>45274</v>
      </c>
      <c r="C1731" t="inlineStr">
        <is>
          <t>1402/09/23</t>
        </is>
      </c>
    </row>
    <row r="1732">
      <c r="A1732" t="n">
        <v>14020924</v>
      </c>
      <c r="B1732" t="n">
        <v>45275</v>
      </c>
      <c r="C1732" t="inlineStr">
        <is>
          <t>1402/09/24</t>
        </is>
      </c>
    </row>
    <row r="1733">
      <c r="A1733" t="n">
        <v>14020925</v>
      </c>
      <c r="B1733" t="n">
        <v>45276</v>
      </c>
      <c r="C1733" t="inlineStr">
        <is>
          <t>1402/09/25</t>
        </is>
      </c>
    </row>
    <row r="1734">
      <c r="A1734" t="n">
        <v>14020926</v>
      </c>
      <c r="B1734" t="n">
        <v>45277</v>
      </c>
      <c r="C1734" t="inlineStr">
        <is>
          <t>1402/09/26</t>
        </is>
      </c>
    </row>
    <row r="1735">
      <c r="A1735" t="n">
        <v>14020927</v>
      </c>
      <c r="B1735" t="n">
        <v>45278</v>
      </c>
      <c r="C1735" t="inlineStr">
        <is>
          <t>1402/09/27</t>
        </is>
      </c>
    </row>
    <row r="1736">
      <c r="A1736" t="n">
        <v>14020928</v>
      </c>
      <c r="B1736" t="n">
        <v>45279</v>
      </c>
      <c r="C1736" t="inlineStr">
        <is>
          <t>1402/09/28</t>
        </is>
      </c>
    </row>
    <row r="1737">
      <c r="A1737" t="n">
        <v>14020929</v>
      </c>
      <c r="B1737" t="n">
        <v>45280</v>
      </c>
      <c r="C1737" t="inlineStr">
        <is>
          <t>1402/09/29</t>
        </is>
      </c>
    </row>
    <row r="1738">
      <c r="A1738" t="n">
        <v>14020930</v>
      </c>
      <c r="B1738" t="n">
        <v>45281</v>
      </c>
      <c r="C1738" t="inlineStr">
        <is>
          <t>1402/09/30</t>
        </is>
      </c>
    </row>
    <row r="1739">
      <c r="A1739" t="n">
        <v>14021001</v>
      </c>
      <c r="B1739" t="n">
        <v>45282</v>
      </c>
      <c r="C1739" t="inlineStr">
        <is>
          <t>1402/10/01</t>
        </is>
      </c>
    </row>
    <row r="1740">
      <c r="A1740" t="n">
        <v>14021002</v>
      </c>
      <c r="B1740" t="n">
        <v>45283</v>
      </c>
      <c r="C1740" t="inlineStr">
        <is>
          <t>1402/10/02</t>
        </is>
      </c>
    </row>
    <row r="1741">
      <c r="A1741" t="n">
        <v>14021003</v>
      </c>
      <c r="B1741" t="n">
        <v>45284</v>
      </c>
      <c r="C1741" t="inlineStr">
        <is>
          <t>1402/10/03</t>
        </is>
      </c>
    </row>
    <row r="1742">
      <c r="A1742" t="n">
        <v>14021004</v>
      </c>
      <c r="B1742" t="n">
        <v>45285</v>
      </c>
      <c r="C1742" t="inlineStr">
        <is>
          <t>1402/10/04</t>
        </is>
      </c>
    </row>
    <row r="1743">
      <c r="A1743" t="n">
        <v>14021005</v>
      </c>
      <c r="B1743" t="n">
        <v>45286</v>
      </c>
      <c r="C1743" t="inlineStr">
        <is>
          <t>1402/10/05</t>
        </is>
      </c>
    </row>
    <row r="1744">
      <c r="A1744" t="n">
        <v>14021006</v>
      </c>
      <c r="B1744" t="n">
        <v>45287</v>
      </c>
      <c r="C1744" t="inlineStr">
        <is>
          <t>1402/10/06</t>
        </is>
      </c>
    </row>
    <row r="1745">
      <c r="A1745" t="n">
        <v>14021007</v>
      </c>
      <c r="B1745" t="n">
        <v>45288</v>
      </c>
      <c r="C1745" t="inlineStr">
        <is>
          <t>1402/10/07</t>
        </is>
      </c>
    </row>
    <row r="1746">
      <c r="A1746" t="n">
        <v>14021008</v>
      </c>
      <c r="B1746" t="n">
        <v>45289</v>
      </c>
      <c r="C1746" t="inlineStr">
        <is>
          <t>1402/10/08</t>
        </is>
      </c>
    </row>
    <row r="1747">
      <c r="A1747" t="n">
        <v>14021009</v>
      </c>
      <c r="B1747" t="n">
        <v>45290</v>
      </c>
      <c r="C1747" t="inlineStr">
        <is>
          <t>1402/10/09</t>
        </is>
      </c>
    </row>
    <row r="1748">
      <c r="A1748" t="n">
        <v>14021010</v>
      </c>
      <c r="B1748" t="n">
        <v>45291</v>
      </c>
      <c r="C1748" t="inlineStr">
        <is>
          <t>1402/10/10</t>
        </is>
      </c>
    </row>
    <row r="1749">
      <c r="A1749" t="n">
        <v>14021011</v>
      </c>
      <c r="B1749" t="n">
        <v>45292</v>
      </c>
      <c r="C1749" t="inlineStr">
        <is>
          <t>1402/10/11</t>
        </is>
      </c>
    </row>
    <row r="1750">
      <c r="A1750" t="n">
        <v>14021012</v>
      </c>
      <c r="B1750" t="n">
        <v>45293</v>
      </c>
      <c r="C1750" t="inlineStr">
        <is>
          <t>1402/10/12</t>
        </is>
      </c>
    </row>
    <row r="1751">
      <c r="A1751" t="n">
        <v>14021013</v>
      </c>
      <c r="B1751" t="n">
        <v>45294</v>
      </c>
      <c r="C1751" t="inlineStr">
        <is>
          <t>1402/10/13</t>
        </is>
      </c>
    </row>
    <row r="1752">
      <c r="A1752" t="n">
        <v>14021014</v>
      </c>
      <c r="B1752" t="n">
        <v>45295</v>
      </c>
      <c r="C1752" t="inlineStr">
        <is>
          <t>1402/10/14</t>
        </is>
      </c>
    </row>
    <row r="1753">
      <c r="A1753" t="n">
        <v>14021015</v>
      </c>
      <c r="B1753" t="n">
        <v>45296</v>
      </c>
      <c r="C1753" t="inlineStr">
        <is>
          <t>1402/10/15</t>
        </is>
      </c>
    </row>
    <row r="1754">
      <c r="A1754" t="n">
        <v>14021016</v>
      </c>
      <c r="B1754" t="n">
        <v>45297</v>
      </c>
      <c r="C1754" t="inlineStr">
        <is>
          <t>1402/10/16</t>
        </is>
      </c>
    </row>
    <row r="1755">
      <c r="A1755" t="n">
        <v>14021017</v>
      </c>
      <c r="B1755" t="n">
        <v>45298</v>
      </c>
      <c r="C1755" t="inlineStr">
        <is>
          <t>1402/10/17</t>
        </is>
      </c>
    </row>
    <row r="1756">
      <c r="A1756" t="n">
        <v>14021018</v>
      </c>
      <c r="B1756" t="n">
        <v>45299</v>
      </c>
      <c r="C1756" t="inlineStr">
        <is>
          <t>1402/10/18</t>
        </is>
      </c>
    </row>
    <row r="1757">
      <c r="A1757" t="n">
        <v>14021019</v>
      </c>
      <c r="B1757" t="n">
        <v>45300</v>
      </c>
      <c r="C1757" t="inlineStr">
        <is>
          <t>1402/10/19</t>
        </is>
      </c>
    </row>
    <row r="1758">
      <c r="A1758" t="n">
        <v>14021020</v>
      </c>
      <c r="B1758" t="n">
        <v>45301</v>
      </c>
      <c r="C1758" t="inlineStr">
        <is>
          <t>1402/10/20</t>
        </is>
      </c>
    </row>
    <row r="1759">
      <c r="A1759" t="n">
        <v>14021021</v>
      </c>
      <c r="B1759" t="n">
        <v>45302</v>
      </c>
      <c r="C1759" t="inlineStr">
        <is>
          <t>1402/10/21</t>
        </is>
      </c>
    </row>
    <row r="1760">
      <c r="A1760" t="n">
        <v>14021022</v>
      </c>
      <c r="B1760" t="n">
        <v>45303</v>
      </c>
      <c r="C1760" t="inlineStr">
        <is>
          <t>1402/10/22</t>
        </is>
      </c>
    </row>
    <row r="1761">
      <c r="A1761" t="n">
        <v>14021023</v>
      </c>
      <c r="B1761" t="n">
        <v>45304</v>
      </c>
      <c r="C1761" t="inlineStr">
        <is>
          <t>1402/10/23</t>
        </is>
      </c>
    </row>
    <row r="1762">
      <c r="A1762" t="n">
        <v>14021024</v>
      </c>
      <c r="B1762" t="n">
        <v>45305</v>
      </c>
      <c r="C1762" t="inlineStr">
        <is>
          <t>1402/10/24</t>
        </is>
      </c>
    </row>
    <row r="1763">
      <c r="A1763" t="n">
        <v>14021025</v>
      </c>
      <c r="B1763" t="n">
        <v>45306</v>
      </c>
      <c r="C1763" t="inlineStr">
        <is>
          <t>1402/10/25</t>
        </is>
      </c>
    </row>
    <row r="1764">
      <c r="A1764" t="n">
        <v>14021026</v>
      </c>
      <c r="B1764" t="n">
        <v>45307</v>
      </c>
      <c r="C1764" t="inlineStr">
        <is>
          <t>1402/10/26</t>
        </is>
      </c>
    </row>
    <row r="1765">
      <c r="A1765" t="n">
        <v>14021027</v>
      </c>
      <c r="B1765" t="n">
        <v>45308</v>
      </c>
      <c r="C1765" t="inlineStr">
        <is>
          <t>1402/10/27</t>
        </is>
      </c>
    </row>
    <row r="1766">
      <c r="A1766" t="n">
        <v>14021028</v>
      </c>
      <c r="B1766" t="n">
        <v>45309</v>
      </c>
      <c r="C1766" t="inlineStr">
        <is>
          <t>1402/10/28</t>
        </is>
      </c>
    </row>
    <row r="1767">
      <c r="A1767" t="n">
        <v>14021029</v>
      </c>
      <c r="B1767" t="n">
        <v>45310</v>
      </c>
      <c r="C1767" t="inlineStr">
        <is>
          <t>1402/10/29</t>
        </is>
      </c>
    </row>
    <row r="1768">
      <c r="A1768" t="n">
        <v>14021030</v>
      </c>
      <c r="B1768" t="n">
        <v>45311</v>
      </c>
      <c r="C1768" t="inlineStr">
        <is>
          <t>1402/10/30</t>
        </is>
      </c>
    </row>
    <row r="1769">
      <c r="A1769" t="n">
        <v>14021101</v>
      </c>
      <c r="B1769" t="n">
        <v>45312</v>
      </c>
      <c r="C1769" t="inlineStr">
        <is>
          <t>1402/11/01</t>
        </is>
      </c>
    </row>
    <row r="1770">
      <c r="A1770" t="n">
        <v>14021102</v>
      </c>
      <c r="B1770" t="n">
        <v>45313</v>
      </c>
      <c r="C1770" t="inlineStr">
        <is>
          <t>1402/11/02</t>
        </is>
      </c>
    </row>
    <row r="1771">
      <c r="A1771" t="n">
        <v>14021103</v>
      </c>
      <c r="B1771" t="n">
        <v>45314</v>
      </c>
      <c r="C1771" t="inlineStr">
        <is>
          <t>1402/11/03</t>
        </is>
      </c>
    </row>
    <row r="1772">
      <c r="A1772" t="n">
        <v>14021104</v>
      </c>
      <c r="B1772" t="n">
        <v>45315</v>
      </c>
      <c r="C1772" t="inlineStr">
        <is>
          <t>1402/11/04</t>
        </is>
      </c>
    </row>
    <row r="1773">
      <c r="A1773" t="n">
        <v>14021105</v>
      </c>
      <c r="B1773" t="n">
        <v>45316</v>
      </c>
      <c r="C1773" t="inlineStr">
        <is>
          <t>1402/11/05</t>
        </is>
      </c>
    </row>
    <row r="1774">
      <c r="A1774" t="n">
        <v>14021106</v>
      </c>
      <c r="B1774" t="n">
        <v>45317</v>
      </c>
      <c r="C1774" t="inlineStr">
        <is>
          <t>1402/11/06</t>
        </is>
      </c>
    </row>
    <row r="1775">
      <c r="A1775" t="n">
        <v>14021107</v>
      </c>
      <c r="B1775" t="n">
        <v>45318</v>
      </c>
      <c r="C1775" t="inlineStr">
        <is>
          <t>1402/11/07</t>
        </is>
      </c>
    </row>
    <row r="1776">
      <c r="A1776" t="n">
        <v>14021108</v>
      </c>
      <c r="B1776" t="n">
        <v>45319</v>
      </c>
      <c r="C1776" t="inlineStr">
        <is>
          <t>1402/11/08</t>
        </is>
      </c>
    </row>
    <row r="1777">
      <c r="A1777" t="n">
        <v>14021109</v>
      </c>
      <c r="B1777" t="n">
        <v>45320</v>
      </c>
      <c r="C1777" t="inlineStr">
        <is>
          <t>1402/11/09</t>
        </is>
      </c>
    </row>
    <row r="1778">
      <c r="A1778" t="n">
        <v>14021110</v>
      </c>
      <c r="B1778" t="n">
        <v>45321</v>
      </c>
      <c r="C1778" t="inlineStr">
        <is>
          <t>1402/11/10</t>
        </is>
      </c>
    </row>
    <row r="1779">
      <c r="A1779" t="n">
        <v>14021111</v>
      </c>
      <c r="B1779" t="n">
        <v>45322</v>
      </c>
      <c r="C1779" t="inlineStr">
        <is>
          <t>1402/11/11</t>
        </is>
      </c>
    </row>
    <row r="1780">
      <c r="A1780" t="n">
        <v>14021112</v>
      </c>
      <c r="B1780" t="n">
        <v>45323</v>
      </c>
      <c r="C1780" t="inlineStr">
        <is>
          <t>1402/11/12</t>
        </is>
      </c>
    </row>
    <row r="1781">
      <c r="A1781" t="n">
        <v>14021113</v>
      </c>
      <c r="B1781" t="n">
        <v>45324</v>
      </c>
      <c r="C1781" t="inlineStr">
        <is>
          <t>1402/11/13</t>
        </is>
      </c>
    </row>
    <row r="1782">
      <c r="A1782" t="n">
        <v>14021114</v>
      </c>
      <c r="B1782" t="n">
        <v>45325</v>
      </c>
      <c r="C1782" t="inlineStr">
        <is>
          <t>1402/11/14</t>
        </is>
      </c>
    </row>
    <row r="1783">
      <c r="A1783" t="n">
        <v>14021115</v>
      </c>
      <c r="B1783" t="n">
        <v>45326</v>
      </c>
      <c r="C1783" t="inlineStr">
        <is>
          <t>1402/11/15</t>
        </is>
      </c>
    </row>
    <row r="1784">
      <c r="A1784" t="n">
        <v>14021116</v>
      </c>
      <c r="B1784" t="n">
        <v>45327</v>
      </c>
      <c r="C1784" t="inlineStr">
        <is>
          <t>1402/11/16</t>
        </is>
      </c>
    </row>
    <row r="1785">
      <c r="A1785" t="n">
        <v>14021117</v>
      </c>
      <c r="B1785" t="n">
        <v>45328</v>
      </c>
      <c r="C1785" t="inlineStr">
        <is>
          <t>1402/11/17</t>
        </is>
      </c>
    </row>
    <row r="1786">
      <c r="A1786" t="n">
        <v>14021118</v>
      </c>
      <c r="B1786" t="n">
        <v>45329</v>
      </c>
      <c r="C1786" t="inlineStr">
        <is>
          <t>1402/11/18</t>
        </is>
      </c>
    </row>
    <row r="1787">
      <c r="A1787" t="n">
        <v>14021119</v>
      </c>
      <c r="B1787" t="n">
        <v>45330</v>
      </c>
      <c r="C1787" t="inlineStr">
        <is>
          <t>1402/11/19</t>
        </is>
      </c>
    </row>
    <row r="1788">
      <c r="A1788" t="n">
        <v>14021120</v>
      </c>
      <c r="B1788" t="n">
        <v>45331</v>
      </c>
      <c r="C1788" t="inlineStr">
        <is>
          <t>1402/11/20</t>
        </is>
      </c>
    </row>
    <row r="1789">
      <c r="A1789" t="n">
        <v>14021121</v>
      </c>
      <c r="B1789" t="n">
        <v>45332</v>
      </c>
      <c r="C1789" t="inlineStr">
        <is>
          <t>1402/11/21</t>
        </is>
      </c>
    </row>
    <row r="1790">
      <c r="A1790" t="n">
        <v>14021122</v>
      </c>
      <c r="B1790" t="n">
        <v>45333</v>
      </c>
      <c r="C1790" t="inlineStr">
        <is>
          <t>1402/11/22</t>
        </is>
      </c>
    </row>
    <row r="1791">
      <c r="A1791" t="n">
        <v>14021123</v>
      </c>
      <c r="B1791" t="n">
        <v>45334</v>
      </c>
      <c r="C1791" t="inlineStr">
        <is>
          <t>1402/11/23</t>
        </is>
      </c>
    </row>
    <row r="1792">
      <c r="A1792" t="n">
        <v>14021124</v>
      </c>
      <c r="B1792" t="n">
        <v>45335</v>
      </c>
      <c r="C1792" t="inlineStr">
        <is>
          <t>1402/11/24</t>
        </is>
      </c>
    </row>
    <row r="1793">
      <c r="A1793" t="n">
        <v>14021125</v>
      </c>
      <c r="B1793" t="n">
        <v>45336</v>
      </c>
      <c r="C1793" t="inlineStr">
        <is>
          <t>1402/11/25</t>
        </is>
      </c>
    </row>
    <row r="1794">
      <c r="A1794" t="n">
        <v>14021126</v>
      </c>
      <c r="B1794" t="n">
        <v>45337</v>
      </c>
      <c r="C1794" t="inlineStr">
        <is>
          <t>1402/11/26</t>
        </is>
      </c>
    </row>
    <row r="1795">
      <c r="A1795" t="n">
        <v>14021127</v>
      </c>
      <c r="B1795" t="n">
        <v>45338</v>
      </c>
      <c r="C1795" t="inlineStr">
        <is>
          <t>1402/11/27</t>
        </is>
      </c>
    </row>
    <row r="1796">
      <c r="A1796" t="n">
        <v>14021128</v>
      </c>
      <c r="B1796" t="n">
        <v>45339</v>
      </c>
      <c r="C1796" t="inlineStr">
        <is>
          <t>1402/11/28</t>
        </is>
      </c>
    </row>
    <row r="1797">
      <c r="A1797" t="n">
        <v>14021129</v>
      </c>
      <c r="B1797" t="n">
        <v>45340</v>
      </c>
      <c r="C1797" t="inlineStr">
        <is>
          <t>1402/11/29</t>
        </is>
      </c>
    </row>
    <row r="1798">
      <c r="A1798" t="n">
        <v>14021130</v>
      </c>
      <c r="B1798" t="n">
        <v>45341</v>
      </c>
      <c r="C1798" t="inlineStr">
        <is>
          <t>1402/11/30</t>
        </is>
      </c>
    </row>
    <row r="1799">
      <c r="A1799" t="n">
        <v>14021201</v>
      </c>
      <c r="B1799" t="n">
        <v>45342</v>
      </c>
      <c r="C1799" t="inlineStr">
        <is>
          <t>1402/12/01</t>
        </is>
      </c>
    </row>
    <row r="1800">
      <c r="A1800" t="n">
        <v>14021202</v>
      </c>
      <c r="B1800" t="n">
        <v>45343</v>
      </c>
      <c r="C1800" t="inlineStr">
        <is>
          <t>1402/12/02</t>
        </is>
      </c>
    </row>
    <row r="1801">
      <c r="A1801" t="n">
        <v>14021203</v>
      </c>
      <c r="B1801" t="n">
        <v>45344</v>
      </c>
      <c r="C1801" t="inlineStr">
        <is>
          <t>1402/12/03</t>
        </is>
      </c>
    </row>
    <row r="1802">
      <c r="A1802" t="n">
        <v>14021204</v>
      </c>
      <c r="B1802" t="n">
        <v>45345</v>
      </c>
      <c r="C1802" t="inlineStr">
        <is>
          <t>1402/12/04</t>
        </is>
      </c>
    </row>
    <row r="1803">
      <c r="A1803" t="n">
        <v>14021205</v>
      </c>
      <c r="B1803" t="n">
        <v>45346</v>
      </c>
      <c r="C1803" t="inlineStr">
        <is>
          <t>1402/12/05</t>
        </is>
      </c>
    </row>
    <row r="1804">
      <c r="A1804" t="n">
        <v>14021206</v>
      </c>
      <c r="B1804" t="n">
        <v>45347</v>
      </c>
      <c r="C1804" t="inlineStr">
        <is>
          <t>1402/12/06</t>
        </is>
      </c>
    </row>
    <row r="1805">
      <c r="A1805" t="n">
        <v>14021207</v>
      </c>
      <c r="B1805" t="n">
        <v>45348</v>
      </c>
      <c r="C1805" t="inlineStr">
        <is>
          <t>1402/12/07</t>
        </is>
      </c>
    </row>
    <row r="1806">
      <c r="A1806" t="n">
        <v>14021208</v>
      </c>
      <c r="B1806" t="n">
        <v>45349</v>
      </c>
      <c r="C1806" t="inlineStr">
        <is>
          <t>1402/12/08</t>
        </is>
      </c>
    </row>
    <row r="1807">
      <c r="A1807" t="n">
        <v>14021209</v>
      </c>
      <c r="B1807" t="n">
        <v>45350</v>
      </c>
      <c r="C1807" t="inlineStr">
        <is>
          <t>1402/12/09</t>
        </is>
      </c>
    </row>
    <row r="1808">
      <c r="A1808" t="n">
        <v>14021210</v>
      </c>
      <c r="B1808" t="n">
        <v>45351</v>
      </c>
      <c r="C1808" t="inlineStr">
        <is>
          <t>1402/12/10</t>
        </is>
      </c>
    </row>
    <row r="1809">
      <c r="A1809" t="n">
        <v>14021211</v>
      </c>
      <c r="B1809" t="n">
        <v>45352</v>
      </c>
      <c r="C1809" t="inlineStr">
        <is>
          <t>1402/12/11</t>
        </is>
      </c>
    </row>
    <row r="1810">
      <c r="A1810" t="n">
        <v>14021212</v>
      </c>
      <c r="B1810" t="n">
        <v>45353</v>
      </c>
      <c r="C1810" t="inlineStr">
        <is>
          <t>1402/12/12</t>
        </is>
      </c>
    </row>
    <row r="1811">
      <c r="A1811" t="n">
        <v>14021213</v>
      </c>
      <c r="B1811" t="n">
        <v>45354</v>
      </c>
      <c r="C1811" t="inlineStr">
        <is>
          <t>1402/12/13</t>
        </is>
      </c>
    </row>
    <row r="1812">
      <c r="A1812" t="n">
        <v>14021214</v>
      </c>
      <c r="B1812" t="n">
        <v>45355</v>
      </c>
      <c r="C1812" t="inlineStr">
        <is>
          <t>1402/12/14</t>
        </is>
      </c>
    </row>
    <row r="1813">
      <c r="A1813" t="n">
        <v>14021215</v>
      </c>
      <c r="B1813" t="n">
        <v>45356</v>
      </c>
      <c r="C1813" t="inlineStr">
        <is>
          <t>1402/12/15</t>
        </is>
      </c>
    </row>
    <row r="1814">
      <c r="A1814" t="n">
        <v>14021216</v>
      </c>
      <c r="B1814" t="n">
        <v>45357</v>
      </c>
      <c r="C1814" t="inlineStr">
        <is>
          <t>1402/12/16</t>
        </is>
      </c>
    </row>
    <row r="1815">
      <c r="A1815" t="n">
        <v>14021217</v>
      </c>
      <c r="B1815" t="n">
        <v>45358</v>
      </c>
      <c r="C1815" t="inlineStr">
        <is>
          <t>1402/12/17</t>
        </is>
      </c>
    </row>
    <row r="1816">
      <c r="A1816" t="n">
        <v>14021218</v>
      </c>
      <c r="B1816" t="n">
        <v>45359</v>
      </c>
      <c r="C1816" t="inlineStr">
        <is>
          <t>1402/12/18</t>
        </is>
      </c>
    </row>
    <row r="1817">
      <c r="A1817" t="n">
        <v>14021219</v>
      </c>
      <c r="B1817" t="n">
        <v>45360</v>
      </c>
      <c r="C1817" t="inlineStr">
        <is>
          <t>1402/12/19</t>
        </is>
      </c>
    </row>
    <row r="1818">
      <c r="A1818" t="n">
        <v>14021220</v>
      </c>
      <c r="B1818" t="n">
        <v>45361</v>
      </c>
      <c r="C1818" t="inlineStr">
        <is>
          <t>1402/12/20</t>
        </is>
      </c>
    </row>
    <row r="1819">
      <c r="A1819" t="n">
        <v>14021221</v>
      </c>
      <c r="B1819" t="n">
        <v>45362</v>
      </c>
      <c r="C1819" t="inlineStr">
        <is>
          <t>1402/12/21</t>
        </is>
      </c>
    </row>
    <row r="1820">
      <c r="A1820" t="n">
        <v>14021222</v>
      </c>
      <c r="B1820" t="n">
        <v>45363</v>
      </c>
      <c r="C1820" t="inlineStr">
        <is>
          <t>1402/12/22</t>
        </is>
      </c>
    </row>
    <row r="1821">
      <c r="A1821" t="n">
        <v>14021223</v>
      </c>
      <c r="B1821" t="n">
        <v>45364</v>
      </c>
      <c r="C1821" t="inlineStr">
        <is>
          <t>1402/12/23</t>
        </is>
      </c>
    </row>
    <row r="1822">
      <c r="A1822" t="n">
        <v>14021224</v>
      </c>
      <c r="B1822" t="n">
        <v>45365</v>
      </c>
      <c r="C1822" t="inlineStr">
        <is>
          <t>1402/12/24</t>
        </is>
      </c>
    </row>
    <row r="1823">
      <c r="A1823" t="n">
        <v>14021225</v>
      </c>
      <c r="B1823" t="n">
        <v>45366</v>
      </c>
      <c r="C1823" t="inlineStr">
        <is>
          <t>1402/12/25</t>
        </is>
      </c>
    </row>
    <row r="1824">
      <c r="A1824" t="n">
        <v>14021226</v>
      </c>
      <c r="B1824" t="n">
        <v>45367</v>
      </c>
      <c r="C1824" t="inlineStr">
        <is>
          <t>1402/12/26</t>
        </is>
      </c>
    </row>
    <row r="1825">
      <c r="A1825" t="n">
        <v>14021227</v>
      </c>
      <c r="B1825" t="n">
        <v>45368</v>
      </c>
      <c r="C1825" t="inlineStr">
        <is>
          <t>1402/12/27</t>
        </is>
      </c>
    </row>
    <row r="1826">
      <c r="A1826" t="n">
        <v>14021228</v>
      </c>
      <c r="B1826" t="n">
        <v>45369</v>
      </c>
      <c r="C1826" t="inlineStr">
        <is>
          <t>1402/12/28</t>
        </is>
      </c>
    </row>
    <row r="1827">
      <c r="A1827" t="n">
        <v>14021229</v>
      </c>
      <c r="B1827" t="n">
        <v>45370</v>
      </c>
      <c r="C1827" t="inlineStr">
        <is>
          <t>1402/12/29</t>
        </is>
      </c>
    </row>
    <row r="1828">
      <c r="A1828" t="n">
        <v>14030101</v>
      </c>
      <c r="B1828" t="n">
        <v>45371</v>
      </c>
      <c r="C1828" t="inlineStr">
        <is>
          <t>1403/01/01</t>
        </is>
      </c>
    </row>
    <row r="1829">
      <c r="A1829" t="n">
        <v>14030102</v>
      </c>
      <c r="B1829" t="n">
        <v>45372</v>
      </c>
      <c r="C1829" t="inlineStr">
        <is>
          <t>1403/01/02</t>
        </is>
      </c>
    </row>
    <row r="1830">
      <c r="A1830" t="n">
        <v>14030103</v>
      </c>
      <c r="B1830" t="n">
        <v>45373</v>
      </c>
      <c r="C1830" t="inlineStr">
        <is>
          <t>1403/01/03</t>
        </is>
      </c>
    </row>
    <row r="1831">
      <c r="A1831" t="n">
        <v>14030104</v>
      </c>
      <c r="B1831" t="n">
        <v>45374</v>
      </c>
      <c r="C1831" t="inlineStr">
        <is>
          <t>1403/01/04</t>
        </is>
      </c>
    </row>
    <row r="1832">
      <c r="A1832" t="n">
        <v>14030105</v>
      </c>
      <c r="B1832" t="n">
        <v>45375</v>
      </c>
      <c r="C1832" t="inlineStr">
        <is>
          <t>1403/01/05</t>
        </is>
      </c>
    </row>
    <row r="1833">
      <c r="A1833" t="n">
        <v>14030106</v>
      </c>
      <c r="B1833" t="n">
        <v>45376</v>
      </c>
      <c r="C1833" t="inlineStr">
        <is>
          <t>1403/01/06</t>
        </is>
      </c>
    </row>
    <row r="1834">
      <c r="A1834" t="n">
        <v>14030107</v>
      </c>
      <c r="B1834" t="n">
        <v>45377</v>
      </c>
      <c r="C1834" t="inlineStr">
        <is>
          <t>1403/01/07</t>
        </is>
      </c>
    </row>
    <row r="1835">
      <c r="A1835" t="n">
        <v>14030108</v>
      </c>
      <c r="B1835" t="n">
        <v>45378</v>
      </c>
      <c r="C1835" t="inlineStr">
        <is>
          <t>1403/01/08</t>
        </is>
      </c>
    </row>
    <row r="1836">
      <c r="A1836" t="n">
        <v>14030109</v>
      </c>
      <c r="B1836" t="n">
        <v>45379</v>
      </c>
      <c r="C1836" t="inlineStr">
        <is>
          <t>1403/01/09</t>
        </is>
      </c>
    </row>
    <row r="1837">
      <c r="A1837" t="n">
        <v>14030110</v>
      </c>
      <c r="B1837" t="n">
        <v>45380</v>
      </c>
      <c r="C1837" t="inlineStr">
        <is>
          <t>1403/01/10</t>
        </is>
      </c>
    </row>
    <row r="1838">
      <c r="A1838" t="n">
        <v>14030111</v>
      </c>
      <c r="B1838" t="n">
        <v>45381</v>
      </c>
      <c r="C1838" t="inlineStr">
        <is>
          <t>1403/01/11</t>
        </is>
      </c>
    </row>
    <row r="1839">
      <c r="A1839" t="n">
        <v>14030112</v>
      </c>
      <c r="B1839" t="n">
        <v>45382</v>
      </c>
      <c r="C1839" t="inlineStr">
        <is>
          <t>1403/01/12</t>
        </is>
      </c>
    </row>
    <row r="1840">
      <c r="A1840" t="n">
        <v>14030113</v>
      </c>
      <c r="B1840" t="n">
        <v>45383</v>
      </c>
      <c r="C1840" t="inlineStr">
        <is>
          <t>1403/01/13</t>
        </is>
      </c>
    </row>
    <row r="1841">
      <c r="A1841" t="n">
        <v>14030114</v>
      </c>
      <c r="B1841" t="n">
        <v>45384</v>
      </c>
      <c r="C1841" t="inlineStr">
        <is>
          <t>1403/01/14</t>
        </is>
      </c>
    </row>
    <row r="1842">
      <c r="A1842" t="n">
        <v>14030115</v>
      </c>
      <c r="B1842" t="n">
        <v>45385</v>
      </c>
      <c r="C1842" t="inlineStr">
        <is>
          <t>1403/01/15</t>
        </is>
      </c>
    </row>
    <row r="1843">
      <c r="A1843" t="n">
        <v>14030116</v>
      </c>
      <c r="B1843" t="n">
        <v>45386</v>
      </c>
      <c r="C1843" t="inlineStr">
        <is>
          <t>1403/01/16</t>
        </is>
      </c>
    </row>
    <row r="1844">
      <c r="A1844" t="n">
        <v>14030117</v>
      </c>
      <c r="B1844" t="n">
        <v>45387</v>
      </c>
      <c r="C1844" t="inlineStr">
        <is>
          <t>1403/01/17</t>
        </is>
      </c>
    </row>
    <row r="1845">
      <c r="A1845" t="n">
        <v>14030118</v>
      </c>
      <c r="B1845" t="n">
        <v>45388</v>
      </c>
      <c r="C1845" t="inlineStr">
        <is>
          <t>1403/01/18</t>
        </is>
      </c>
    </row>
    <row r="1846">
      <c r="A1846" t="n">
        <v>14030119</v>
      </c>
      <c r="B1846" t="n">
        <v>45389</v>
      </c>
      <c r="C1846" t="inlineStr">
        <is>
          <t>1403/01/19</t>
        </is>
      </c>
    </row>
    <row r="1847">
      <c r="A1847" t="n">
        <v>14030120</v>
      </c>
      <c r="B1847" t="n">
        <v>45390</v>
      </c>
      <c r="C1847" t="inlineStr">
        <is>
          <t>1403/01/20</t>
        </is>
      </c>
    </row>
    <row r="1848">
      <c r="A1848" t="n">
        <v>14030121</v>
      </c>
      <c r="B1848" t="n">
        <v>45391</v>
      </c>
      <c r="C1848" t="inlineStr">
        <is>
          <t>1403/01/21</t>
        </is>
      </c>
    </row>
    <row r="1849">
      <c r="A1849" t="n">
        <v>14030122</v>
      </c>
      <c r="B1849" t="n">
        <v>45392</v>
      </c>
      <c r="C1849" t="inlineStr">
        <is>
          <t>1403/01/22</t>
        </is>
      </c>
    </row>
    <row r="1850">
      <c r="A1850" t="n">
        <v>14030123</v>
      </c>
      <c r="B1850" t="n">
        <v>45393</v>
      </c>
      <c r="C1850" t="inlineStr">
        <is>
          <t>1403/01/23</t>
        </is>
      </c>
    </row>
    <row r="1851">
      <c r="A1851" t="n">
        <v>14030124</v>
      </c>
      <c r="B1851" t="n">
        <v>45394</v>
      </c>
      <c r="C1851" t="inlineStr">
        <is>
          <t>1403/01/24</t>
        </is>
      </c>
    </row>
    <row r="1852">
      <c r="A1852" t="n">
        <v>14030125</v>
      </c>
      <c r="B1852" t="n">
        <v>45395</v>
      </c>
      <c r="C1852" t="inlineStr">
        <is>
          <t>1403/01/25</t>
        </is>
      </c>
    </row>
    <row r="1853">
      <c r="A1853" t="n">
        <v>14030126</v>
      </c>
      <c r="B1853" t="n">
        <v>45396</v>
      </c>
      <c r="C1853" t="inlineStr">
        <is>
          <t>1403/01/26</t>
        </is>
      </c>
    </row>
    <row r="1854">
      <c r="A1854" t="n">
        <v>14030127</v>
      </c>
      <c r="B1854" t="n">
        <v>45397</v>
      </c>
      <c r="C1854" t="inlineStr">
        <is>
          <t>1403/01/27</t>
        </is>
      </c>
    </row>
    <row r="1855">
      <c r="A1855" t="n">
        <v>14030128</v>
      </c>
      <c r="B1855" t="n">
        <v>45398</v>
      </c>
      <c r="C1855" t="inlineStr">
        <is>
          <t>1403/01/28</t>
        </is>
      </c>
    </row>
    <row r="1856">
      <c r="A1856" t="n">
        <v>14030129</v>
      </c>
      <c r="B1856" t="n">
        <v>45399</v>
      </c>
      <c r="C1856" t="inlineStr">
        <is>
          <t>1403/01/29</t>
        </is>
      </c>
    </row>
    <row r="1857">
      <c r="A1857" t="n">
        <v>14030130</v>
      </c>
      <c r="B1857" t="n">
        <v>45400</v>
      </c>
      <c r="C1857" t="inlineStr">
        <is>
          <t>1403/01/30</t>
        </is>
      </c>
    </row>
    <row r="1858">
      <c r="A1858" t="n">
        <v>14030131</v>
      </c>
      <c r="B1858" t="n">
        <v>45401</v>
      </c>
      <c r="C1858" t="inlineStr">
        <is>
          <t>1403/01/31</t>
        </is>
      </c>
    </row>
    <row r="1859">
      <c r="A1859" t="n">
        <v>14030201</v>
      </c>
      <c r="B1859" t="n">
        <v>45402</v>
      </c>
      <c r="C1859" t="inlineStr">
        <is>
          <t>1403/02/01</t>
        </is>
      </c>
    </row>
    <row r="1860">
      <c r="A1860" t="n">
        <v>14030202</v>
      </c>
      <c r="B1860" t="n">
        <v>45403</v>
      </c>
      <c r="C1860" t="inlineStr">
        <is>
          <t>1403/02/02</t>
        </is>
      </c>
    </row>
    <row r="1861">
      <c r="A1861" t="n">
        <v>14030203</v>
      </c>
      <c r="B1861" t="n">
        <v>45404</v>
      </c>
      <c r="C1861" t="inlineStr">
        <is>
          <t>1403/02/03</t>
        </is>
      </c>
    </row>
    <row r="1862">
      <c r="A1862" t="n">
        <v>14030204</v>
      </c>
      <c r="B1862" t="n">
        <v>45405</v>
      </c>
      <c r="C1862" t="inlineStr">
        <is>
          <t>1403/02/04</t>
        </is>
      </c>
    </row>
    <row r="1863">
      <c r="A1863" t="n">
        <v>14030205</v>
      </c>
      <c r="B1863" t="n">
        <v>45406</v>
      </c>
      <c r="C1863" t="inlineStr">
        <is>
          <t>1403/02/05</t>
        </is>
      </c>
    </row>
    <row r="1864">
      <c r="A1864" t="n">
        <v>14030206</v>
      </c>
      <c r="B1864" t="n">
        <v>45407</v>
      </c>
      <c r="C1864" t="inlineStr">
        <is>
          <t>1403/02/06</t>
        </is>
      </c>
    </row>
    <row r="1865">
      <c r="A1865" t="n">
        <v>14030207</v>
      </c>
      <c r="B1865" t="n">
        <v>45408</v>
      </c>
      <c r="C1865" t="inlineStr">
        <is>
          <t>1403/02/07</t>
        </is>
      </c>
    </row>
    <row r="1866">
      <c r="A1866" t="n">
        <v>14030208</v>
      </c>
      <c r="B1866" t="n">
        <v>45409</v>
      </c>
      <c r="C1866" t="inlineStr">
        <is>
          <t>1403/02/08</t>
        </is>
      </c>
    </row>
    <row r="1867">
      <c r="A1867" t="n">
        <v>14030209</v>
      </c>
      <c r="B1867" t="n">
        <v>45410</v>
      </c>
      <c r="C1867" t="inlineStr">
        <is>
          <t>1403/02/09</t>
        </is>
      </c>
    </row>
    <row r="1868">
      <c r="A1868" t="n">
        <v>14030210</v>
      </c>
      <c r="B1868" t="n">
        <v>45411</v>
      </c>
      <c r="C1868" t="inlineStr">
        <is>
          <t>1403/02/10</t>
        </is>
      </c>
    </row>
    <row r="1869">
      <c r="A1869" t="n">
        <v>14030211</v>
      </c>
      <c r="B1869" t="n">
        <v>45412</v>
      </c>
      <c r="C1869" t="inlineStr">
        <is>
          <t>1403/02/11</t>
        </is>
      </c>
    </row>
    <row r="1870">
      <c r="A1870" t="n">
        <v>14030212</v>
      </c>
      <c r="B1870" t="n">
        <v>45413</v>
      </c>
      <c r="C1870" t="inlineStr">
        <is>
          <t>1403/02/12</t>
        </is>
      </c>
    </row>
    <row r="1871">
      <c r="A1871" t="n">
        <v>14030213</v>
      </c>
      <c r="B1871" t="n">
        <v>45414</v>
      </c>
      <c r="C1871" t="inlineStr">
        <is>
          <t>1403/02/13</t>
        </is>
      </c>
    </row>
    <row r="1872">
      <c r="A1872" t="n">
        <v>14030214</v>
      </c>
      <c r="B1872" t="n">
        <v>45415</v>
      </c>
      <c r="C1872" t="inlineStr">
        <is>
          <t>1403/02/14</t>
        </is>
      </c>
    </row>
    <row r="1873">
      <c r="A1873" t="n">
        <v>14030215</v>
      </c>
      <c r="B1873" t="n">
        <v>45416</v>
      </c>
      <c r="C1873" t="inlineStr">
        <is>
          <t>1403/02/15</t>
        </is>
      </c>
    </row>
    <row r="1874">
      <c r="A1874" t="n">
        <v>14030216</v>
      </c>
      <c r="B1874" t="n">
        <v>45417</v>
      </c>
      <c r="C1874" t="inlineStr">
        <is>
          <t>1403/02/16</t>
        </is>
      </c>
    </row>
    <row r="1875">
      <c r="A1875" t="n">
        <v>14030217</v>
      </c>
      <c r="B1875" t="n">
        <v>45418</v>
      </c>
      <c r="C1875" t="inlineStr">
        <is>
          <t>1403/02/17</t>
        </is>
      </c>
    </row>
    <row r="1876">
      <c r="A1876" t="n">
        <v>14030218</v>
      </c>
      <c r="B1876" t="n">
        <v>45419</v>
      </c>
      <c r="C1876" t="inlineStr">
        <is>
          <t>1403/02/18</t>
        </is>
      </c>
    </row>
    <row r="1877">
      <c r="A1877" t="n">
        <v>14030219</v>
      </c>
      <c r="B1877" t="n">
        <v>45420</v>
      </c>
      <c r="C1877" t="inlineStr">
        <is>
          <t>1403/02/19</t>
        </is>
      </c>
    </row>
    <row r="1878">
      <c r="A1878" t="n">
        <v>14030220</v>
      </c>
      <c r="B1878" t="n">
        <v>45421</v>
      </c>
      <c r="C1878" t="inlineStr">
        <is>
          <t>1403/02/20</t>
        </is>
      </c>
    </row>
    <row r="1879">
      <c r="A1879" t="n">
        <v>14030221</v>
      </c>
      <c r="B1879" t="n">
        <v>45422</v>
      </c>
      <c r="C1879" t="inlineStr">
        <is>
          <t>1403/02/21</t>
        </is>
      </c>
    </row>
    <row r="1880">
      <c r="A1880" t="n">
        <v>14030222</v>
      </c>
      <c r="B1880" t="n">
        <v>45423</v>
      </c>
      <c r="C1880" t="inlineStr">
        <is>
          <t>1403/02/22</t>
        </is>
      </c>
    </row>
    <row r="1881">
      <c r="A1881" t="n">
        <v>14030223</v>
      </c>
      <c r="B1881" t="n">
        <v>45424</v>
      </c>
      <c r="C1881" t="inlineStr">
        <is>
          <t>1403/02/23</t>
        </is>
      </c>
    </row>
    <row r="1882">
      <c r="A1882" t="n">
        <v>14030224</v>
      </c>
      <c r="B1882" t="n">
        <v>45425</v>
      </c>
      <c r="C1882" t="inlineStr">
        <is>
          <t>1403/02/24</t>
        </is>
      </c>
    </row>
    <row r="1883">
      <c r="A1883" t="n">
        <v>14030225</v>
      </c>
      <c r="B1883" t="n">
        <v>45426</v>
      </c>
      <c r="C1883" t="inlineStr">
        <is>
          <t>1403/02/25</t>
        </is>
      </c>
    </row>
    <row r="1884">
      <c r="A1884" t="n">
        <v>14030226</v>
      </c>
      <c r="B1884" t="n">
        <v>45427</v>
      </c>
      <c r="C1884" t="inlineStr">
        <is>
          <t>1403/02/26</t>
        </is>
      </c>
    </row>
    <row r="1885">
      <c r="A1885" t="n">
        <v>14030227</v>
      </c>
      <c r="B1885" t="n">
        <v>45428</v>
      </c>
      <c r="C1885" t="inlineStr">
        <is>
          <t>1403/02/27</t>
        </is>
      </c>
    </row>
    <row r="1886">
      <c r="A1886" t="n">
        <v>14030228</v>
      </c>
      <c r="B1886" t="n">
        <v>45429</v>
      </c>
      <c r="C1886" t="inlineStr">
        <is>
          <t>1403/02/28</t>
        </is>
      </c>
    </row>
    <row r="1887">
      <c r="A1887" t="n">
        <v>14030229</v>
      </c>
      <c r="B1887" t="n">
        <v>45430</v>
      </c>
      <c r="C1887" t="inlineStr">
        <is>
          <t>1403/02/29</t>
        </is>
      </c>
    </row>
    <row r="1888">
      <c r="A1888" t="n">
        <v>14030230</v>
      </c>
      <c r="B1888" t="n">
        <v>45431</v>
      </c>
      <c r="C1888" t="inlineStr">
        <is>
          <t>1403/02/30</t>
        </is>
      </c>
    </row>
    <row r="1889">
      <c r="A1889" t="n">
        <v>14030231</v>
      </c>
      <c r="B1889" t="n">
        <v>45432</v>
      </c>
      <c r="C1889" t="inlineStr">
        <is>
          <t>1403/02/31</t>
        </is>
      </c>
    </row>
    <row r="1890">
      <c r="A1890" t="n">
        <v>14030301</v>
      </c>
      <c r="B1890" t="n">
        <v>45433</v>
      </c>
      <c r="C1890" t="inlineStr">
        <is>
          <t>1403/03/01</t>
        </is>
      </c>
    </row>
    <row r="1891">
      <c r="A1891" t="n">
        <v>14030302</v>
      </c>
      <c r="B1891" t="n">
        <v>45434</v>
      </c>
      <c r="C1891" t="inlineStr">
        <is>
          <t>1403/03/02</t>
        </is>
      </c>
    </row>
    <row r="1892">
      <c r="A1892" t="n">
        <v>14030303</v>
      </c>
      <c r="B1892" t="n">
        <v>45435</v>
      </c>
      <c r="C1892" t="inlineStr">
        <is>
          <t>1403/03/03</t>
        </is>
      </c>
    </row>
    <row r="1893">
      <c r="A1893" t="n">
        <v>14030304</v>
      </c>
      <c r="B1893" t="n">
        <v>45436</v>
      </c>
      <c r="C1893" t="inlineStr">
        <is>
          <t>1403/03/04</t>
        </is>
      </c>
    </row>
    <row r="1894">
      <c r="A1894" t="n">
        <v>14030305</v>
      </c>
      <c r="B1894" t="n">
        <v>45437</v>
      </c>
      <c r="C1894" t="inlineStr">
        <is>
          <t>1403/03/05</t>
        </is>
      </c>
    </row>
    <row r="1895">
      <c r="A1895" t="n">
        <v>14030306</v>
      </c>
      <c r="B1895" t="n">
        <v>45438</v>
      </c>
      <c r="C1895" t="inlineStr">
        <is>
          <t>1403/03/06</t>
        </is>
      </c>
    </row>
    <row r="1896">
      <c r="A1896" t="n">
        <v>14030307</v>
      </c>
      <c r="B1896" t="n">
        <v>45439</v>
      </c>
      <c r="C1896" t="inlineStr">
        <is>
          <t>1403/03/07</t>
        </is>
      </c>
    </row>
    <row r="1897">
      <c r="A1897" t="n">
        <v>14030308</v>
      </c>
      <c r="B1897" t="n">
        <v>45440</v>
      </c>
      <c r="C1897" t="inlineStr">
        <is>
          <t>1403/03/08</t>
        </is>
      </c>
    </row>
    <row r="1898">
      <c r="A1898" t="n">
        <v>14030309</v>
      </c>
      <c r="B1898" t="n">
        <v>45441</v>
      </c>
      <c r="C1898" t="inlineStr">
        <is>
          <t>1403/03/09</t>
        </is>
      </c>
    </row>
    <row r="1899">
      <c r="A1899" t="n">
        <v>14030310</v>
      </c>
      <c r="B1899" t="n">
        <v>45442</v>
      </c>
      <c r="C1899" t="inlineStr">
        <is>
          <t>1403/03/10</t>
        </is>
      </c>
    </row>
    <row r="1900">
      <c r="A1900" t="n">
        <v>14030311</v>
      </c>
      <c r="B1900" t="n">
        <v>45443</v>
      </c>
      <c r="C1900" t="inlineStr">
        <is>
          <t>1403/03/11</t>
        </is>
      </c>
    </row>
    <row r="1901">
      <c r="A1901" t="n">
        <v>14030312</v>
      </c>
      <c r="B1901" t="n">
        <v>45444</v>
      </c>
      <c r="C1901" t="inlineStr">
        <is>
          <t>1403/03/12</t>
        </is>
      </c>
    </row>
    <row r="1902">
      <c r="A1902" t="n">
        <v>14030313</v>
      </c>
      <c r="B1902" t="n">
        <v>45445</v>
      </c>
      <c r="C1902" t="inlineStr">
        <is>
          <t>1403/03/13</t>
        </is>
      </c>
    </row>
    <row r="1903">
      <c r="A1903" t="n">
        <v>14030314</v>
      </c>
      <c r="B1903" t="n">
        <v>45446</v>
      </c>
      <c r="C1903" t="inlineStr">
        <is>
          <t>1403/03/14</t>
        </is>
      </c>
    </row>
    <row r="1904">
      <c r="A1904" t="n">
        <v>14030315</v>
      </c>
      <c r="B1904" t="n">
        <v>45447</v>
      </c>
      <c r="C1904" t="inlineStr">
        <is>
          <t>1403/03/15</t>
        </is>
      </c>
    </row>
    <row r="1905">
      <c r="A1905" t="n">
        <v>14030316</v>
      </c>
      <c r="B1905" t="n">
        <v>45448</v>
      </c>
      <c r="C1905" t="inlineStr">
        <is>
          <t>1403/03/16</t>
        </is>
      </c>
    </row>
    <row r="1906">
      <c r="A1906" t="n">
        <v>14030317</v>
      </c>
      <c r="B1906" t="n">
        <v>45449</v>
      </c>
      <c r="C1906" t="inlineStr">
        <is>
          <t>1403/03/17</t>
        </is>
      </c>
    </row>
    <row r="1907">
      <c r="A1907" t="n">
        <v>14030318</v>
      </c>
      <c r="B1907" t="n">
        <v>45450</v>
      </c>
      <c r="C1907" t="inlineStr">
        <is>
          <t>1403/03/18</t>
        </is>
      </c>
    </row>
    <row r="1908">
      <c r="A1908" t="n">
        <v>14030319</v>
      </c>
      <c r="B1908" t="n">
        <v>45451</v>
      </c>
      <c r="C1908" t="inlineStr">
        <is>
          <t>1403/03/19</t>
        </is>
      </c>
    </row>
    <row r="1909">
      <c r="A1909" t="n">
        <v>14030320</v>
      </c>
      <c r="B1909" t="n">
        <v>45452</v>
      </c>
      <c r="C1909" t="inlineStr">
        <is>
          <t>1403/03/20</t>
        </is>
      </c>
    </row>
    <row r="1910">
      <c r="A1910" t="n">
        <v>14030321</v>
      </c>
      <c r="B1910" t="n">
        <v>45453</v>
      </c>
      <c r="C1910" t="inlineStr">
        <is>
          <t>1403/03/21</t>
        </is>
      </c>
    </row>
    <row r="1911">
      <c r="A1911" t="n">
        <v>14030322</v>
      </c>
      <c r="B1911" t="n">
        <v>45454</v>
      </c>
      <c r="C1911" t="inlineStr">
        <is>
          <t>1403/03/22</t>
        </is>
      </c>
    </row>
    <row r="1912">
      <c r="A1912" t="n">
        <v>14030323</v>
      </c>
      <c r="B1912" t="n">
        <v>45455</v>
      </c>
      <c r="C1912" t="inlineStr">
        <is>
          <t>1403/03/23</t>
        </is>
      </c>
    </row>
    <row r="1913">
      <c r="A1913" t="n">
        <v>14030324</v>
      </c>
      <c r="B1913" t="n">
        <v>45456</v>
      </c>
      <c r="C1913" t="inlineStr">
        <is>
          <t>1403/03/24</t>
        </is>
      </c>
    </row>
    <row r="1914">
      <c r="A1914" t="n">
        <v>14030325</v>
      </c>
      <c r="B1914" t="n">
        <v>45457</v>
      </c>
      <c r="C1914" t="inlineStr">
        <is>
          <t>1403/03/25</t>
        </is>
      </c>
    </row>
    <row r="1915">
      <c r="A1915" t="n">
        <v>14030326</v>
      </c>
      <c r="B1915" t="n">
        <v>45458</v>
      </c>
      <c r="C1915" t="inlineStr">
        <is>
          <t>1403/03/26</t>
        </is>
      </c>
    </row>
    <row r="1916">
      <c r="A1916" t="n">
        <v>14030327</v>
      </c>
      <c r="B1916" t="n">
        <v>45459</v>
      </c>
      <c r="C1916" t="inlineStr">
        <is>
          <t>1403/03/27</t>
        </is>
      </c>
    </row>
    <row r="1917">
      <c r="A1917" t="n">
        <v>14030328</v>
      </c>
      <c r="B1917" t="n">
        <v>45460</v>
      </c>
      <c r="C1917" t="inlineStr">
        <is>
          <t>1403/03/28</t>
        </is>
      </c>
    </row>
    <row r="1918">
      <c r="A1918" t="n">
        <v>14030329</v>
      </c>
      <c r="B1918" t="n">
        <v>45461</v>
      </c>
      <c r="C1918" t="inlineStr">
        <is>
          <t>1403/03/29</t>
        </is>
      </c>
    </row>
    <row r="1919">
      <c r="A1919" t="n">
        <v>14030330</v>
      </c>
      <c r="B1919" t="n">
        <v>45462</v>
      </c>
      <c r="C1919" t="inlineStr">
        <is>
          <t>1403/03/30</t>
        </is>
      </c>
    </row>
    <row r="1920">
      <c r="A1920" t="n">
        <v>14030331</v>
      </c>
      <c r="B1920" t="n">
        <v>45463</v>
      </c>
      <c r="C1920" t="inlineStr">
        <is>
          <t>1403/03/31</t>
        </is>
      </c>
    </row>
    <row r="1921">
      <c r="A1921" t="n">
        <v>14030401</v>
      </c>
      <c r="B1921" t="n">
        <v>45464</v>
      </c>
      <c r="C1921" t="inlineStr">
        <is>
          <t>1403/04/01</t>
        </is>
      </c>
    </row>
    <row r="1922">
      <c r="A1922" t="n">
        <v>14030402</v>
      </c>
      <c r="B1922" t="n">
        <v>45465</v>
      </c>
      <c r="C1922" t="inlineStr">
        <is>
          <t>1403/04/02</t>
        </is>
      </c>
    </row>
    <row r="1923">
      <c r="A1923" t="n">
        <v>14030403</v>
      </c>
      <c r="B1923" t="n">
        <v>45466</v>
      </c>
      <c r="C1923" t="inlineStr">
        <is>
          <t>1403/04/03</t>
        </is>
      </c>
    </row>
    <row r="1924">
      <c r="A1924" t="n">
        <v>14030404</v>
      </c>
      <c r="B1924" t="n">
        <v>45467</v>
      </c>
      <c r="C1924" t="inlineStr">
        <is>
          <t>1403/04/04</t>
        </is>
      </c>
    </row>
    <row r="1925">
      <c r="A1925" t="n">
        <v>14030405</v>
      </c>
      <c r="B1925" t="n">
        <v>45468</v>
      </c>
      <c r="C1925" t="inlineStr">
        <is>
          <t>1403/04/05</t>
        </is>
      </c>
    </row>
    <row r="1926">
      <c r="A1926" t="n">
        <v>14030406</v>
      </c>
      <c r="B1926" t="n">
        <v>45469</v>
      </c>
      <c r="C1926" t="inlineStr">
        <is>
          <t>1403/04/06</t>
        </is>
      </c>
    </row>
    <row r="1927">
      <c r="A1927" t="n">
        <v>14030407</v>
      </c>
      <c r="B1927" t="n">
        <v>45470</v>
      </c>
      <c r="C1927" t="inlineStr">
        <is>
          <t>1403/04/07</t>
        </is>
      </c>
    </row>
    <row r="1928">
      <c r="A1928" t="n">
        <v>14030408</v>
      </c>
      <c r="B1928" t="n">
        <v>45471</v>
      </c>
      <c r="C1928" t="inlineStr">
        <is>
          <t>1403/04/08</t>
        </is>
      </c>
    </row>
    <row r="1929">
      <c r="A1929" t="n">
        <v>14030409</v>
      </c>
      <c r="B1929" t="n">
        <v>45472</v>
      </c>
      <c r="C1929" t="inlineStr">
        <is>
          <t>1403/04/09</t>
        </is>
      </c>
    </row>
    <row r="1930">
      <c r="A1930" t="n">
        <v>14030410</v>
      </c>
      <c r="B1930" t="n">
        <v>45473</v>
      </c>
      <c r="C1930" t="inlineStr">
        <is>
          <t>1403/04/10</t>
        </is>
      </c>
    </row>
    <row r="1931">
      <c r="A1931" t="n">
        <v>14030411</v>
      </c>
      <c r="B1931" t="n">
        <v>45474</v>
      </c>
      <c r="C1931" t="inlineStr">
        <is>
          <t>1403/04/11</t>
        </is>
      </c>
    </row>
    <row r="1932">
      <c r="A1932" t="n">
        <v>14030412</v>
      </c>
      <c r="B1932" t="n">
        <v>45475</v>
      </c>
      <c r="C1932" t="inlineStr">
        <is>
          <t>1403/04/12</t>
        </is>
      </c>
    </row>
    <row r="1933">
      <c r="A1933" t="n">
        <v>14030413</v>
      </c>
      <c r="B1933" t="n">
        <v>45476</v>
      </c>
      <c r="C1933" t="inlineStr">
        <is>
          <t>1403/04/13</t>
        </is>
      </c>
    </row>
    <row r="1934">
      <c r="A1934" t="n">
        <v>14030414</v>
      </c>
      <c r="B1934" t="n">
        <v>45477</v>
      </c>
      <c r="C1934" t="inlineStr">
        <is>
          <t>1403/04/14</t>
        </is>
      </c>
    </row>
    <row r="1935">
      <c r="A1935" t="n">
        <v>14030415</v>
      </c>
      <c r="B1935" t="n">
        <v>45478</v>
      </c>
      <c r="C1935" t="inlineStr">
        <is>
          <t>1403/04/15</t>
        </is>
      </c>
    </row>
    <row r="1936">
      <c r="A1936" t="n">
        <v>14030416</v>
      </c>
      <c r="B1936" t="n">
        <v>45479</v>
      </c>
      <c r="C1936" t="inlineStr">
        <is>
          <t>1403/04/16</t>
        </is>
      </c>
    </row>
    <row r="1937">
      <c r="A1937" t="n">
        <v>14030417</v>
      </c>
      <c r="B1937" t="n">
        <v>45480</v>
      </c>
      <c r="C1937" t="inlineStr">
        <is>
          <t>1403/04/17</t>
        </is>
      </c>
    </row>
    <row r="1938">
      <c r="A1938" t="n">
        <v>14030418</v>
      </c>
      <c r="B1938" t="n">
        <v>45481</v>
      </c>
      <c r="C1938" t="inlineStr">
        <is>
          <t>1403/04/18</t>
        </is>
      </c>
    </row>
    <row r="1939">
      <c r="A1939" t="n">
        <v>14030419</v>
      </c>
      <c r="B1939" t="n">
        <v>45482</v>
      </c>
      <c r="C1939" t="inlineStr">
        <is>
          <t>1403/04/19</t>
        </is>
      </c>
    </row>
    <row r="1940">
      <c r="A1940" t="n">
        <v>14030420</v>
      </c>
      <c r="B1940" t="n">
        <v>45483</v>
      </c>
      <c r="C1940" t="inlineStr">
        <is>
          <t>1403/04/20</t>
        </is>
      </c>
    </row>
    <row r="1941">
      <c r="A1941" t="n">
        <v>14030421</v>
      </c>
      <c r="B1941" t="n">
        <v>45484</v>
      </c>
      <c r="C1941" t="inlineStr">
        <is>
          <t>1403/04/21</t>
        </is>
      </c>
    </row>
    <row r="1942">
      <c r="A1942" t="n">
        <v>14030422</v>
      </c>
      <c r="B1942" t="n">
        <v>45485</v>
      </c>
      <c r="C1942" t="inlineStr">
        <is>
          <t>1403/04/22</t>
        </is>
      </c>
    </row>
    <row r="1943">
      <c r="A1943" t="n">
        <v>14030423</v>
      </c>
      <c r="B1943" t="n">
        <v>45486</v>
      </c>
      <c r="C1943" t="inlineStr">
        <is>
          <t>1403/04/23</t>
        </is>
      </c>
    </row>
    <row r="1944">
      <c r="A1944" t="n">
        <v>14030424</v>
      </c>
      <c r="B1944" t="n">
        <v>45487</v>
      </c>
      <c r="C1944" t="inlineStr">
        <is>
          <t>1403/04/24</t>
        </is>
      </c>
    </row>
    <row r="1945">
      <c r="A1945" t="n">
        <v>14030425</v>
      </c>
      <c r="B1945" t="n">
        <v>45488</v>
      </c>
      <c r="C1945" t="inlineStr">
        <is>
          <t>1403/04/25</t>
        </is>
      </c>
    </row>
    <row r="1946">
      <c r="A1946" t="n">
        <v>14030426</v>
      </c>
      <c r="B1946" t="n">
        <v>45489</v>
      </c>
      <c r="C1946" t="inlineStr">
        <is>
          <t>1403/04/26</t>
        </is>
      </c>
    </row>
    <row r="1947">
      <c r="A1947" t="n">
        <v>14030427</v>
      </c>
      <c r="B1947" t="n">
        <v>45490</v>
      </c>
      <c r="C1947" t="inlineStr">
        <is>
          <t>1403/04/27</t>
        </is>
      </c>
    </row>
    <row r="1948">
      <c r="A1948" t="n">
        <v>14030428</v>
      </c>
      <c r="B1948" t="n">
        <v>45491</v>
      </c>
      <c r="C1948" t="inlineStr">
        <is>
          <t>1403/04/28</t>
        </is>
      </c>
    </row>
    <row r="1949">
      <c r="A1949" t="n">
        <v>14030429</v>
      </c>
      <c r="B1949" t="n">
        <v>45492</v>
      </c>
      <c r="C1949" t="inlineStr">
        <is>
          <t>1403/04/29</t>
        </is>
      </c>
    </row>
    <row r="1950">
      <c r="A1950" t="n">
        <v>14030430</v>
      </c>
      <c r="B1950" t="n">
        <v>45493</v>
      </c>
      <c r="C1950" t="inlineStr">
        <is>
          <t>1403/04/30</t>
        </is>
      </c>
    </row>
    <row r="1951">
      <c r="A1951" t="n">
        <v>14030431</v>
      </c>
      <c r="B1951" t="n">
        <v>45494</v>
      </c>
      <c r="C1951" t="inlineStr">
        <is>
          <t>1403/04/31</t>
        </is>
      </c>
    </row>
    <row r="1952">
      <c r="A1952" t="n">
        <v>14030501</v>
      </c>
      <c r="B1952" t="n">
        <v>45495</v>
      </c>
      <c r="C1952" t="inlineStr">
        <is>
          <t>1403/05/01</t>
        </is>
      </c>
    </row>
    <row r="1953">
      <c r="A1953" t="n">
        <v>14030502</v>
      </c>
      <c r="B1953" t="n">
        <v>45496</v>
      </c>
      <c r="C1953" t="inlineStr">
        <is>
          <t>1403/05/02</t>
        </is>
      </c>
    </row>
    <row r="1954">
      <c r="A1954" t="n">
        <v>14030503</v>
      </c>
      <c r="B1954" t="n">
        <v>45497</v>
      </c>
      <c r="C1954" t="inlineStr">
        <is>
          <t>1403/05/03</t>
        </is>
      </c>
    </row>
    <row r="1955">
      <c r="A1955" t="n">
        <v>14030504</v>
      </c>
      <c r="B1955" t="n">
        <v>45498</v>
      </c>
      <c r="C1955" t="inlineStr">
        <is>
          <t>1403/05/04</t>
        </is>
      </c>
    </row>
    <row r="1956">
      <c r="A1956" t="n">
        <v>14030505</v>
      </c>
      <c r="B1956" t="n">
        <v>45499</v>
      </c>
      <c r="C1956" t="inlineStr">
        <is>
          <t>1403/05/05</t>
        </is>
      </c>
    </row>
    <row r="1957">
      <c r="A1957" t="n">
        <v>14030506</v>
      </c>
      <c r="B1957" t="n">
        <v>45500</v>
      </c>
      <c r="C1957" t="inlineStr">
        <is>
          <t>1403/05/06</t>
        </is>
      </c>
    </row>
    <row r="1958">
      <c r="A1958" t="n">
        <v>14030507</v>
      </c>
      <c r="B1958" t="n">
        <v>45501</v>
      </c>
      <c r="C1958" t="inlineStr">
        <is>
          <t>1403/05/07</t>
        </is>
      </c>
    </row>
    <row r="1959">
      <c r="A1959" t="n">
        <v>14030508</v>
      </c>
      <c r="B1959" t="n">
        <v>45502</v>
      </c>
      <c r="C1959" t="inlineStr">
        <is>
          <t>1403/05/08</t>
        </is>
      </c>
    </row>
    <row r="1960">
      <c r="A1960" t="n">
        <v>14030509</v>
      </c>
      <c r="B1960" t="n">
        <v>45503</v>
      </c>
      <c r="C1960" t="inlineStr">
        <is>
          <t>1403/05/09</t>
        </is>
      </c>
    </row>
    <row r="1961">
      <c r="A1961" t="n">
        <v>14030510</v>
      </c>
      <c r="B1961" t="n">
        <v>45504</v>
      </c>
      <c r="C1961" t="inlineStr">
        <is>
          <t>1403/05/10</t>
        </is>
      </c>
    </row>
    <row r="1962">
      <c r="A1962" t="n">
        <v>14030511</v>
      </c>
      <c r="B1962" t="n">
        <v>45505</v>
      </c>
      <c r="C1962" t="inlineStr">
        <is>
          <t>1403/05/11</t>
        </is>
      </c>
    </row>
    <row r="1963">
      <c r="A1963" t="n">
        <v>14030512</v>
      </c>
      <c r="B1963" t="n">
        <v>45506</v>
      </c>
      <c r="C1963" t="inlineStr">
        <is>
          <t>1403/05/12</t>
        </is>
      </c>
    </row>
    <row r="1964">
      <c r="A1964" t="n">
        <v>14030513</v>
      </c>
      <c r="B1964" t="n">
        <v>45507</v>
      </c>
      <c r="C1964" t="inlineStr">
        <is>
          <t>1403/05/13</t>
        </is>
      </c>
    </row>
    <row r="1965">
      <c r="A1965" t="n">
        <v>14030514</v>
      </c>
      <c r="B1965" t="n">
        <v>45508</v>
      </c>
      <c r="C1965" t="inlineStr">
        <is>
          <t>1403/05/14</t>
        </is>
      </c>
    </row>
    <row r="1966">
      <c r="A1966" t="n">
        <v>14030515</v>
      </c>
      <c r="B1966" t="n">
        <v>45509</v>
      </c>
      <c r="C1966" t="inlineStr">
        <is>
          <t>1403/05/15</t>
        </is>
      </c>
    </row>
    <row r="1967">
      <c r="A1967" t="n">
        <v>14030516</v>
      </c>
      <c r="B1967" t="n">
        <v>45510</v>
      </c>
      <c r="C1967" t="inlineStr">
        <is>
          <t>1403/05/16</t>
        </is>
      </c>
    </row>
    <row r="1968">
      <c r="A1968" t="n">
        <v>14030517</v>
      </c>
      <c r="B1968" t="n">
        <v>45511</v>
      </c>
      <c r="C1968" t="inlineStr">
        <is>
          <t>1403/05/17</t>
        </is>
      </c>
    </row>
    <row r="1969">
      <c r="A1969" t="n">
        <v>14030518</v>
      </c>
      <c r="B1969" t="n">
        <v>45512</v>
      </c>
      <c r="C1969" t="inlineStr">
        <is>
          <t>1403/05/18</t>
        </is>
      </c>
    </row>
    <row r="1970">
      <c r="A1970" t="n">
        <v>14030519</v>
      </c>
      <c r="B1970" t="n">
        <v>45513</v>
      </c>
      <c r="C1970" t="inlineStr">
        <is>
          <t>1403/05/19</t>
        </is>
      </c>
    </row>
    <row r="1971">
      <c r="A1971" t="n">
        <v>14030520</v>
      </c>
      <c r="B1971" t="n">
        <v>45514</v>
      </c>
      <c r="C1971" t="inlineStr">
        <is>
          <t>1403/05/20</t>
        </is>
      </c>
    </row>
    <row r="1972">
      <c r="A1972" t="n">
        <v>14030521</v>
      </c>
      <c r="B1972" t="n">
        <v>45515</v>
      </c>
      <c r="C1972" t="inlineStr">
        <is>
          <t>1403/05/21</t>
        </is>
      </c>
    </row>
    <row r="1973">
      <c r="A1973" t="n">
        <v>14030522</v>
      </c>
      <c r="B1973" t="n">
        <v>45516</v>
      </c>
      <c r="C1973" t="inlineStr">
        <is>
          <t>1403/05/22</t>
        </is>
      </c>
    </row>
    <row r="1974">
      <c r="A1974" t="n">
        <v>14030523</v>
      </c>
      <c r="B1974" t="n">
        <v>45517</v>
      </c>
      <c r="C1974" t="inlineStr">
        <is>
          <t>1403/05/23</t>
        </is>
      </c>
    </row>
    <row r="1975">
      <c r="A1975" t="n">
        <v>14030524</v>
      </c>
      <c r="B1975" t="n">
        <v>45518</v>
      </c>
      <c r="C1975" t="inlineStr">
        <is>
          <t>1403/05/24</t>
        </is>
      </c>
    </row>
    <row r="1976">
      <c r="A1976" t="n">
        <v>14030525</v>
      </c>
      <c r="B1976" t="n">
        <v>45519</v>
      </c>
      <c r="C1976" t="inlineStr">
        <is>
          <t>1403/05/25</t>
        </is>
      </c>
    </row>
    <row r="1977">
      <c r="A1977" t="n">
        <v>14030526</v>
      </c>
      <c r="B1977" t="n">
        <v>45520</v>
      </c>
      <c r="C1977" t="inlineStr">
        <is>
          <t>1403/05/26</t>
        </is>
      </c>
    </row>
    <row r="1978">
      <c r="A1978" t="n">
        <v>14030527</v>
      </c>
      <c r="B1978" t="n">
        <v>45521</v>
      </c>
      <c r="C1978" t="inlineStr">
        <is>
          <t>1403/05/27</t>
        </is>
      </c>
    </row>
    <row r="1979">
      <c r="A1979" t="n">
        <v>14030528</v>
      </c>
      <c r="B1979" t="n">
        <v>45522</v>
      </c>
      <c r="C1979" t="inlineStr">
        <is>
          <t>1403/05/28</t>
        </is>
      </c>
    </row>
    <row r="1980">
      <c r="A1980" t="n">
        <v>14030529</v>
      </c>
      <c r="B1980" t="n">
        <v>45523</v>
      </c>
      <c r="C1980" t="inlineStr">
        <is>
          <t>1403/05/29</t>
        </is>
      </c>
    </row>
    <row r="1981">
      <c r="A1981" t="n">
        <v>14030530</v>
      </c>
      <c r="B1981" t="n">
        <v>45524</v>
      </c>
      <c r="C1981" t="inlineStr">
        <is>
          <t>1403/05/30</t>
        </is>
      </c>
    </row>
    <row r="1982">
      <c r="A1982" t="n">
        <v>14030531</v>
      </c>
      <c r="B1982" t="n">
        <v>45525</v>
      </c>
      <c r="C1982" t="inlineStr">
        <is>
          <t>1403/05/31</t>
        </is>
      </c>
    </row>
    <row r="1983">
      <c r="A1983" t="n">
        <v>14030601</v>
      </c>
      <c r="B1983" t="n">
        <v>45526</v>
      </c>
      <c r="C1983" t="inlineStr">
        <is>
          <t>1403/06/01</t>
        </is>
      </c>
    </row>
    <row r="1984">
      <c r="A1984" t="n">
        <v>14030602</v>
      </c>
      <c r="B1984" t="n">
        <v>45527</v>
      </c>
      <c r="C1984" t="inlineStr">
        <is>
          <t>1403/06/02</t>
        </is>
      </c>
    </row>
    <row r="1985">
      <c r="A1985" t="n">
        <v>14030603</v>
      </c>
      <c r="B1985" t="n">
        <v>45528</v>
      </c>
      <c r="C1985" t="inlineStr">
        <is>
          <t>1403/06/03</t>
        </is>
      </c>
    </row>
    <row r="1986">
      <c r="A1986" t="n">
        <v>14030604</v>
      </c>
      <c r="B1986" t="n">
        <v>45529</v>
      </c>
      <c r="C1986" t="inlineStr">
        <is>
          <t>1403/06/04</t>
        </is>
      </c>
    </row>
    <row r="1987">
      <c r="A1987" t="n">
        <v>14030605</v>
      </c>
      <c r="B1987" t="n">
        <v>45530</v>
      </c>
      <c r="C1987" t="inlineStr">
        <is>
          <t>1403/06/05</t>
        </is>
      </c>
    </row>
    <row r="1988">
      <c r="A1988" t="n">
        <v>14030606</v>
      </c>
      <c r="B1988" t="n">
        <v>45531</v>
      </c>
      <c r="C1988" t="inlineStr">
        <is>
          <t>1403/06/06</t>
        </is>
      </c>
    </row>
    <row r="1989">
      <c r="A1989" t="n">
        <v>14030607</v>
      </c>
      <c r="B1989" t="n">
        <v>45532</v>
      </c>
      <c r="C1989" t="inlineStr">
        <is>
          <t>1403/06/07</t>
        </is>
      </c>
    </row>
    <row r="1990">
      <c r="A1990" t="n">
        <v>14030608</v>
      </c>
      <c r="B1990" t="n">
        <v>45533</v>
      </c>
      <c r="C1990" t="inlineStr">
        <is>
          <t>1403/06/08</t>
        </is>
      </c>
    </row>
    <row r="1991">
      <c r="A1991" t="n">
        <v>14030609</v>
      </c>
      <c r="B1991" t="n">
        <v>45534</v>
      </c>
      <c r="C1991" t="inlineStr">
        <is>
          <t>1403/06/09</t>
        </is>
      </c>
    </row>
    <row r="1992">
      <c r="A1992" t="n">
        <v>14030610</v>
      </c>
      <c r="B1992" t="n">
        <v>45535</v>
      </c>
      <c r="C1992" t="inlineStr">
        <is>
          <t>1403/06/10</t>
        </is>
      </c>
    </row>
    <row r="1993">
      <c r="A1993" t="n">
        <v>14030611</v>
      </c>
      <c r="B1993" t="n">
        <v>45536</v>
      </c>
      <c r="C1993" t="inlineStr">
        <is>
          <t>1403/06/11</t>
        </is>
      </c>
    </row>
    <row r="1994">
      <c r="A1994" t="n">
        <v>14030612</v>
      </c>
      <c r="B1994" t="n">
        <v>45537</v>
      </c>
      <c r="C1994" t="inlineStr">
        <is>
          <t>1403/06/12</t>
        </is>
      </c>
    </row>
    <row r="1995">
      <c r="A1995" t="n">
        <v>14030613</v>
      </c>
      <c r="B1995" t="n">
        <v>45538</v>
      </c>
      <c r="C1995" t="inlineStr">
        <is>
          <t>1403/06/13</t>
        </is>
      </c>
    </row>
    <row r="1996">
      <c r="A1996" t="n">
        <v>14030614</v>
      </c>
      <c r="B1996" t="n">
        <v>45539</v>
      </c>
      <c r="C1996" t="inlineStr">
        <is>
          <t>1403/06/14</t>
        </is>
      </c>
    </row>
    <row r="1997">
      <c r="A1997" t="n">
        <v>14030615</v>
      </c>
      <c r="B1997" t="n">
        <v>45540</v>
      </c>
      <c r="C1997" t="inlineStr">
        <is>
          <t>1403/06/15</t>
        </is>
      </c>
    </row>
    <row r="1998">
      <c r="A1998" t="n">
        <v>14030616</v>
      </c>
      <c r="B1998" t="n">
        <v>45541</v>
      </c>
      <c r="C1998" t="inlineStr">
        <is>
          <t>1403/06/16</t>
        </is>
      </c>
    </row>
    <row r="1999">
      <c r="A1999" t="n">
        <v>14030617</v>
      </c>
      <c r="B1999" t="n">
        <v>45542</v>
      </c>
      <c r="C1999" t="inlineStr">
        <is>
          <t>1403/06/17</t>
        </is>
      </c>
    </row>
    <row r="2000">
      <c r="A2000" t="n">
        <v>14030618</v>
      </c>
      <c r="B2000" t="n">
        <v>45543</v>
      </c>
      <c r="C2000" t="inlineStr">
        <is>
          <t>1403/06/18</t>
        </is>
      </c>
    </row>
    <row r="2001">
      <c r="A2001" t="n">
        <v>14030619</v>
      </c>
      <c r="B2001" t="n">
        <v>45544</v>
      </c>
      <c r="C2001" t="inlineStr">
        <is>
          <t>1403/06/19</t>
        </is>
      </c>
    </row>
    <row r="2002">
      <c r="A2002" t="n">
        <v>14030620</v>
      </c>
      <c r="B2002" t="n">
        <v>45545</v>
      </c>
      <c r="C2002" t="inlineStr">
        <is>
          <t>1403/06/20</t>
        </is>
      </c>
    </row>
    <row r="2003">
      <c r="A2003" t="n">
        <v>14030621</v>
      </c>
      <c r="B2003" t="n">
        <v>45546</v>
      </c>
      <c r="C2003" t="inlineStr">
        <is>
          <t>1403/06/21</t>
        </is>
      </c>
    </row>
    <row r="2004">
      <c r="A2004" t="n">
        <v>14030622</v>
      </c>
      <c r="B2004" t="n">
        <v>45547</v>
      </c>
      <c r="C2004" t="inlineStr">
        <is>
          <t>1403/06/22</t>
        </is>
      </c>
    </row>
    <row r="2005">
      <c r="A2005" t="n">
        <v>14030623</v>
      </c>
      <c r="B2005" t="n">
        <v>45548</v>
      </c>
      <c r="C2005" t="inlineStr">
        <is>
          <t>1403/06/23</t>
        </is>
      </c>
    </row>
    <row r="2006">
      <c r="A2006" t="n">
        <v>14030624</v>
      </c>
      <c r="B2006" t="n">
        <v>45549</v>
      </c>
      <c r="C2006" t="inlineStr">
        <is>
          <t>1403/06/24</t>
        </is>
      </c>
    </row>
    <row r="2007">
      <c r="A2007" t="n">
        <v>14030625</v>
      </c>
      <c r="B2007" t="n">
        <v>45550</v>
      </c>
      <c r="C2007" t="inlineStr">
        <is>
          <t>1403/06/25</t>
        </is>
      </c>
    </row>
    <row r="2008">
      <c r="A2008" t="n">
        <v>14030626</v>
      </c>
      <c r="B2008" t="n">
        <v>45551</v>
      </c>
      <c r="C2008" t="inlineStr">
        <is>
          <t>1403/06/26</t>
        </is>
      </c>
    </row>
    <row r="2009">
      <c r="A2009" t="n">
        <v>14030627</v>
      </c>
      <c r="B2009" t="n">
        <v>45552</v>
      </c>
      <c r="C2009" t="inlineStr">
        <is>
          <t>1403/06/27</t>
        </is>
      </c>
    </row>
    <row r="2010">
      <c r="A2010" t="n">
        <v>14030628</v>
      </c>
      <c r="B2010" t="n">
        <v>45553</v>
      </c>
      <c r="C2010" t="inlineStr">
        <is>
          <t>1403/06/28</t>
        </is>
      </c>
    </row>
    <row r="2011">
      <c r="A2011" t="n">
        <v>14030629</v>
      </c>
      <c r="B2011" t="n">
        <v>45554</v>
      </c>
      <c r="C2011" t="inlineStr">
        <is>
          <t>1403/06/29</t>
        </is>
      </c>
    </row>
    <row r="2012">
      <c r="A2012" t="n">
        <v>14030630</v>
      </c>
      <c r="B2012" t="n">
        <v>45555</v>
      </c>
      <c r="C2012" t="inlineStr">
        <is>
          <t>1403/06/30</t>
        </is>
      </c>
    </row>
    <row r="2013">
      <c r="A2013" t="n">
        <v>14030631</v>
      </c>
      <c r="B2013" t="n">
        <v>45556</v>
      </c>
      <c r="C2013" t="inlineStr">
        <is>
          <t>1403/06/31</t>
        </is>
      </c>
    </row>
    <row r="2014">
      <c r="A2014" t="n">
        <v>14030701</v>
      </c>
      <c r="B2014" t="n">
        <v>45557</v>
      </c>
      <c r="C2014" t="inlineStr">
        <is>
          <t>1403/07/01</t>
        </is>
      </c>
    </row>
    <row r="2015">
      <c r="A2015" t="n">
        <v>14030702</v>
      </c>
      <c r="B2015" t="n">
        <v>45558</v>
      </c>
      <c r="C2015" t="inlineStr">
        <is>
          <t>1403/07/02</t>
        </is>
      </c>
    </row>
    <row r="2016">
      <c r="A2016" t="n">
        <v>14030703</v>
      </c>
      <c r="B2016" t="n">
        <v>45559</v>
      </c>
      <c r="C2016" t="inlineStr">
        <is>
          <t>1403/07/03</t>
        </is>
      </c>
    </row>
    <row r="2017">
      <c r="A2017" t="n">
        <v>14030704</v>
      </c>
      <c r="B2017" t="n">
        <v>45560</v>
      </c>
      <c r="C2017" t="inlineStr">
        <is>
          <t>1403/07/04</t>
        </is>
      </c>
    </row>
    <row r="2018">
      <c r="A2018" t="n">
        <v>14030705</v>
      </c>
      <c r="B2018" t="n">
        <v>45561</v>
      </c>
      <c r="C2018" t="inlineStr">
        <is>
          <t>1403/07/05</t>
        </is>
      </c>
    </row>
    <row r="2019">
      <c r="A2019" t="n">
        <v>14030706</v>
      </c>
      <c r="B2019" t="n">
        <v>45562</v>
      </c>
      <c r="C2019" t="inlineStr">
        <is>
          <t>1403/07/06</t>
        </is>
      </c>
    </row>
    <row r="2020">
      <c r="A2020" t="n">
        <v>14030707</v>
      </c>
      <c r="B2020" t="n">
        <v>45563</v>
      </c>
      <c r="C2020" t="inlineStr">
        <is>
          <t>1403/07/07</t>
        </is>
      </c>
    </row>
    <row r="2021">
      <c r="A2021" t="n">
        <v>14030708</v>
      </c>
      <c r="B2021" t="n">
        <v>45564</v>
      </c>
      <c r="C2021" t="inlineStr">
        <is>
          <t>1403/07/08</t>
        </is>
      </c>
    </row>
    <row r="2022">
      <c r="A2022" t="n">
        <v>14030709</v>
      </c>
      <c r="B2022" t="n">
        <v>45565</v>
      </c>
      <c r="C2022" t="inlineStr">
        <is>
          <t>1403/07/09</t>
        </is>
      </c>
    </row>
    <row r="2023">
      <c r="A2023" t="n">
        <v>14030710</v>
      </c>
      <c r="B2023" t="n">
        <v>45566</v>
      </c>
      <c r="C2023" t="inlineStr">
        <is>
          <t>1403/07/10</t>
        </is>
      </c>
    </row>
    <row r="2024">
      <c r="A2024" t="n">
        <v>14030711</v>
      </c>
      <c r="B2024" t="n">
        <v>45567</v>
      </c>
      <c r="C2024" t="inlineStr">
        <is>
          <t>1403/07/11</t>
        </is>
      </c>
    </row>
    <row r="2025">
      <c r="A2025" t="n">
        <v>14030712</v>
      </c>
      <c r="B2025" t="n">
        <v>45568</v>
      </c>
      <c r="C2025" t="inlineStr">
        <is>
          <t>1403/07/12</t>
        </is>
      </c>
    </row>
    <row r="2026">
      <c r="A2026" t="n">
        <v>14030713</v>
      </c>
      <c r="B2026" t="n">
        <v>45569</v>
      </c>
      <c r="C2026" t="inlineStr">
        <is>
          <t>1403/07/13</t>
        </is>
      </c>
    </row>
    <row r="2027">
      <c r="A2027" t="n">
        <v>14030714</v>
      </c>
      <c r="B2027" t="n">
        <v>45570</v>
      </c>
      <c r="C2027" t="inlineStr">
        <is>
          <t>1403/07/14</t>
        </is>
      </c>
    </row>
    <row r="2028">
      <c r="A2028" t="n">
        <v>14030715</v>
      </c>
      <c r="B2028" t="n">
        <v>45571</v>
      </c>
      <c r="C2028" t="inlineStr">
        <is>
          <t>1403/07/15</t>
        </is>
      </c>
    </row>
    <row r="2029">
      <c r="A2029" t="n">
        <v>14030716</v>
      </c>
      <c r="B2029" t="n">
        <v>45572</v>
      </c>
      <c r="C2029" t="inlineStr">
        <is>
          <t>1403/07/16</t>
        </is>
      </c>
    </row>
    <row r="2030">
      <c r="A2030" t="n">
        <v>14030717</v>
      </c>
      <c r="B2030" t="n">
        <v>45573</v>
      </c>
      <c r="C2030" t="inlineStr">
        <is>
          <t>1403/07/17</t>
        </is>
      </c>
    </row>
    <row r="2031">
      <c r="A2031" t="n">
        <v>14030718</v>
      </c>
      <c r="B2031" t="n">
        <v>45574</v>
      </c>
      <c r="C2031" t="inlineStr">
        <is>
          <t>1403/07/18</t>
        </is>
      </c>
    </row>
    <row r="2032">
      <c r="A2032" t="n">
        <v>14030719</v>
      </c>
      <c r="B2032" t="n">
        <v>45575</v>
      </c>
      <c r="C2032" t="inlineStr">
        <is>
          <t>1403/07/19</t>
        </is>
      </c>
    </row>
    <row r="2033">
      <c r="A2033" t="n">
        <v>14030720</v>
      </c>
      <c r="B2033" t="n">
        <v>45576</v>
      </c>
      <c r="C2033" t="inlineStr">
        <is>
          <t>1403/07/20</t>
        </is>
      </c>
    </row>
    <row r="2034">
      <c r="A2034" t="n">
        <v>14030721</v>
      </c>
      <c r="B2034" t="n">
        <v>45577</v>
      </c>
      <c r="C2034" t="inlineStr">
        <is>
          <t>1403/07/21</t>
        </is>
      </c>
    </row>
    <row r="2035">
      <c r="A2035" t="n">
        <v>14030722</v>
      </c>
      <c r="B2035" t="n">
        <v>45578</v>
      </c>
      <c r="C2035" t="inlineStr">
        <is>
          <t>1403/07/22</t>
        </is>
      </c>
    </row>
    <row r="2036">
      <c r="A2036" t="n">
        <v>14030723</v>
      </c>
      <c r="B2036" t="n">
        <v>45579</v>
      </c>
      <c r="C2036" t="inlineStr">
        <is>
          <t>1403/07/23</t>
        </is>
      </c>
    </row>
    <row r="2037">
      <c r="A2037" t="n">
        <v>14030724</v>
      </c>
      <c r="B2037" t="n">
        <v>45580</v>
      </c>
      <c r="C2037" t="inlineStr">
        <is>
          <t>1403/07/24</t>
        </is>
      </c>
    </row>
    <row r="2038">
      <c r="A2038" t="n">
        <v>14030725</v>
      </c>
      <c r="B2038" t="n">
        <v>45581</v>
      </c>
      <c r="C2038" t="inlineStr">
        <is>
          <t>1403/07/25</t>
        </is>
      </c>
    </row>
    <row r="2039">
      <c r="A2039" t="n">
        <v>14030726</v>
      </c>
      <c r="B2039" t="n">
        <v>45582</v>
      </c>
      <c r="C2039" t="inlineStr">
        <is>
          <t>1403/07/26</t>
        </is>
      </c>
    </row>
    <row r="2040">
      <c r="A2040" t="n">
        <v>14030727</v>
      </c>
      <c r="B2040" t="n">
        <v>45583</v>
      </c>
      <c r="C2040" t="inlineStr">
        <is>
          <t>1403/07/27</t>
        </is>
      </c>
    </row>
    <row r="2041">
      <c r="A2041" t="n">
        <v>14030728</v>
      </c>
      <c r="B2041" t="n">
        <v>45584</v>
      </c>
      <c r="C2041" t="inlineStr">
        <is>
          <t>1403/07/28</t>
        </is>
      </c>
    </row>
    <row r="2042">
      <c r="A2042" t="n">
        <v>14030729</v>
      </c>
      <c r="B2042" t="n">
        <v>45585</v>
      </c>
      <c r="C2042" t="inlineStr">
        <is>
          <t>1403/07/29</t>
        </is>
      </c>
    </row>
    <row r="2043">
      <c r="A2043" t="n">
        <v>14030730</v>
      </c>
      <c r="B2043" t="n">
        <v>45586</v>
      </c>
      <c r="C2043" t="inlineStr">
        <is>
          <t>1403/07/30</t>
        </is>
      </c>
    </row>
    <row r="2044">
      <c r="A2044" t="n">
        <v>14030801</v>
      </c>
      <c r="B2044" t="n">
        <v>45587</v>
      </c>
      <c r="C2044" t="inlineStr">
        <is>
          <t>1403/08/01</t>
        </is>
      </c>
    </row>
    <row r="2045">
      <c r="A2045" t="n">
        <v>14030802</v>
      </c>
      <c r="B2045" t="n">
        <v>45588</v>
      </c>
      <c r="C2045" t="inlineStr">
        <is>
          <t>1403/08/02</t>
        </is>
      </c>
    </row>
    <row r="2046">
      <c r="A2046" t="n">
        <v>14030803</v>
      </c>
      <c r="B2046" t="n">
        <v>45589</v>
      </c>
      <c r="C2046" t="inlineStr">
        <is>
          <t>1403/08/03</t>
        </is>
      </c>
    </row>
    <row r="2047">
      <c r="A2047" t="n">
        <v>14030804</v>
      </c>
      <c r="B2047" t="n">
        <v>45590</v>
      </c>
      <c r="C2047" t="inlineStr">
        <is>
          <t>1403/08/04</t>
        </is>
      </c>
    </row>
    <row r="2048">
      <c r="A2048" t="n">
        <v>14030805</v>
      </c>
      <c r="B2048" t="n">
        <v>45591</v>
      </c>
      <c r="C2048" t="inlineStr">
        <is>
          <t>1403/08/05</t>
        </is>
      </c>
    </row>
    <row r="2049">
      <c r="A2049" t="n">
        <v>14030806</v>
      </c>
      <c r="B2049" t="n">
        <v>45592</v>
      </c>
      <c r="C2049" t="inlineStr">
        <is>
          <t>1403/08/06</t>
        </is>
      </c>
    </row>
    <row r="2050">
      <c r="A2050" t="n">
        <v>14030807</v>
      </c>
      <c r="B2050" t="n">
        <v>45593</v>
      </c>
      <c r="C2050" t="inlineStr">
        <is>
          <t>1403/08/07</t>
        </is>
      </c>
    </row>
    <row r="2051">
      <c r="A2051" t="n">
        <v>14030808</v>
      </c>
      <c r="B2051" t="n">
        <v>45594</v>
      </c>
      <c r="C2051" t="inlineStr">
        <is>
          <t>1403/08/08</t>
        </is>
      </c>
    </row>
    <row r="2052">
      <c r="A2052" t="n">
        <v>14030809</v>
      </c>
      <c r="B2052" t="n">
        <v>45595</v>
      </c>
      <c r="C2052" t="inlineStr">
        <is>
          <t>1403/08/09</t>
        </is>
      </c>
    </row>
    <row r="2053">
      <c r="A2053" t="n">
        <v>14030810</v>
      </c>
      <c r="B2053" t="n">
        <v>45596</v>
      </c>
      <c r="C2053" t="inlineStr">
        <is>
          <t>1403/08/10</t>
        </is>
      </c>
    </row>
    <row r="2054">
      <c r="A2054" t="n">
        <v>14030811</v>
      </c>
      <c r="B2054" t="n">
        <v>45597</v>
      </c>
      <c r="C2054" t="inlineStr">
        <is>
          <t>1403/08/11</t>
        </is>
      </c>
    </row>
    <row r="2055">
      <c r="A2055" t="n">
        <v>14030812</v>
      </c>
      <c r="B2055" t="n">
        <v>45598</v>
      </c>
      <c r="C2055" t="inlineStr">
        <is>
          <t>1403/08/12</t>
        </is>
      </c>
    </row>
    <row r="2056">
      <c r="A2056" t="n">
        <v>14030813</v>
      </c>
      <c r="B2056" t="n">
        <v>45599</v>
      </c>
      <c r="C2056" t="inlineStr">
        <is>
          <t>1403/08/13</t>
        </is>
      </c>
    </row>
    <row r="2057">
      <c r="A2057" t="n">
        <v>14030814</v>
      </c>
      <c r="B2057" t="n">
        <v>45600</v>
      </c>
      <c r="C2057" t="inlineStr">
        <is>
          <t>1403/08/14</t>
        </is>
      </c>
    </row>
    <row r="2058">
      <c r="A2058" t="n">
        <v>14030815</v>
      </c>
      <c r="B2058" t="n">
        <v>45601</v>
      </c>
      <c r="C2058" t="inlineStr">
        <is>
          <t>1403/08/15</t>
        </is>
      </c>
    </row>
    <row r="2059">
      <c r="A2059" t="n">
        <v>14030816</v>
      </c>
      <c r="B2059" t="n">
        <v>45602</v>
      </c>
      <c r="C2059" t="inlineStr">
        <is>
          <t>1403/08/16</t>
        </is>
      </c>
    </row>
    <row r="2060">
      <c r="A2060" t="n">
        <v>14030817</v>
      </c>
      <c r="B2060" t="n">
        <v>45603</v>
      </c>
      <c r="C2060" t="inlineStr">
        <is>
          <t>1403/08/17</t>
        </is>
      </c>
    </row>
    <row r="2061">
      <c r="A2061" t="n">
        <v>14030818</v>
      </c>
      <c r="B2061" t="n">
        <v>45604</v>
      </c>
      <c r="C2061" t="inlineStr">
        <is>
          <t>1403/08/18</t>
        </is>
      </c>
    </row>
    <row r="2062">
      <c r="A2062" t="n">
        <v>14030819</v>
      </c>
      <c r="B2062" t="n">
        <v>45605</v>
      </c>
      <c r="C2062" t="inlineStr">
        <is>
          <t>1403/08/19</t>
        </is>
      </c>
    </row>
    <row r="2063">
      <c r="A2063" t="n">
        <v>14030820</v>
      </c>
      <c r="B2063" t="n">
        <v>45606</v>
      </c>
      <c r="C2063" t="inlineStr">
        <is>
          <t>1403/08/20</t>
        </is>
      </c>
    </row>
    <row r="2064">
      <c r="A2064" t="n">
        <v>14030821</v>
      </c>
      <c r="B2064" t="n">
        <v>45607</v>
      </c>
      <c r="C2064" t="inlineStr">
        <is>
          <t>1403/08/21</t>
        </is>
      </c>
    </row>
    <row r="2065">
      <c r="A2065" t="n">
        <v>14030822</v>
      </c>
      <c r="B2065" t="n">
        <v>45608</v>
      </c>
      <c r="C2065" t="inlineStr">
        <is>
          <t>1403/08/22</t>
        </is>
      </c>
    </row>
    <row r="2066">
      <c r="A2066" t="n">
        <v>14030823</v>
      </c>
      <c r="B2066" t="n">
        <v>45609</v>
      </c>
      <c r="C2066" t="inlineStr">
        <is>
          <t>1403/08/23</t>
        </is>
      </c>
    </row>
    <row r="2067">
      <c r="A2067" t="n">
        <v>14030824</v>
      </c>
      <c r="B2067" t="n">
        <v>45610</v>
      </c>
      <c r="C2067" t="inlineStr">
        <is>
          <t>1403/08/24</t>
        </is>
      </c>
    </row>
    <row r="2068">
      <c r="A2068" t="n">
        <v>14030825</v>
      </c>
      <c r="B2068" t="n">
        <v>45611</v>
      </c>
      <c r="C2068" t="inlineStr">
        <is>
          <t>1403/08/25</t>
        </is>
      </c>
    </row>
    <row r="2069">
      <c r="A2069" t="n">
        <v>14030826</v>
      </c>
      <c r="B2069" t="n">
        <v>45612</v>
      </c>
      <c r="C2069" t="inlineStr">
        <is>
          <t>1403/08/26</t>
        </is>
      </c>
    </row>
    <row r="2070">
      <c r="A2070" t="n">
        <v>14030827</v>
      </c>
      <c r="B2070" t="n">
        <v>45613</v>
      </c>
      <c r="C2070" t="inlineStr">
        <is>
          <t>1403/08/27</t>
        </is>
      </c>
    </row>
    <row r="2071">
      <c r="A2071" t="n">
        <v>14030828</v>
      </c>
      <c r="B2071" t="n">
        <v>45614</v>
      </c>
      <c r="C2071" t="inlineStr">
        <is>
          <t>1403/08/28</t>
        </is>
      </c>
    </row>
    <row r="2072">
      <c r="A2072" t="n">
        <v>14030829</v>
      </c>
      <c r="B2072" t="n">
        <v>45615</v>
      </c>
      <c r="C2072" t="inlineStr">
        <is>
          <t>1403/08/29</t>
        </is>
      </c>
    </row>
    <row r="2073">
      <c r="A2073" t="n">
        <v>14030830</v>
      </c>
      <c r="B2073" t="n">
        <v>45616</v>
      </c>
      <c r="C2073" t="inlineStr">
        <is>
          <t>1403/08/30</t>
        </is>
      </c>
    </row>
    <row r="2074">
      <c r="A2074" t="n">
        <v>14030901</v>
      </c>
      <c r="B2074" t="n">
        <v>45617</v>
      </c>
      <c r="C2074" t="inlineStr">
        <is>
          <t>1403/09/01</t>
        </is>
      </c>
    </row>
    <row r="2075">
      <c r="A2075" t="n">
        <v>14030902</v>
      </c>
      <c r="B2075" t="n">
        <v>45618</v>
      </c>
      <c r="C2075" t="inlineStr">
        <is>
          <t>1403/09/02</t>
        </is>
      </c>
    </row>
    <row r="2076">
      <c r="A2076" t="n">
        <v>14030903</v>
      </c>
      <c r="B2076" t="n">
        <v>45619</v>
      </c>
      <c r="C2076" t="inlineStr">
        <is>
          <t>1403/09/03</t>
        </is>
      </c>
    </row>
    <row r="2077">
      <c r="A2077" t="n">
        <v>14030904</v>
      </c>
      <c r="B2077" t="n">
        <v>45620</v>
      </c>
      <c r="C2077" t="inlineStr">
        <is>
          <t>1403/09/04</t>
        </is>
      </c>
    </row>
    <row r="2078">
      <c r="A2078" t="n">
        <v>14030905</v>
      </c>
      <c r="B2078" t="n">
        <v>45621</v>
      </c>
      <c r="C2078" t="inlineStr">
        <is>
          <t>1403/09/05</t>
        </is>
      </c>
    </row>
    <row r="2079">
      <c r="A2079" t="n">
        <v>14030906</v>
      </c>
      <c r="B2079" t="n">
        <v>45622</v>
      </c>
      <c r="C2079" t="inlineStr">
        <is>
          <t>1403/09/06</t>
        </is>
      </c>
    </row>
    <row r="2080">
      <c r="A2080" t="n">
        <v>14030907</v>
      </c>
      <c r="B2080" t="n">
        <v>45623</v>
      </c>
      <c r="C2080" t="inlineStr">
        <is>
          <t>1403/09/07</t>
        </is>
      </c>
    </row>
    <row r="2081">
      <c r="A2081" t="n">
        <v>14030908</v>
      </c>
      <c r="B2081" t="n">
        <v>45624</v>
      </c>
      <c r="C2081" t="inlineStr">
        <is>
          <t>1403/09/08</t>
        </is>
      </c>
    </row>
    <row r="2082">
      <c r="A2082" t="n">
        <v>14030909</v>
      </c>
      <c r="B2082" t="n">
        <v>45625</v>
      </c>
      <c r="C2082" t="inlineStr">
        <is>
          <t>1403/09/09</t>
        </is>
      </c>
    </row>
    <row r="2083">
      <c r="A2083" t="n">
        <v>14030910</v>
      </c>
      <c r="B2083" t="n">
        <v>45626</v>
      </c>
      <c r="C2083" t="inlineStr">
        <is>
          <t>1403/09/10</t>
        </is>
      </c>
    </row>
    <row r="2084">
      <c r="A2084" t="n">
        <v>14030911</v>
      </c>
      <c r="B2084" t="n">
        <v>45627</v>
      </c>
      <c r="C2084" t="inlineStr">
        <is>
          <t>1403/09/11</t>
        </is>
      </c>
    </row>
    <row r="2085">
      <c r="A2085" t="n">
        <v>14030912</v>
      </c>
      <c r="B2085" t="n">
        <v>45628</v>
      </c>
      <c r="C2085" t="inlineStr">
        <is>
          <t>1403/09/12</t>
        </is>
      </c>
    </row>
    <row r="2086">
      <c r="A2086" t="n">
        <v>14030913</v>
      </c>
      <c r="B2086" t="n">
        <v>45629</v>
      </c>
      <c r="C2086" t="inlineStr">
        <is>
          <t>1403/09/13</t>
        </is>
      </c>
    </row>
    <row r="2087">
      <c r="A2087" t="n">
        <v>14030914</v>
      </c>
      <c r="B2087" t="n">
        <v>45630</v>
      </c>
      <c r="C2087" t="inlineStr">
        <is>
          <t>1403/09/14</t>
        </is>
      </c>
    </row>
    <row r="2088">
      <c r="A2088" t="n">
        <v>14030915</v>
      </c>
      <c r="B2088" t="n">
        <v>45631</v>
      </c>
      <c r="C2088" t="inlineStr">
        <is>
          <t>1403/09/15</t>
        </is>
      </c>
    </row>
    <row r="2089">
      <c r="A2089" t="n">
        <v>14030916</v>
      </c>
      <c r="B2089" t="n">
        <v>45632</v>
      </c>
      <c r="C2089" t="inlineStr">
        <is>
          <t>1403/09/16</t>
        </is>
      </c>
    </row>
    <row r="2090">
      <c r="A2090" t="n">
        <v>14030917</v>
      </c>
      <c r="B2090" t="n">
        <v>45633</v>
      </c>
      <c r="C2090" t="inlineStr">
        <is>
          <t>1403/09/17</t>
        </is>
      </c>
    </row>
    <row r="2091">
      <c r="A2091" t="n">
        <v>14030918</v>
      </c>
      <c r="B2091" t="n">
        <v>45634</v>
      </c>
      <c r="C2091" t="inlineStr">
        <is>
          <t>1403/09/18</t>
        </is>
      </c>
    </row>
    <row r="2092">
      <c r="A2092" t="n">
        <v>14030919</v>
      </c>
      <c r="B2092" t="n">
        <v>45635</v>
      </c>
      <c r="C2092" t="inlineStr">
        <is>
          <t>1403/09/19</t>
        </is>
      </c>
    </row>
    <row r="2093">
      <c r="A2093" t="n">
        <v>14030920</v>
      </c>
      <c r="B2093" t="n">
        <v>45636</v>
      </c>
      <c r="C2093" t="inlineStr">
        <is>
          <t>1403/09/20</t>
        </is>
      </c>
    </row>
    <row r="2094">
      <c r="A2094" t="n">
        <v>14030921</v>
      </c>
      <c r="B2094" t="n">
        <v>45637</v>
      </c>
      <c r="C2094" t="inlineStr">
        <is>
          <t>1403/09/21</t>
        </is>
      </c>
    </row>
    <row r="2095">
      <c r="A2095" t="n">
        <v>14030922</v>
      </c>
      <c r="B2095" t="n">
        <v>45638</v>
      </c>
      <c r="C2095" t="inlineStr">
        <is>
          <t>1403/09/22</t>
        </is>
      </c>
    </row>
    <row r="2096">
      <c r="A2096" t="n">
        <v>14030923</v>
      </c>
      <c r="B2096" t="n">
        <v>45639</v>
      </c>
      <c r="C2096" t="inlineStr">
        <is>
          <t>1403/09/23</t>
        </is>
      </c>
    </row>
    <row r="2097">
      <c r="A2097" t="n">
        <v>14030924</v>
      </c>
      <c r="B2097" t="n">
        <v>45640</v>
      </c>
      <c r="C2097" t="inlineStr">
        <is>
          <t>1403/09/24</t>
        </is>
      </c>
    </row>
    <row r="2098">
      <c r="A2098" t="n">
        <v>14030925</v>
      </c>
      <c r="B2098" t="n">
        <v>45641</v>
      </c>
      <c r="C2098" t="inlineStr">
        <is>
          <t>1403/09/25</t>
        </is>
      </c>
    </row>
    <row r="2099">
      <c r="A2099" t="n">
        <v>14030926</v>
      </c>
      <c r="B2099" t="n">
        <v>45642</v>
      </c>
      <c r="C2099" t="inlineStr">
        <is>
          <t>1403/09/26</t>
        </is>
      </c>
    </row>
    <row r="2100">
      <c r="A2100" t="n">
        <v>14030927</v>
      </c>
      <c r="B2100" t="n">
        <v>45643</v>
      </c>
      <c r="C2100" t="inlineStr">
        <is>
          <t>1403/09/27</t>
        </is>
      </c>
    </row>
    <row r="2101">
      <c r="A2101" t="n">
        <v>14030928</v>
      </c>
      <c r="B2101" t="n">
        <v>45644</v>
      </c>
      <c r="C2101" t="inlineStr">
        <is>
          <t>1403/09/28</t>
        </is>
      </c>
    </row>
    <row r="2102">
      <c r="A2102" t="n">
        <v>14030929</v>
      </c>
      <c r="B2102" t="n">
        <v>45645</v>
      </c>
      <c r="C2102" t="inlineStr">
        <is>
          <t>1403/09/29</t>
        </is>
      </c>
    </row>
    <row r="2103">
      <c r="A2103" t="n">
        <v>14030930</v>
      </c>
      <c r="B2103" t="n">
        <v>45646</v>
      </c>
      <c r="C2103" t="inlineStr">
        <is>
          <t>1403/09/30</t>
        </is>
      </c>
    </row>
    <row r="2104">
      <c r="A2104" t="n">
        <v>14031001</v>
      </c>
      <c r="B2104" t="n">
        <v>45647</v>
      </c>
      <c r="C2104" t="inlineStr">
        <is>
          <t>1403/10/01</t>
        </is>
      </c>
    </row>
    <row r="2105">
      <c r="A2105" t="n">
        <v>14031002</v>
      </c>
      <c r="B2105" t="n">
        <v>45648</v>
      </c>
      <c r="C2105" t="inlineStr">
        <is>
          <t>1403/10/02</t>
        </is>
      </c>
    </row>
    <row r="2106">
      <c r="A2106" t="n">
        <v>14031003</v>
      </c>
      <c r="B2106" t="n">
        <v>45649</v>
      </c>
      <c r="C2106" t="inlineStr">
        <is>
          <t>1403/10/03</t>
        </is>
      </c>
    </row>
    <row r="2107">
      <c r="A2107" t="n">
        <v>14031004</v>
      </c>
      <c r="B2107" t="n">
        <v>45650</v>
      </c>
      <c r="C2107" t="inlineStr">
        <is>
          <t>1403/10/04</t>
        </is>
      </c>
    </row>
    <row r="2108">
      <c r="A2108" t="n">
        <v>14031005</v>
      </c>
      <c r="B2108" t="n">
        <v>45651</v>
      </c>
      <c r="C2108" t="inlineStr">
        <is>
          <t>1403/10/05</t>
        </is>
      </c>
    </row>
    <row r="2109">
      <c r="A2109" t="n">
        <v>14031006</v>
      </c>
      <c r="B2109" t="n">
        <v>45652</v>
      </c>
      <c r="C2109" t="inlineStr">
        <is>
          <t>1403/10/06</t>
        </is>
      </c>
    </row>
    <row r="2110">
      <c r="A2110" t="n">
        <v>14031007</v>
      </c>
      <c r="B2110" t="n">
        <v>45653</v>
      </c>
      <c r="C2110" t="inlineStr">
        <is>
          <t>1403/10/07</t>
        </is>
      </c>
    </row>
    <row r="2111">
      <c r="A2111" t="n">
        <v>14031008</v>
      </c>
      <c r="B2111" t="n">
        <v>45654</v>
      </c>
      <c r="C2111" t="inlineStr">
        <is>
          <t>1403/10/08</t>
        </is>
      </c>
    </row>
    <row r="2112">
      <c r="A2112" t="n">
        <v>14031009</v>
      </c>
      <c r="B2112" t="n">
        <v>45655</v>
      </c>
      <c r="C2112" t="inlineStr">
        <is>
          <t>1403/10/09</t>
        </is>
      </c>
    </row>
    <row r="2113">
      <c r="A2113" t="n">
        <v>14031010</v>
      </c>
      <c r="B2113" t="n">
        <v>45656</v>
      </c>
      <c r="C2113" t="inlineStr">
        <is>
          <t>1403/10/10</t>
        </is>
      </c>
    </row>
    <row r="2114">
      <c r="A2114" t="n">
        <v>14031011</v>
      </c>
      <c r="B2114" t="n">
        <v>45657</v>
      </c>
      <c r="C2114" t="inlineStr">
        <is>
          <t>1403/10/11</t>
        </is>
      </c>
    </row>
    <row r="2115">
      <c r="A2115" t="n">
        <v>14031012</v>
      </c>
      <c r="B2115" t="n">
        <v>45658</v>
      </c>
      <c r="C2115" t="inlineStr">
        <is>
          <t>1403/10/12</t>
        </is>
      </c>
    </row>
    <row r="2116">
      <c r="A2116" t="n">
        <v>14031013</v>
      </c>
      <c r="B2116" t="n">
        <v>45659</v>
      </c>
      <c r="C2116" t="inlineStr">
        <is>
          <t>1403/10/13</t>
        </is>
      </c>
    </row>
    <row r="2117">
      <c r="A2117" t="n">
        <v>14031014</v>
      </c>
      <c r="B2117" t="n">
        <v>45660</v>
      </c>
      <c r="C2117" t="inlineStr">
        <is>
          <t>1403/10/14</t>
        </is>
      </c>
    </row>
    <row r="2118">
      <c r="A2118" t="n">
        <v>14031015</v>
      </c>
      <c r="B2118" t="n">
        <v>45661</v>
      </c>
      <c r="C2118" t="inlineStr">
        <is>
          <t>1403/10/15</t>
        </is>
      </c>
    </row>
    <row r="2119">
      <c r="A2119" t="n">
        <v>14031016</v>
      </c>
      <c r="B2119" t="n">
        <v>45662</v>
      </c>
      <c r="C2119" t="inlineStr">
        <is>
          <t>1403/10/16</t>
        </is>
      </c>
    </row>
    <row r="2120">
      <c r="A2120" t="n">
        <v>14031017</v>
      </c>
      <c r="B2120" t="n">
        <v>45663</v>
      </c>
      <c r="C2120" t="inlineStr">
        <is>
          <t>1403/10/17</t>
        </is>
      </c>
    </row>
    <row r="2121">
      <c r="A2121" t="n">
        <v>14031018</v>
      </c>
      <c r="B2121" t="n">
        <v>45664</v>
      </c>
      <c r="C2121" t="inlineStr">
        <is>
          <t>1403/10/18</t>
        </is>
      </c>
    </row>
    <row r="2122">
      <c r="A2122" t="n">
        <v>14031019</v>
      </c>
      <c r="B2122" t="n">
        <v>45665</v>
      </c>
      <c r="C2122" t="inlineStr">
        <is>
          <t>1403/10/19</t>
        </is>
      </c>
    </row>
    <row r="2123">
      <c r="A2123" t="n">
        <v>14031020</v>
      </c>
      <c r="B2123" t="n">
        <v>45666</v>
      </c>
      <c r="C2123" t="inlineStr">
        <is>
          <t>1403/10/20</t>
        </is>
      </c>
    </row>
    <row r="2124">
      <c r="A2124" t="n">
        <v>14031021</v>
      </c>
      <c r="B2124" t="n">
        <v>45667</v>
      </c>
      <c r="C2124" t="inlineStr">
        <is>
          <t>1403/10/21</t>
        </is>
      </c>
    </row>
    <row r="2125">
      <c r="A2125" t="n">
        <v>14031022</v>
      </c>
      <c r="B2125" t="n">
        <v>45668</v>
      </c>
      <c r="C2125" t="inlineStr">
        <is>
          <t>1403/10/22</t>
        </is>
      </c>
    </row>
    <row r="2126">
      <c r="A2126" t="n">
        <v>14031023</v>
      </c>
      <c r="B2126" t="n">
        <v>45669</v>
      </c>
      <c r="C2126" t="inlineStr">
        <is>
          <t>1403/10/23</t>
        </is>
      </c>
    </row>
    <row r="2127">
      <c r="A2127" t="n">
        <v>14031024</v>
      </c>
      <c r="B2127" t="n">
        <v>45670</v>
      </c>
      <c r="C2127" t="inlineStr">
        <is>
          <t>1403/10/24</t>
        </is>
      </c>
    </row>
    <row r="2128">
      <c r="A2128" t="n">
        <v>14031025</v>
      </c>
      <c r="B2128" t="n">
        <v>45671</v>
      </c>
      <c r="C2128" t="inlineStr">
        <is>
          <t>1403/10/25</t>
        </is>
      </c>
    </row>
    <row r="2129">
      <c r="A2129" t="n">
        <v>14031026</v>
      </c>
      <c r="B2129" t="n">
        <v>45672</v>
      </c>
      <c r="C2129" t="inlineStr">
        <is>
          <t>1403/10/26</t>
        </is>
      </c>
    </row>
    <row r="2130">
      <c r="A2130" t="n">
        <v>14031027</v>
      </c>
      <c r="B2130" t="n">
        <v>45673</v>
      </c>
      <c r="C2130" t="inlineStr">
        <is>
          <t>1403/10/27</t>
        </is>
      </c>
    </row>
    <row r="2131">
      <c r="A2131" t="n">
        <v>14031028</v>
      </c>
      <c r="B2131" t="n">
        <v>45674</v>
      </c>
      <c r="C2131" t="inlineStr">
        <is>
          <t>1403/10/28</t>
        </is>
      </c>
    </row>
    <row r="2132">
      <c r="A2132" t="n">
        <v>14031029</v>
      </c>
      <c r="B2132" t="n">
        <v>45675</v>
      </c>
      <c r="C2132" t="inlineStr">
        <is>
          <t>1403/10/29</t>
        </is>
      </c>
    </row>
    <row r="2133">
      <c r="A2133" t="n">
        <v>14031030</v>
      </c>
      <c r="B2133" t="n">
        <v>45676</v>
      </c>
      <c r="C2133" t="inlineStr">
        <is>
          <t>1403/10/30</t>
        </is>
      </c>
    </row>
    <row r="2134">
      <c r="A2134" t="n">
        <v>14031101</v>
      </c>
      <c r="B2134" t="n">
        <v>45677</v>
      </c>
      <c r="C2134" t="inlineStr">
        <is>
          <t>1403/11/01</t>
        </is>
      </c>
    </row>
    <row r="2135">
      <c r="A2135" t="n">
        <v>14031102</v>
      </c>
      <c r="B2135" t="n">
        <v>45678</v>
      </c>
      <c r="C2135" t="inlineStr">
        <is>
          <t>1403/11/02</t>
        </is>
      </c>
    </row>
    <row r="2136">
      <c r="A2136" t="n">
        <v>14031103</v>
      </c>
      <c r="B2136" t="n">
        <v>45679</v>
      </c>
      <c r="C2136" t="inlineStr">
        <is>
          <t>1403/11/03</t>
        </is>
      </c>
    </row>
    <row r="2137">
      <c r="A2137" t="n">
        <v>14031104</v>
      </c>
      <c r="B2137" t="n">
        <v>45680</v>
      </c>
      <c r="C2137" t="inlineStr">
        <is>
          <t>1403/11/04</t>
        </is>
      </c>
    </row>
    <row r="2138">
      <c r="A2138" t="n">
        <v>14031105</v>
      </c>
      <c r="B2138" t="n">
        <v>45681</v>
      </c>
      <c r="C2138" t="inlineStr">
        <is>
          <t>1403/11/05</t>
        </is>
      </c>
    </row>
    <row r="2139">
      <c r="A2139" t="n">
        <v>14031106</v>
      </c>
      <c r="B2139" t="n">
        <v>45682</v>
      </c>
      <c r="C2139" t="inlineStr">
        <is>
          <t>1403/11/06</t>
        </is>
      </c>
    </row>
    <row r="2140">
      <c r="A2140" t="n">
        <v>14031107</v>
      </c>
      <c r="B2140" t="n">
        <v>45683</v>
      </c>
      <c r="C2140" t="inlineStr">
        <is>
          <t>1403/11/07</t>
        </is>
      </c>
    </row>
    <row r="2141">
      <c r="A2141" t="n">
        <v>14031108</v>
      </c>
      <c r="B2141" t="n">
        <v>45684</v>
      </c>
      <c r="C2141" t="inlineStr">
        <is>
          <t>1403/11/08</t>
        </is>
      </c>
    </row>
    <row r="2142">
      <c r="A2142" t="n">
        <v>14031109</v>
      </c>
      <c r="B2142" t="n">
        <v>45685</v>
      </c>
      <c r="C2142" t="inlineStr">
        <is>
          <t>1403/11/09</t>
        </is>
      </c>
    </row>
    <row r="2143">
      <c r="A2143" t="n">
        <v>14031110</v>
      </c>
      <c r="B2143" t="n">
        <v>45686</v>
      </c>
      <c r="C2143" t="inlineStr">
        <is>
          <t>1403/11/10</t>
        </is>
      </c>
    </row>
    <row r="2144">
      <c r="A2144" t="n">
        <v>14031111</v>
      </c>
      <c r="B2144" t="n">
        <v>45687</v>
      </c>
      <c r="C2144" t="inlineStr">
        <is>
          <t>1403/11/11</t>
        </is>
      </c>
    </row>
    <row r="2145">
      <c r="A2145" t="n">
        <v>14031112</v>
      </c>
      <c r="B2145" t="n">
        <v>45688</v>
      </c>
      <c r="C2145" t="inlineStr">
        <is>
          <t>1403/11/12</t>
        </is>
      </c>
    </row>
    <row r="2146">
      <c r="A2146" t="n">
        <v>14031113</v>
      </c>
      <c r="B2146" t="n">
        <v>45689</v>
      </c>
      <c r="C2146" t="inlineStr">
        <is>
          <t>1403/11/13</t>
        </is>
      </c>
    </row>
    <row r="2147">
      <c r="A2147" t="n">
        <v>14031114</v>
      </c>
      <c r="B2147" t="n">
        <v>45690</v>
      </c>
      <c r="C2147" t="inlineStr">
        <is>
          <t>1403/11/14</t>
        </is>
      </c>
    </row>
    <row r="2148">
      <c r="A2148" t="n">
        <v>14031115</v>
      </c>
      <c r="B2148" t="n">
        <v>45691</v>
      </c>
      <c r="C2148" t="inlineStr">
        <is>
          <t>1403/11/15</t>
        </is>
      </c>
    </row>
    <row r="2149">
      <c r="A2149" t="n">
        <v>14031116</v>
      </c>
      <c r="B2149" t="n">
        <v>45692</v>
      </c>
      <c r="C2149" t="inlineStr">
        <is>
          <t>1403/11/16</t>
        </is>
      </c>
    </row>
    <row r="2150">
      <c r="A2150" t="n">
        <v>14031117</v>
      </c>
      <c r="B2150" t="n">
        <v>45693</v>
      </c>
      <c r="C2150" t="inlineStr">
        <is>
          <t>1403/11/17</t>
        </is>
      </c>
    </row>
    <row r="2151">
      <c r="A2151" t="n">
        <v>14031118</v>
      </c>
      <c r="B2151" t="n">
        <v>45694</v>
      </c>
      <c r="C2151" t="inlineStr">
        <is>
          <t>1403/11/18</t>
        </is>
      </c>
    </row>
    <row r="2152">
      <c r="A2152" t="n">
        <v>14031119</v>
      </c>
      <c r="B2152" t="n">
        <v>45695</v>
      </c>
      <c r="C2152" t="inlineStr">
        <is>
          <t>1403/11/19</t>
        </is>
      </c>
    </row>
    <row r="2153">
      <c r="A2153" t="n">
        <v>14031120</v>
      </c>
      <c r="B2153" t="n">
        <v>45696</v>
      </c>
      <c r="C2153" t="inlineStr">
        <is>
          <t>1403/11/20</t>
        </is>
      </c>
    </row>
    <row r="2154">
      <c r="A2154" t="n">
        <v>14031121</v>
      </c>
      <c r="B2154" t="n">
        <v>45697</v>
      </c>
      <c r="C2154" t="inlineStr">
        <is>
          <t>1403/11/21</t>
        </is>
      </c>
    </row>
    <row r="2155">
      <c r="A2155" t="n">
        <v>14031122</v>
      </c>
      <c r="B2155" t="n">
        <v>45698</v>
      </c>
      <c r="C2155" t="inlineStr">
        <is>
          <t>1403/11/22</t>
        </is>
      </c>
    </row>
    <row r="2156">
      <c r="A2156" t="n">
        <v>14031123</v>
      </c>
      <c r="B2156" t="n">
        <v>45699</v>
      </c>
      <c r="C2156" t="inlineStr">
        <is>
          <t>1403/11/23</t>
        </is>
      </c>
    </row>
    <row r="2157">
      <c r="A2157" t="n">
        <v>14031124</v>
      </c>
      <c r="B2157" t="n">
        <v>45700</v>
      </c>
      <c r="C2157" t="inlineStr">
        <is>
          <t>1403/11/24</t>
        </is>
      </c>
    </row>
    <row r="2158">
      <c r="A2158" t="n">
        <v>14031125</v>
      </c>
      <c r="B2158" t="n">
        <v>45701</v>
      </c>
      <c r="C2158" t="inlineStr">
        <is>
          <t>1403/11/25</t>
        </is>
      </c>
    </row>
    <row r="2159">
      <c r="A2159" t="n">
        <v>14031126</v>
      </c>
      <c r="B2159" t="n">
        <v>45702</v>
      </c>
      <c r="C2159" t="inlineStr">
        <is>
          <t>1403/11/26</t>
        </is>
      </c>
    </row>
    <row r="2160">
      <c r="A2160" t="n">
        <v>14031127</v>
      </c>
      <c r="B2160" t="n">
        <v>45703</v>
      </c>
      <c r="C2160" t="inlineStr">
        <is>
          <t>1403/11/27</t>
        </is>
      </c>
    </row>
    <row r="2161">
      <c r="A2161" t="n">
        <v>14031128</v>
      </c>
      <c r="B2161" t="n">
        <v>45704</v>
      </c>
      <c r="C2161" t="inlineStr">
        <is>
          <t>1403/11/28</t>
        </is>
      </c>
    </row>
    <row r="2162">
      <c r="A2162" t="n">
        <v>14031129</v>
      </c>
      <c r="B2162" t="n">
        <v>45705</v>
      </c>
      <c r="C2162" t="inlineStr">
        <is>
          <t>1403/11/29</t>
        </is>
      </c>
    </row>
    <row r="2163">
      <c r="A2163" t="n">
        <v>14031130</v>
      </c>
      <c r="B2163" t="n">
        <v>45706</v>
      </c>
      <c r="C2163" t="inlineStr">
        <is>
          <t>1403/11/30</t>
        </is>
      </c>
    </row>
    <row r="2164">
      <c r="A2164" t="n">
        <v>14031201</v>
      </c>
      <c r="B2164" t="n">
        <v>45707</v>
      </c>
      <c r="C2164" t="inlineStr">
        <is>
          <t>1403/12/01</t>
        </is>
      </c>
    </row>
    <row r="2165">
      <c r="A2165" t="n">
        <v>14031202</v>
      </c>
      <c r="B2165" t="n">
        <v>45708</v>
      </c>
      <c r="C2165" t="inlineStr">
        <is>
          <t>1403/12/02</t>
        </is>
      </c>
    </row>
    <row r="2166">
      <c r="A2166" t="n">
        <v>14031203</v>
      </c>
      <c r="B2166" t="n">
        <v>45709</v>
      </c>
      <c r="C2166" t="inlineStr">
        <is>
          <t>1403/12/03</t>
        </is>
      </c>
    </row>
    <row r="2167">
      <c r="A2167" t="n">
        <v>14031204</v>
      </c>
      <c r="B2167" t="n">
        <v>45710</v>
      </c>
      <c r="C2167" t="inlineStr">
        <is>
          <t>1403/12/04</t>
        </is>
      </c>
    </row>
    <row r="2168">
      <c r="A2168" t="n">
        <v>14031205</v>
      </c>
      <c r="B2168" t="n">
        <v>45711</v>
      </c>
      <c r="C2168" t="inlineStr">
        <is>
          <t>1403/12/05</t>
        </is>
      </c>
    </row>
    <row r="2169">
      <c r="A2169" t="n">
        <v>14031206</v>
      </c>
      <c r="B2169" t="n">
        <v>45712</v>
      </c>
      <c r="C2169" t="inlineStr">
        <is>
          <t>1403/12/06</t>
        </is>
      </c>
    </row>
    <row r="2170">
      <c r="A2170" t="n">
        <v>14031207</v>
      </c>
      <c r="B2170" t="n">
        <v>45713</v>
      </c>
      <c r="C2170" t="inlineStr">
        <is>
          <t>1403/12/07</t>
        </is>
      </c>
    </row>
    <row r="2171">
      <c r="A2171" t="n">
        <v>14031208</v>
      </c>
      <c r="B2171" t="n">
        <v>45714</v>
      </c>
      <c r="C2171" t="inlineStr">
        <is>
          <t>1403/12/08</t>
        </is>
      </c>
    </row>
    <row r="2172">
      <c r="A2172" t="n">
        <v>14031209</v>
      </c>
      <c r="B2172" t="n">
        <v>45715</v>
      </c>
      <c r="C2172" t="inlineStr">
        <is>
          <t>1403/12/09</t>
        </is>
      </c>
    </row>
    <row r="2173">
      <c r="A2173" t="n">
        <v>14031210</v>
      </c>
      <c r="B2173" t="n">
        <v>45716</v>
      </c>
      <c r="C2173" t="inlineStr">
        <is>
          <t>1403/12/10</t>
        </is>
      </c>
    </row>
    <row r="2174">
      <c r="A2174" t="n">
        <v>14031211</v>
      </c>
      <c r="B2174" t="n">
        <v>45717</v>
      </c>
      <c r="C2174" t="inlineStr">
        <is>
          <t>1403/12/11</t>
        </is>
      </c>
    </row>
    <row r="2175">
      <c r="A2175" t="n">
        <v>14031212</v>
      </c>
      <c r="B2175" t="n">
        <v>45718</v>
      </c>
      <c r="C2175" t="inlineStr">
        <is>
          <t>1403/12/12</t>
        </is>
      </c>
    </row>
    <row r="2176">
      <c r="A2176" t="n">
        <v>14031213</v>
      </c>
      <c r="B2176" t="n">
        <v>45719</v>
      </c>
      <c r="C2176" t="inlineStr">
        <is>
          <t>1403/12/13</t>
        </is>
      </c>
    </row>
    <row r="2177">
      <c r="A2177" t="n">
        <v>14031214</v>
      </c>
      <c r="B2177" t="n">
        <v>45720</v>
      </c>
      <c r="C2177" t="inlineStr">
        <is>
          <t>1403/12/14</t>
        </is>
      </c>
    </row>
    <row r="2178">
      <c r="A2178" t="n">
        <v>14031215</v>
      </c>
      <c r="B2178" t="n">
        <v>45721</v>
      </c>
      <c r="C2178" t="inlineStr">
        <is>
          <t>1403/12/15</t>
        </is>
      </c>
    </row>
    <row r="2179">
      <c r="A2179" t="n">
        <v>14031216</v>
      </c>
      <c r="B2179" t="n">
        <v>45722</v>
      </c>
      <c r="C2179" t="inlineStr">
        <is>
          <t>1403/12/16</t>
        </is>
      </c>
    </row>
    <row r="2180">
      <c r="A2180" t="n">
        <v>14031217</v>
      </c>
      <c r="B2180" t="n">
        <v>45723</v>
      </c>
      <c r="C2180" t="inlineStr">
        <is>
          <t>1403/12/17</t>
        </is>
      </c>
    </row>
    <row r="2181">
      <c r="A2181" t="n">
        <v>14031218</v>
      </c>
      <c r="B2181" t="n">
        <v>45724</v>
      </c>
      <c r="C2181" t="inlineStr">
        <is>
          <t>1403/12/18</t>
        </is>
      </c>
    </row>
    <row r="2182">
      <c r="A2182" t="n">
        <v>14031219</v>
      </c>
      <c r="B2182" t="n">
        <v>45725</v>
      </c>
      <c r="C2182" t="inlineStr">
        <is>
          <t>1403/12/19</t>
        </is>
      </c>
    </row>
    <row r="2183">
      <c r="A2183" t="n">
        <v>14031220</v>
      </c>
      <c r="B2183" t="n">
        <v>45726</v>
      </c>
      <c r="C2183" t="inlineStr">
        <is>
          <t>1403/12/20</t>
        </is>
      </c>
    </row>
    <row r="2184">
      <c r="A2184" t="n">
        <v>14031221</v>
      </c>
      <c r="B2184" t="n">
        <v>45727</v>
      </c>
      <c r="C2184" t="inlineStr">
        <is>
          <t>1403/12/21</t>
        </is>
      </c>
    </row>
    <row r="2185">
      <c r="A2185" t="n">
        <v>14031222</v>
      </c>
      <c r="B2185" t="n">
        <v>45728</v>
      </c>
      <c r="C2185" t="inlineStr">
        <is>
          <t>1403/12/22</t>
        </is>
      </c>
    </row>
    <row r="2186">
      <c r="A2186" t="n">
        <v>14031223</v>
      </c>
      <c r="B2186" t="n">
        <v>45729</v>
      </c>
      <c r="C2186" t="inlineStr">
        <is>
          <t>1403/12/23</t>
        </is>
      </c>
    </row>
    <row r="2187">
      <c r="A2187" t="n">
        <v>14031224</v>
      </c>
      <c r="B2187" t="n">
        <v>45730</v>
      </c>
      <c r="C2187" t="inlineStr">
        <is>
          <t>1403/12/24</t>
        </is>
      </c>
    </row>
    <row r="2188">
      <c r="A2188" t="n">
        <v>14031225</v>
      </c>
      <c r="B2188" t="n">
        <v>45731</v>
      </c>
      <c r="C2188" t="inlineStr">
        <is>
          <t>1403/12/25</t>
        </is>
      </c>
    </row>
    <row r="2189">
      <c r="A2189" t="n">
        <v>14031226</v>
      </c>
      <c r="B2189" t="n">
        <v>45732</v>
      </c>
      <c r="C2189" t="inlineStr">
        <is>
          <t>1403/12/26</t>
        </is>
      </c>
    </row>
    <row r="2190">
      <c r="A2190" t="n">
        <v>14031227</v>
      </c>
      <c r="B2190" t="n">
        <v>45733</v>
      </c>
      <c r="C2190" t="inlineStr">
        <is>
          <t>1403/12/27</t>
        </is>
      </c>
    </row>
    <row r="2191">
      <c r="A2191" t="n">
        <v>14031228</v>
      </c>
      <c r="B2191" t="n">
        <v>45734</v>
      </c>
      <c r="C2191" t="inlineStr">
        <is>
          <t>1403/12/28</t>
        </is>
      </c>
    </row>
    <row r="2192">
      <c r="A2192" t="n">
        <v>14031229</v>
      </c>
      <c r="B2192" t="n">
        <v>45735</v>
      </c>
      <c r="C2192" t="inlineStr">
        <is>
          <t>1403/12/29</t>
        </is>
      </c>
    </row>
    <row r="2193">
      <c r="A2193" t="n">
        <v>14031230</v>
      </c>
      <c r="B2193" t="n">
        <v>45736</v>
      </c>
      <c r="C2193" t="inlineStr">
        <is>
          <t>1403/12/30</t>
        </is>
      </c>
    </row>
    <row r="2194">
      <c r="A2194" t="n">
        <v>14040101</v>
      </c>
      <c r="B2194" t="n">
        <v>45737</v>
      </c>
      <c r="C2194" t="inlineStr">
        <is>
          <t>1404/01/01</t>
        </is>
      </c>
    </row>
    <row r="2195">
      <c r="A2195" t="n">
        <v>14040102</v>
      </c>
      <c r="B2195" t="n">
        <v>45738</v>
      </c>
      <c r="C2195" t="inlineStr">
        <is>
          <t>1404/01/02</t>
        </is>
      </c>
    </row>
    <row r="2196">
      <c r="A2196" t="n">
        <v>14040103</v>
      </c>
      <c r="B2196" t="n">
        <v>45739</v>
      </c>
      <c r="C2196" t="inlineStr">
        <is>
          <t>1404/01/03</t>
        </is>
      </c>
    </row>
    <row r="2197">
      <c r="A2197" t="n">
        <v>14040104</v>
      </c>
      <c r="B2197" t="n">
        <v>45740</v>
      </c>
      <c r="C2197" t="inlineStr">
        <is>
          <t>1404/01/04</t>
        </is>
      </c>
    </row>
    <row r="2198">
      <c r="A2198" t="n">
        <v>14040105</v>
      </c>
      <c r="B2198" t="n">
        <v>45741</v>
      </c>
      <c r="C2198" t="inlineStr">
        <is>
          <t>1404/01/05</t>
        </is>
      </c>
    </row>
    <row r="2199">
      <c r="A2199" t="n">
        <v>14040106</v>
      </c>
      <c r="B2199" t="n">
        <v>45742</v>
      </c>
      <c r="C2199" t="inlineStr">
        <is>
          <t>1404/01/06</t>
        </is>
      </c>
    </row>
    <row r="2200">
      <c r="A2200" t="n">
        <v>14040107</v>
      </c>
      <c r="B2200" t="n">
        <v>45743</v>
      </c>
      <c r="C2200" t="inlineStr">
        <is>
          <t>1404/01/07</t>
        </is>
      </c>
    </row>
    <row r="2201">
      <c r="A2201" t="n">
        <v>14040108</v>
      </c>
      <c r="B2201" t="n">
        <v>45744</v>
      </c>
      <c r="C2201" t="inlineStr">
        <is>
          <t>1404/01/08</t>
        </is>
      </c>
    </row>
    <row r="2202">
      <c r="A2202" t="n">
        <v>14040109</v>
      </c>
      <c r="B2202" t="n">
        <v>45745</v>
      </c>
      <c r="C2202" t="inlineStr">
        <is>
          <t>1404/01/09</t>
        </is>
      </c>
    </row>
    <row r="2203">
      <c r="A2203" t="n">
        <v>14040110</v>
      </c>
      <c r="B2203" t="n">
        <v>45746</v>
      </c>
      <c r="C2203" t="inlineStr">
        <is>
          <t>1404/01/10</t>
        </is>
      </c>
    </row>
    <row r="2204">
      <c r="A2204" t="n">
        <v>14040111</v>
      </c>
      <c r="B2204" t="n">
        <v>45747</v>
      </c>
      <c r="C2204" t="inlineStr">
        <is>
          <t>1404/01/11</t>
        </is>
      </c>
    </row>
    <row r="2205">
      <c r="A2205" t="n">
        <v>14040112</v>
      </c>
      <c r="B2205" t="n">
        <v>45748</v>
      </c>
      <c r="C2205" t="inlineStr">
        <is>
          <t>1404/01/12</t>
        </is>
      </c>
    </row>
    <row r="2206">
      <c r="A2206" t="n">
        <v>14040113</v>
      </c>
      <c r="B2206" t="n">
        <v>45749</v>
      </c>
      <c r="C2206" t="inlineStr">
        <is>
          <t>1404/01/13</t>
        </is>
      </c>
    </row>
    <row r="2207">
      <c r="A2207" t="n">
        <v>14040114</v>
      </c>
      <c r="B2207" t="n">
        <v>45750</v>
      </c>
      <c r="C2207" t="inlineStr">
        <is>
          <t>1404/01/14</t>
        </is>
      </c>
    </row>
    <row r="2208">
      <c r="A2208" t="n">
        <v>14040115</v>
      </c>
      <c r="B2208" t="n">
        <v>45751</v>
      </c>
      <c r="C2208" t="inlineStr">
        <is>
          <t>1404/01/15</t>
        </is>
      </c>
    </row>
    <row r="2209">
      <c r="A2209" t="n">
        <v>14040116</v>
      </c>
      <c r="B2209" t="n">
        <v>45752</v>
      </c>
      <c r="C2209" t="inlineStr">
        <is>
          <t>1404/01/16</t>
        </is>
      </c>
    </row>
    <row r="2210">
      <c r="A2210" t="n">
        <v>14040117</v>
      </c>
      <c r="B2210" t="n">
        <v>45753</v>
      </c>
      <c r="C2210" t="inlineStr">
        <is>
          <t>1404/01/17</t>
        </is>
      </c>
    </row>
    <row r="2211">
      <c r="A2211" t="n">
        <v>14040118</v>
      </c>
      <c r="B2211" t="n">
        <v>45754</v>
      </c>
      <c r="C2211" t="inlineStr">
        <is>
          <t>1404/01/18</t>
        </is>
      </c>
    </row>
    <row r="2212">
      <c r="A2212" t="n">
        <v>14040119</v>
      </c>
      <c r="B2212" t="n">
        <v>45755</v>
      </c>
      <c r="C2212" t="inlineStr">
        <is>
          <t>1404/01/19</t>
        </is>
      </c>
    </row>
    <row r="2213">
      <c r="A2213" t="n">
        <v>14040120</v>
      </c>
      <c r="B2213" t="n">
        <v>45756</v>
      </c>
      <c r="C2213" t="inlineStr">
        <is>
          <t>1404/01/20</t>
        </is>
      </c>
    </row>
    <row r="2214">
      <c r="A2214" t="n">
        <v>14040121</v>
      </c>
      <c r="B2214" t="n">
        <v>45757</v>
      </c>
      <c r="C2214" t="inlineStr">
        <is>
          <t>1404/01/21</t>
        </is>
      </c>
    </row>
    <row r="2215">
      <c r="A2215" t="n">
        <v>14040122</v>
      </c>
      <c r="B2215" t="n">
        <v>45758</v>
      </c>
      <c r="C2215" t="inlineStr">
        <is>
          <t>1404/01/22</t>
        </is>
      </c>
    </row>
    <row r="2216">
      <c r="A2216" t="n">
        <v>14040123</v>
      </c>
      <c r="B2216" t="n">
        <v>45759</v>
      </c>
      <c r="C2216" t="inlineStr">
        <is>
          <t>1404/01/23</t>
        </is>
      </c>
    </row>
    <row r="2217">
      <c r="A2217" t="n">
        <v>14040124</v>
      </c>
      <c r="B2217" t="n">
        <v>45760</v>
      </c>
      <c r="C2217" t="inlineStr">
        <is>
          <t>1404/01/24</t>
        </is>
      </c>
    </row>
    <row r="2218">
      <c r="A2218" t="n">
        <v>14040125</v>
      </c>
      <c r="B2218" t="n">
        <v>45761</v>
      </c>
      <c r="C2218" t="inlineStr">
        <is>
          <t>1404/01/25</t>
        </is>
      </c>
    </row>
    <row r="2219">
      <c r="A2219" t="n">
        <v>14040126</v>
      </c>
      <c r="B2219" t="n">
        <v>45762</v>
      </c>
      <c r="C2219" t="inlineStr">
        <is>
          <t>1404/01/26</t>
        </is>
      </c>
    </row>
    <row r="2220">
      <c r="A2220" t="n">
        <v>14040127</v>
      </c>
      <c r="B2220" t="n">
        <v>45763</v>
      </c>
      <c r="C2220" t="inlineStr">
        <is>
          <t>1404/01/27</t>
        </is>
      </c>
    </row>
    <row r="2221">
      <c r="A2221" t="n">
        <v>14040128</v>
      </c>
      <c r="B2221" t="n">
        <v>45764</v>
      </c>
      <c r="C2221" t="inlineStr">
        <is>
          <t>1404/01/28</t>
        </is>
      </c>
    </row>
    <row r="2222">
      <c r="A2222" t="n">
        <v>14040129</v>
      </c>
      <c r="B2222" t="n">
        <v>45765</v>
      </c>
      <c r="C2222" t="inlineStr">
        <is>
          <t>1404/01/29</t>
        </is>
      </c>
    </row>
    <row r="2223">
      <c r="A2223" t="n">
        <v>14040130</v>
      </c>
      <c r="B2223" t="n">
        <v>45766</v>
      </c>
      <c r="C2223" t="inlineStr">
        <is>
          <t>1404/01/30</t>
        </is>
      </c>
    </row>
    <row r="2224">
      <c r="A2224" t="n">
        <v>14040131</v>
      </c>
      <c r="B2224" t="n">
        <v>45767</v>
      </c>
      <c r="C2224" t="inlineStr">
        <is>
          <t>1404/01/31</t>
        </is>
      </c>
    </row>
    <row r="2225">
      <c r="A2225" t="n">
        <v>14040201</v>
      </c>
      <c r="B2225" t="n">
        <v>45768</v>
      </c>
      <c r="C2225" t="inlineStr">
        <is>
          <t>1404/02/01</t>
        </is>
      </c>
    </row>
    <row r="2226">
      <c r="A2226" t="n">
        <v>14040202</v>
      </c>
      <c r="B2226" t="n">
        <v>45769</v>
      </c>
      <c r="C2226" t="inlineStr">
        <is>
          <t>1404/02/02</t>
        </is>
      </c>
    </row>
    <row r="2227">
      <c r="A2227" t="n">
        <v>14040203</v>
      </c>
      <c r="B2227" t="n">
        <v>45770</v>
      </c>
      <c r="C2227" t="inlineStr">
        <is>
          <t>1404/02/03</t>
        </is>
      </c>
    </row>
    <row r="2228">
      <c r="A2228" t="n">
        <v>14040204</v>
      </c>
      <c r="B2228" t="n">
        <v>45771</v>
      </c>
      <c r="C2228" t="inlineStr">
        <is>
          <t>1404/02/04</t>
        </is>
      </c>
    </row>
    <row r="2229">
      <c r="A2229" t="n">
        <v>14040205</v>
      </c>
      <c r="B2229" t="n">
        <v>45772</v>
      </c>
      <c r="C2229" t="inlineStr">
        <is>
          <t>1404/02/05</t>
        </is>
      </c>
    </row>
    <row r="2230">
      <c r="A2230" t="n">
        <v>14040206</v>
      </c>
      <c r="B2230" t="n">
        <v>45773</v>
      </c>
      <c r="C2230" t="inlineStr">
        <is>
          <t>1404/02/06</t>
        </is>
      </c>
    </row>
    <row r="2231">
      <c r="A2231" t="n">
        <v>14040207</v>
      </c>
      <c r="B2231" t="n">
        <v>45774</v>
      </c>
      <c r="C2231" t="inlineStr">
        <is>
          <t>1404/02/07</t>
        </is>
      </c>
    </row>
    <row r="2232">
      <c r="A2232" t="n">
        <v>14040208</v>
      </c>
      <c r="B2232" t="n">
        <v>45775</v>
      </c>
      <c r="C2232" t="inlineStr">
        <is>
          <t>1404/02/08</t>
        </is>
      </c>
    </row>
    <row r="2233">
      <c r="A2233" t="n">
        <v>14040209</v>
      </c>
      <c r="B2233" t="n">
        <v>45776</v>
      </c>
      <c r="C2233" t="inlineStr">
        <is>
          <t>1404/02/09</t>
        </is>
      </c>
    </row>
    <row r="2234">
      <c r="A2234" t="n">
        <v>14040210</v>
      </c>
      <c r="B2234" t="n">
        <v>45777</v>
      </c>
      <c r="C2234" t="inlineStr">
        <is>
          <t>1404/02/10</t>
        </is>
      </c>
    </row>
    <row r="2235">
      <c r="A2235" t="n">
        <v>14040211</v>
      </c>
      <c r="B2235" t="n">
        <v>45778</v>
      </c>
      <c r="C2235" t="inlineStr">
        <is>
          <t>1404/02/11</t>
        </is>
      </c>
    </row>
    <row r="2236">
      <c r="A2236" t="n">
        <v>14040212</v>
      </c>
      <c r="B2236" t="n">
        <v>45779</v>
      </c>
      <c r="C2236" t="inlineStr">
        <is>
          <t>1404/02/12</t>
        </is>
      </c>
    </row>
    <row r="2237">
      <c r="A2237" t="n">
        <v>14040213</v>
      </c>
      <c r="B2237" t="n">
        <v>45780</v>
      </c>
      <c r="C2237" t="inlineStr">
        <is>
          <t>1404/02/13</t>
        </is>
      </c>
    </row>
    <row r="2238">
      <c r="A2238" t="n">
        <v>14040214</v>
      </c>
      <c r="B2238" t="n">
        <v>45781</v>
      </c>
      <c r="C2238" t="inlineStr">
        <is>
          <t>1404/02/14</t>
        </is>
      </c>
    </row>
    <row r="2239">
      <c r="A2239" t="n">
        <v>14040215</v>
      </c>
      <c r="B2239" t="n">
        <v>45782</v>
      </c>
      <c r="C2239" t="inlineStr">
        <is>
          <t>1404/02/15</t>
        </is>
      </c>
    </row>
    <row r="2240">
      <c r="A2240" t="n">
        <v>14040216</v>
      </c>
      <c r="B2240" t="n">
        <v>45783</v>
      </c>
      <c r="C2240" t="inlineStr">
        <is>
          <t>1404/02/16</t>
        </is>
      </c>
    </row>
    <row r="2241">
      <c r="A2241" t="n">
        <v>14040217</v>
      </c>
      <c r="B2241" t="n">
        <v>45784</v>
      </c>
      <c r="C2241" t="inlineStr">
        <is>
          <t>1404/02/17</t>
        </is>
      </c>
    </row>
    <row r="2242">
      <c r="A2242" t="n">
        <v>14040218</v>
      </c>
      <c r="B2242" t="n">
        <v>45785</v>
      </c>
      <c r="C2242" t="inlineStr">
        <is>
          <t>1404/02/18</t>
        </is>
      </c>
    </row>
    <row r="2243">
      <c r="A2243" t="n">
        <v>14040219</v>
      </c>
      <c r="B2243" t="n">
        <v>45786</v>
      </c>
      <c r="C2243" t="inlineStr">
        <is>
          <t>1404/02/19</t>
        </is>
      </c>
    </row>
    <row r="2244">
      <c r="A2244" t="n">
        <v>14040220</v>
      </c>
      <c r="B2244" t="n">
        <v>45787</v>
      </c>
      <c r="C2244" t="inlineStr">
        <is>
          <t>1404/02/20</t>
        </is>
      </c>
    </row>
    <row r="2245">
      <c r="A2245" t="n">
        <v>14040221</v>
      </c>
      <c r="B2245" t="n">
        <v>45788</v>
      </c>
      <c r="C2245" t="inlineStr">
        <is>
          <t>1404/02/21</t>
        </is>
      </c>
    </row>
    <row r="2246">
      <c r="A2246" t="n">
        <v>14040222</v>
      </c>
      <c r="B2246" t="n">
        <v>45789</v>
      </c>
      <c r="C2246" t="inlineStr">
        <is>
          <t>1404/02/22</t>
        </is>
      </c>
    </row>
    <row r="2247">
      <c r="A2247" t="n">
        <v>14040223</v>
      </c>
      <c r="B2247" t="n">
        <v>45790</v>
      </c>
      <c r="C2247" t="inlineStr">
        <is>
          <t>1404/02/23</t>
        </is>
      </c>
    </row>
    <row r="2248">
      <c r="A2248" t="n">
        <v>14040224</v>
      </c>
      <c r="B2248" t="n">
        <v>45791</v>
      </c>
      <c r="C2248" t="inlineStr">
        <is>
          <t>1404/02/24</t>
        </is>
      </c>
    </row>
    <row r="2249">
      <c r="A2249" t="n">
        <v>14040225</v>
      </c>
      <c r="B2249" t="n">
        <v>45792</v>
      </c>
      <c r="C2249" t="inlineStr">
        <is>
          <t>1404/02/25</t>
        </is>
      </c>
    </row>
    <row r="2250">
      <c r="A2250" t="n">
        <v>14040226</v>
      </c>
      <c r="B2250" t="n">
        <v>45793</v>
      </c>
      <c r="C2250" t="inlineStr">
        <is>
          <t>1404/02/26</t>
        </is>
      </c>
    </row>
    <row r="2251">
      <c r="A2251" t="n">
        <v>14040227</v>
      </c>
      <c r="B2251" t="n">
        <v>45794</v>
      </c>
      <c r="C2251" t="inlineStr">
        <is>
          <t>1404/02/27</t>
        </is>
      </c>
    </row>
    <row r="2252">
      <c r="A2252" t="n">
        <v>14040228</v>
      </c>
      <c r="B2252" t="n">
        <v>45795</v>
      </c>
      <c r="C2252" t="inlineStr">
        <is>
          <t>1404/02/28</t>
        </is>
      </c>
    </row>
    <row r="2253">
      <c r="A2253" t="n">
        <v>14040229</v>
      </c>
      <c r="B2253" t="n">
        <v>45796</v>
      </c>
      <c r="C2253" t="inlineStr">
        <is>
          <t>1404/02/29</t>
        </is>
      </c>
    </row>
    <row r="2254">
      <c r="A2254" t="n">
        <v>14040230</v>
      </c>
      <c r="B2254" t="n">
        <v>45797</v>
      </c>
      <c r="C2254" t="inlineStr">
        <is>
          <t>1404/02/30</t>
        </is>
      </c>
    </row>
    <row r="2255">
      <c r="A2255" t="n">
        <v>14040231</v>
      </c>
      <c r="B2255" t="n">
        <v>45798</v>
      </c>
      <c r="C2255" t="inlineStr">
        <is>
          <t>1404/02/31</t>
        </is>
      </c>
    </row>
    <row r="2256">
      <c r="A2256" t="n">
        <v>14040301</v>
      </c>
      <c r="B2256" t="n">
        <v>45799</v>
      </c>
      <c r="C2256" t="inlineStr">
        <is>
          <t>1404/03/01</t>
        </is>
      </c>
    </row>
    <row r="2257">
      <c r="A2257" t="n">
        <v>14040302</v>
      </c>
      <c r="B2257" t="n">
        <v>45800</v>
      </c>
      <c r="C2257" t="inlineStr">
        <is>
          <t>1404/03/02</t>
        </is>
      </c>
    </row>
    <row r="2258">
      <c r="A2258" t="n">
        <v>14040303</v>
      </c>
      <c r="B2258" t="n">
        <v>45801</v>
      </c>
      <c r="C2258" t="inlineStr">
        <is>
          <t>1404/03/03</t>
        </is>
      </c>
    </row>
    <row r="2259">
      <c r="A2259" t="n">
        <v>14040304</v>
      </c>
      <c r="B2259" t="n">
        <v>45802</v>
      </c>
      <c r="C2259" t="inlineStr">
        <is>
          <t>1404/03/04</t>
        </is>
      </c>
    </row>
    <row r="2260">
      <c r="A2260" t="n">
        <v>14040305</v>
      </c>
      <c r="B2260" t="n">
        <v>45803</v>
      </c>
      <c r="C2260" t="inlineStr">
        <is>
          <t>1404/03/05</t>
        </is>
      </c>
    </row>
    <row r="2261">
      <c r="A2261" t="n">
        <v>14040306</v>
      </c>
      <c r="B2261" t="n">
        <v>45804</v>
      </c>
      <c r="C2261" t="inlineStr">
        <is>
          <t>1404/03/06</t>
        </is>
      </c>
    </row>
    <row r="2262">
      <c r="A2262" t="n">
        <v>14040307</v>
      </c>
      <c r="B2262" t="n">
        <v>45805</v>
      </c>
      <c r="C2262" t="inlineStr">
        <is>
          <t>1404/03/07</t>
        </is>
      </c>
    </row>
    <row r="2263">
      <c r="A2263" t="n">
        <v>14040308</v>
      </c>
      <c r="B2263" t="n">
        <v>45806</v>
      </c>
      <c r="C2263" t="inlineStr">
        <is>
          <t>1404/03/08</t>
        </is>
      </c>
    </row>
    <row r="2264">
      <c r="A2264" t="n">
        <v>14040309</v>
      </c>
      <c r="B2264" t="n">
        <v>45807</v>
      </c>
      <c r="C2264" t="inlineStr">
        <is>
          <t>1404/03/09</t>
        </is>
      </c>
    </row>
    <row r="2265">
      <c r="A2265" t="n">
        <v>14040310</v>
      </c>
      <c r="B2265" t="n">
        <v>45808</v>
      </c>
      <c r="C2265" t="inlineStr">
        <is>
          <t>1404/03/10</t>
        </is>
      </c>
    </row>
    <row r="2266">
      <c r="A2266" t="n">
        <v>14040311</v>
      </c>
      <c r="B2266" t="n">
        <v>45809</v>
      </c>
      <c r="C2266" t="inlineStr">
        <is>
          <t>1404/03/11</t>
        </is>
      </c>
    </row>
    <row r="2267">
      <c r="A2267" t="n">
        <v>14040312</v>
      </c>
      <c r="B2267" t="n">
        <v>45810</v>
      </c>
      <c r="C2267" t="inlineStr">
        <is>
          <t>1404/03/12</t>
        </is>
      </c>
    </row>
    <row r="2268">
      <c r="A2268" t="n">
        <v>14040313</v>
      </c>
      <c r="B2268" t="n">
        <v>45811</v>
      </c>
      <c r="C2268" t="inlineStr">
        <is>
          <t>1404/03/13</t>
        </is>
      </c>
    </row>
    <row r="2269">
      <c r="A2269" t="n">
        <v>14040314</v>
      </c>
      <c r="B2269" t="n">
        <v>45812</v>
      </c>
      <c r="C2269" t="inlineStr">
        <is>
          <t>1404/03/14</t>
        </is>
      </c>
    </row>
    <row r="2270">
      <c r="A2270" t="n">
        <v>14040315</v>
      </c>
      <c r="B2270" t="n">
        <v>45813</v>
      </c>
      <c r="C2270" t="inlineStr">
        <is>
          <t>1404/03/15</t>
        </is>
      </c>
    </row>
    <row r="2271">
      <c r="A2271" t="n">
        <v>14040316</v>
      </c>
      <c r="B2271" t="n">
        <v>45814</v>
      </c>
      <c r="C2271" t="inlineStr">
        <is>
          <t>1404/03/16</t>
        </is>
      </c>
    </row>
    <row r="2272">
      <c r="A2272" t="n">
        <v>14040317</v>
      </c>
      <c r="B2272" t="n">
        <v>45815</v>
      </c>
      <c r="C2272" t="inlineStr">
        <is>
          <t>1404/03/17</t>
        </is>
      </c>
    </row>
    <row r="2273">
      <c r="A2273" t="n">
        <v>14040318</v>
      </c>
      <c r="B2273" t="n">
        <v>45816</v>
      </c>
      <c r="C2273" t="inlineStr">
        <is>
          <t>1404/03/18</t>
        </is>
      </c>
    </row>
    <row r="2274">
      <c r="A2274" t="n">
        <v>14040319</v>
      </c>
      <c r="B2274" t="n">
        <v>45817</v>
      </c>
      <c r="C2274" t="inlineStr">
        <is>
          <t>1404/03/19</t>
        </is>
      </c>
    </row>
    <row r="2275">
      <c r="A2275" t="n">
        <v>14040320</v>
      </c>
      <c r="B2275" t="n">
        <v>45818</v>
      </c>
      <c r="C2275" t="inlineStr">
        <is>
          <t>1404/03/20</t>
        </is>
      </c>
    </row>
    <row r="2276">
      <c r="A2276" t="n">
        <v>14040321</v>
      </c>
      <c r="B2276" t="n">
        <v>45819</v>
      </c>
      <c r="C2276" t="inlineStr">
        <is>
          <t>1404/03/21</t>
        </is>
      </c>
    </row>
    <row r="2277">
      <c r="A2277" t="n">
        <v>14040322</v>
      </c>
      <c r="B2277" t="n">
        <v>45820</v>
      </c>
      <c r="C2277" t="inlineStr">
        <is>
          <t>1404/03/22</t>
        </is>
      </c>
    </row>
    <row r="2278">
      <c r="A2278" t="n">
        <v>14040323</v>
      </c>
      <c r="B2278" t="n">
        <v>45821</v>
      </c>
      <c r="C2278" t="inlineStr">
        <is>
          <t>1404/03/23</t>
        </is>
      </c>
    </row>
    <row r="2279">
      <c r="A2279" t="n">
        <v>14040324</v>
      </c>
      <c r="B2279" t="n">
        <v>45822</v>
      </c>
      <c r="C2279" t="inlineStr">
        <is>
          <t>1404/03/24</t>
        </is>
      </c>
    </row>
    <row r="2280">
      <c r="A2280" t="n">
        <v>14040325</v>
      </c>
      <c r="B2280" t="n">
        <v>45823</v>
      </c>
      <c r="C2280" t="inlineStr">
        <is>
          <t>1404/03/25</t>
        </is>
      </c>
    </row>
    <row r="2281">
      <c r="A2281" t="n">
        <v>14040326</v>
      </c>
      <c r="B2281" t="n">
        <v>45824</v>
      </c>
      <c r="C2281" t="inlineStr">
        <is>
          <t>1404/03/26</t>
        </is>
      </c>
    </row>
    <row r="2282">
      <c r="A2282" t="n">
        <v>14040327</v>
      </c>
      <c r="B2282" t="n">
        <v>45825</v>
      </c>
      <c r="C2282" t="inlineStr">
        <is>
          <t>1404/03/27</t>
        </is>
      </c>
    </row>
    <row r="2283">
      <c r="A2283" t="n">
        <v>14040328</v>
      </c>
      <c r="B2283" t="n">
        <v>45826</v>
      </c>
      <c r="C2283" t="inlineStr">
        <is>
          <t>1404/03/28</t>
        </is>
      </c>
    </row>
    <row r="2284">
      <c r="A2284" t="n">
        <v>14040329</v>
      </c>
      <c r="B2284" t="n">
        <v>45827</v>
      </c>
      <c r="C2284" t="inlineStr">
        <is>
          <t>1404/03/29</t>
        </is>
      </c>
    </row>
    <row r="2285">
      <c r="A2285" t="n">
        <v>14040330</v>
      </c>
      <c r="B2285" t="n">
        <v>45828</v>
      </c>
      <c r="C2285" t="inlineStr">
        <is>
          <t>1404/03/30</t>
        </is>
      </c>
    </row>
    <row r="2286">
      <c r="A2286" t="n">
        <v>14040331</v>
      </c>
      <c r="B2286" t="n">
        <v>45829</v>
      </c>
      <c r="C2286" t="inlineStr">
        <is>
          <t>1404/03/31</t>
        </is>
      </c>
    </row>
    <row r="2287">
      <c r="A2287" t="n">
        <v>14040401</v>
      </c>
      <c r="B2287" t="n">
        <v>45830</v>
      </c>
      <c r="C2287" t="inlineStr">
        <is>
          <t>1404/04/01</t>
        </is>
      </c>
    </row>
    <row r="2288">
      <c r="A2288" t="n">
        <v>14040402</v>
      </c>
      <c r="B2288" t="n">
        <v>45831</v>
      </c>
      <c r="C2288" t="inlineStr">
        <is>
          <t>1404/04/02</t>
        </is>
      </c>
    </row>
    <row r="2289">
      <c r="A2289" t="n">
        <v>14040403</v>
      </c>
      <c r="B2289" t="n">
        <v>45832</v>
      </c>
      <c r="C2289" t="inlineStr">
        <is>
          <t>1404/04/03</t>
        </is>
      </c>
    </row>
    <row r="2290">
      <c r="A2290" t="n">
        <v>14040404</v>
      </c>
      <c r="B2290" t="n">
        <v>45833</v>
      </c>
      <c r="C2290" t="inlineStr">
        <is>
          <t>1404/04/04</t>
        </is>
      </c>
    </row>
    <row r="2291">
      <c r="A2291" t="n">
        <v>14040405</v>
      </c>
      <c r="B2291" t="n">
        <v>45834</v>
      </c>
      <c r="C2291" t="inlineStr">
        <is>
          <t>1404/04/05</t>
        </is>
      </c>
    </row>
    <row r="2292">
      <c r="A2292" t="n">
        <v>14040406</v>
      </c>
      <c r="B2292" t="n">
        <v>45835</v>
      </c>
      <c r="C2292" t="inlineStr">
        <is>
          <t>1404/04/06</t>
        </is>
      </c>
    </row>
    <row r="2293">
      <c r="A2293" t="n">
        <v>14040407</v>
      </c>
      <c r="B2293" t="n">
        <v>45836</v>
      </c>
      <c r="C2293" t="inlineStr">
        <is>
          <t>1404/04/07</t>
        </is>
      </c>
    </row>
    <row r="2294">
      <c r="A2294" t="n">
        <v>14040408</v>
      </c>
      <c r="B2294" t="n">
        <v>45837</v>
      </c>
      <c r="C2294" t="inlineStr">
        <is>
          <t>1404/04/08</t>
        </is>
      </c>
    </row>
    <row r="2295">
      <c r="A2295" t="n">
        <v>14040409</v>
      </c>
      <c r="B2295" t="n">
        <v>45838</v>
      </c>
      <c r="C2295" t="inlineStr">
        <is>
          <t>1404/04/09</t>
        </is>
      </c>
    </row>
    <row r="2296">
      <c r="A2296" t="n">
        <v>14040410</v>
      </c>
      <c r="B2296" t="n">
        <v>45839</v>
      </c>
      <c r="C2296" t="inlineStr">
        <is>
          <t>1404/04/10</t>
        </is>
      </c>
    </row>
    <row r="2297">
      <c r="A2297" t="n">
        <v>14040411</v>
      </c>
      <c r="B2297" t="n">
        <v>45840</v>
      </c>
      <c r="C2297" t="inlineStr">
        <is>
          <t>1404/04/11</t>
        </is>
      </c>
    </row>
    <row r="2298">
      <c r="A2298" t="n">
        <v>14040412</v>
      </c>
      <c r="B2298" t="n">
        <v>45841</v>
      </c>
      <c r="C2298" t="inlineStr">
        <is>
          <t>1404/04/12</t>
        </is>
      </c>
    </row>
    <row r="2299">
      <c r="A2299" t="n">
        <v>14040413</v>
      </c>
      <c r="B2299" t="n">
        <v>45842</v>
      </c>
      <c r="C2299" t="inlineStr">
        <is>
          <t>1404/04/13</t>
        </is>
      </c>
    </row>
    <row r="2300">
      <c r="A2300" t="n">
        <v>14040414</v>
      </c>
      <c r="B2300" t="n">
        <v>45843</v>
      </c>
      <c r="C2300" t="inlineStr">
        <is>
          <t>1404/04/14</t>
        </is>
      </c>
    </row>
    <row r="2301">
      <c r="A2301" t="n">
        <v>14040415</v>
      </c>
      <c r="B2301" t="n">
        <v>45844</v>
      </c>
      <c r="C2301" t="inlineStr">
        <is>
          <t>1404/04/15</t>
        </is>
      </c>
    </row>
    <row r="2302">
      <c r="A2302" t="n">
        <v>14040416</v>
      </c>
      <c r="B2302" t="n">
        <v>45845</v>
      </c>
      <c r="C2302" t="inlineStr">
        <is>
          <t>1404/04/16</t>
        </is>
      </c>
    </row>
    <row r="2303">
      <c r="A2303" t="n">
        <v>14040417</v>
      </c>
      <c r="B2303" t="n">
        <v>45846</v>
      </c>
      <c r="C2303" t="inlineStr">
        <is>
          <t>1404/04/17</t>
        </is>
      </c>
    </row>
    <row r="2304">
      <c r="A2304" t="n">
        <v>14040418</v>
      </c>
      <c r="B2304" t="n">
        <v>45847</v>
      </c>
      <c r="C2304" t="inlineStr">
        <is>
          <t>1404/04/18</t>
        </is>
      </c>
    </row>
    <row r="2305">
      <c r="A2305" t="n">
        <v>14040419</v>
      </c>
      <c r="B2305" t="n">
        <v>45848</v>
      </c>
      <c r="C2305" t="inlineStr">
        <is>
          <t>1404/04/19</t>
        </is>
      </c>
    </row>
    <row r="2306">
      <c r="A2306" t="n">
        <v>14040420</v>
      </c>
      <c r="B2306" t="n">
        <v>45849</v>
      </c>
      <c r="C2306" t="inlineStr">
        <is>
          <t>1404/04/20</t>
        </is>
      </c>
    </row>
    <row r="2307">
      <c r="A2307" t="n">
        <v>14040421</v>
      </c>
      <c r="B2307" t="n">
        <v>45850</v>
      </c>
      <c r="C2307" t="inlineStr">
        <is>
          <t>1404/04/21</t>
        </is>
      </c>
    </row>
    <row r="2308">
      <c r="A2308" t="n">
        <v>14040422</v>
      </c>
      <c r="B2308" t="n">
        <v>45851</v>
      </c>
      <c r="C2308" t="inlineStr">
        <is>
          <t>1404/04/22</t>
        </is>
      </c>
    </row>
    <row r="2309">
      <c r="A2309" t="n">
        <v>14040423</v>
      </c>
      <c r="B2309" t="n">
        <v>45852</v>
      </c>
      <c r="C2309" t="inlineStr">
        <is>
          <t>1404/04/23</t>
        </is>
      </c>
    </row>
    <row r="2310">
      <c r="A2310" t="n">
        <v>14040424</v>
      </c>
      <c r="B2310" t="n">
        <v>45853</v>
      </c>
      <c r="C2310" t="inlineStr">
        <is>
          <t>1404/04/24</t>
        </is>
      </c>
    </row>
    <row r="2311">
      <c r="A2311" t="n">
        <v>14040425</v>
      </c>
      <c r="B2311" t="n">
        <v>45854</v>
      </c>
      <c r="C2311" t="inlineStr">
        <is>
          <t>1404/04/25</t>
        </is>
      </c>
    </row>
    <row r="2312">
      <c r="A2312" t="n">
        <v>14040426</v>
      </c>
      <c r="B2312" t="n">
        <v>45855</v>
      </c>
      <c r="C2312" t="inlineStr">
        <is>
          <t>1404/04/26</t>
        </is>
      </c>
    </row>
    <row r="2313">
      <c r="A2313" t="n">
        <v>14040427</v>
      </c>
      <c r="B2313" t="n">
        <v>45856</v>
      </c>
      <c r="C2313" t="inlineStr">
        <is>
          <t>1404/04/27</t>
        </is>
      </c>
    </row>
    <row r="2314">
      <c r="A2314" t="n">
        <v>14040428</v>
      </c>
      <c r="B2314" t="n">
        <v>45857</v>
      </c>
      <c r="C2314" t="inlineStr">
        <is>
          <t>1404/04/28</t>
        </is>
      </c>
    </row>
    <row r="2315">
      <c r="A2315" t="n">
        <v>14040429</v>
      </c>
      <c r="B2315" t="n">
        <v>45858</v>
      </c>
      <c r="C2315" t="inlineStr">
        <is>
          <t>1404/04/29</t>
        </is>
      </c>
    </row>
    <row r="2316">
      <c r="A2316" t="n">
        <v>14040430</v>
      </c>
      <c r="B2316" t="n">
        <v>45859</v>
      </c>
      <c r="C2316" t="inlineStr">
        <is>
          <t>1404/04/30</t>
        </is>
      </c>
    </row>
    <row r="2317">
      <c r="A2317" t="n">
        <v>14040431</v>
      </c>
      <c r="B2317" t="n">
        <v>45860</v>
      </c>
      <c r="C2317" t="inlineStr">
        <is>
          <t>1404/04/31</t>
        </is>
      </c>
    </row>
    <row r="2318">
      <c r="A2318" t="n">
        <v>14040501</v>
      </c>
      <c r="B2318" t="n">
        <v>45861</v>
      </c>
      <c r="C2318" t="inlineStr">
        <is>
          <t>1404/05/01</t>
        </is>
      </c>
    </row>
    <row r="2319">
      <c r="A2319" t="n">
        <v>14040502</v>
      </c>
      <c r="B2319" t="n">
        <v>45862</v>
      </c>
      <c r="C2319" t="inlineStr">
        <is>
          <t>1404/05/02</t>
        </is>
      </c>
    </row>
    <row r="2320">
      <c r="A2320" t="n">
        <v>14040503</v>
      </c>
      <c r="B2320" t="n">
        <v>45863</v>
      </c>
      <c r="C2320" t="inlineStr">
        <is>
          <t>1404/05/03</t>
        </is>
      </c>
    </row>
    <row r="2321">
      <c r="A2321" t="n">
        <v>14040504</v>
      </c>
      <c r="B2321" t="n">
        <v>45864</v>
      </c>
      <c r="C2321" t="inlineStr">
        <is>
          <t>1404/05/04</t>
        </is>
      </c>
    </row>
    <row r="2322">
      <c r="A2322" t="n">
        <v>14040505</v>
      </c>
      <c r="B2322" t="n">
        <v>45865</v>
      </c>
      <c r="C2322" t="inlineStr">
        <is>
          <t>1404/05/05</t>
        </is>
      </c>
    </row>
    <row r="2323">
      <c r="A2323" t="n">
        <v>14040506</v>
      </c>
      <c r="B2323" t="n">
        <v>45866</v>
      </c>
      <c r="C2323" t="inlineStr">
        <is>
          <t>1404/05/06</t>
        </is>
      </c>
    </row>
    <row r="2324">
      <c r="A2324" t="n">
        <v>14040507</v>
      </c>
      <c r="B2324" t="n">
        <v>45867</v>
      </c>
      <c r="C2324" t="inlineStr">
        <is>
          <t>1404/05/07</t>
        </is>
      </c>
    </row>
    <row r="2325">
      <c r="A2325" t="n">
        <v>14040508</v>
      </c>
      <c r="B2325" t="n">
        <v>45868</v>
      </c>
      <c r="C2325" t="inlineStr">
        <is>
          <t>1404/05/08</t>
        </is>
      </c>
    </row>
    <row r="2326">
      <c r="A2326" t="n">
        <v>14040509</v>
      </c>
      <c r="B2326" t="n">
        <v>45869</v>
      </c>
      <c r="C2326" t="inlineStr">
        <is>
          <t>1404/05/09</t>
        </is>
      </c>
    </row>
    <row r="2327">
      <c r="A2327" t="n">
        <v>14040510</v>
      </c>
      <c r="B2327" t="n">
        <v>45870</v>
      </c>
      <c r="C2327" t="inlineStr">
        <is>
          <t>1404/05/10</t>
        </is>
      </c>
    </row>
    <row r="2328">
      <c r="A2328" t="n">
        <v>14040511</v>
      </c>
      <c r="B2328" t="n">
        <v>45871</v>
      </c>
      <c r="C2328" t="inlineStr">
        <is>
          <t>1404/05/11</t>
        </is>
      </c>
    </row>
    <row r="2329">
      <c r="A2329" t="n">
        <v>14040512</v>
      </c>
      <c r="B2329" t="n">
        <v>45872</v>
      </c>
      <c r="C2329" t="inlineStr">
        <is>
          <t>1404/05/12</t>
        </is>
      </c>
    </row>
    <row r="2330">
      <c r="A2330" t="n">
        <v>14040513</v>
      </c>
      <c r="B2330" t="n">
        <v>45873</v>
      </c>
      <c r="C2330" t="inlineStr">
        <is>
          <t>1404/05/13</t>
        </is>
      </c>
    </row>
    <row r="2331">
      <c r="A2331" t="n">
        <v>14040514</v>
      </c>
      <c r="B2331" t="n">
        <v>45874</v>
      </c>
      <c r="C2331" t="inlineStr">
        <is>
          <t>1404/05/14</t>
        </is>
      </c>
    </row>
    <row r="2332">
      <c r="A2332" t="n">
        <v>14040515</v>
      </c>
      <c r="B2332" t="n">
        <v>45875</v>
      </c>
      <c r="C2332" t="inlineStr">
        <is>
          <t>1404/05/15</t>
        </is>
      </c>
    </row>
    <row r="2333">
      <c r="A2333" t="n">
        <v>14040516</v>
      </c>
      <c r="B2333" t="n">
        <v>45876</v>
      </c>
      <c r="C2333" t="inlineStr">
        <is>
          <t>1404/05/16</t>
        </is>
      </c>
    </row>
    <row r="2334">
      <c r="A2334" t="n">
        <v>14040517</v>
      </c>
      <c r="B2334" t="n">
        <v>45877</v>
      </c>
      <c r="C2334" t="inlineStr">
        <is>
          <t>1404/05/17</t>
        </is>
      </c>
    </row>
    <row r="2335">
      <c r="A2335" t="n">
        <v>14040518</v>
      </c>
      <c r="B2335" t="n">
        <v>45878</v>
      </c>
      <c r="C2335" t="inlineStr">
        <is>
          <t>1404/05/18</t>
        </is>
      </c>
    </row>
    <row r="2336">
      <c r="A2336" t="n">
        <v>14040519</v>
      </c>
      <c r="B2336" t="n">
        <v>45879</v>
      </c>
      <c r="C2336" t="inlineStr">
        <is>
          <t>1404/05/19</t>
        </is>
      </c>
    </row>
    <row r="2337">
      <c r="A2337" t="n">
        <v>14040520</v>
      </c>
      <c r="B2337" t="n">
        <v>45880</v>
      </c>
      <c r="C2337" t="inlineStr">
        <is>
          <t>1404/05/20</t>
        </is>
      </c>
    </row>
    <row r="2338">
      <c r="A2338" t="n">
        <v>14040521</v>
      </c>
      <c r="B2338" t="n">
        <v>45881</v>
      </c>
      <c r="C2338" t="inlineStr">
        <is>
          <t>1404/05/21</t>
        </is>
      </c>
    </row>
    <row r="2339">
      <c r="A2339" t="n">
        <v>14040522</v>
      </c>
      <c r="B2339" t="n">
        <v>45882</v>
      </c>
      <c r="C2339" t="inlineStr">
        <is>
          <t>1404/05/22</t>
        </is>
      </c>
    </row>
    <row r="2340">
      <c r="A2340" t="n">
        <v>14040523</v>
      </c>
      <c r="B2340" t="n">
        <v>45883</v>
      </c>
      <c r="C2340" t="inlineStr">
        <is>
          <t>1404/05/23</t>
        </is>
      </c>
    </row>
    <row r="2341">
      <c r="A2341" t="n">
        <v>14040524</v>
      </c>
      <c r="B2341" t="n">
        <v>45884</v>
      </c>
      <c r="C2341" t="inlineStr">
        <is>
          <t>1404/05/24</t>
        </is>
      </c>
    </row>
    <row r="2342">
      <c r="A2342" t="n">
        <v>14040525</v>
      </c>
      <c r="B2342" t="n">
        <v>45885</v>
      </c>
      <c r="C2342" t="inlineStr">
        <is>
          <t>1404/05/25</t>
        </is>
      </c>
    </row>
    <row r="2343">
      <c r="A2343" t="n">
        <v>14040526</v>
      </c>
      <c r="B2343" t="n">
        <v>45886</v>
      </c>
      <c r="C2343" t="inlineStr">
        <is>
          <t>1404/05/26</t>
        </is>
      </c>
    </row>
    <row r="2344">
      <c r="A2344" t="n">
        <v>14040527</v>
      </c>
      <c r="B2344" t="n">
        <v>45887</v>
      </c>
      <c r="C2344" t="inlineStr">
        <is>
          <t>1404/05/27</t>
        </is>
      </c>
    </row>
    <row r="2345">
      <c r="A2345" t="n">
        <v>14040528</v>
      </c>
      <c r="B2345" t="n">
        <v>45888</v>
      </c>
      <c r="C2345" t="inlineStr">
        <is>
          <t>1404/05/28</t>
        </is>
      </c>
    </row>
    <row r="2346">
      <c r="A2346" t="n">
        <v>14040529</v>
      </c>
      <c r="B2346" t="n">
        <v>45889</v>
      </c>
      <c r="C2346" t="inlineStr">
        <is>
          <t>1404/05/29</t>
        </is>
      </c>
    </row>
    <row r="2347">
      <c r="A2347" t="n">
        <v>14040530</v>
      </c>
      <c r="B2347" t="n">
        <v>45890</v>
      </c>
      <c r="C2347" t="inlineStr">
        <is>
          <t>1404/05/30</t>
        </is>
      </c>
    </row>
    <row r="2348">
      <c r="A2348" t="n">
        <v>14040531</v>
      </c>
      <c r="B2348" t="n">
        <v>45891</v>
      </c>
      <c r="C2348" t="inlineStr">
        <is>
          <t>1404/05/31</t>
        </is>
      </c>
    </row>
    <row r="2349">
      <c r="A2349" t="n">
        <v>14040601</v>
      </c>
      <c r="B2349" t="n">
        <v>45892</v>
      </c>
      <c r="C2349" t="inlineStr">
        <is>
          <t>1404/06/01</t>
        </is>
      </c>
    </row>
    <row r="2350">
      <c r="A2350" t="n">
        <v>14040602</v>
      </c>
      <c r="B2350" t="n">
        <v>45893</v>
      </c>
      <c r="C2350" t="inlineStr">
        <is>
          <t>1404/06/02</t>
        </is>
      </c>
    </row>
    <row r="2351">
      <c r="A2351" t="n">
        <v>14040603</v>
      </c>
      <c r="B2351" t="n">
        <v>45894</v>
      </c>
      <c r="C2351" t="inlineStr">
        <is>
          <t>1404/06/03</t>
        </is>
      </c>
    </row>
    <row r="2352">
      <c r="A2352" t="n">
        <v>14040604</v>
      </c>
      <c r="B2352" t="n">
        <v>45895</v>
      </c>
      <c r="C2352" t="inlineStr">
        <is>
          <t>1404/06/04</t>
        </is>
      </c>
    </row>
    <row r="2353">
      <c r="A2353" t="n">
        <v>14040605</v>
      </c>
      <c r="B2353" t="n">
        <v>45896</v>
      </c>
      <c r="C2353" t="inlineStr">
        <is>
          <t>1404/06/05</t>
        </is>
      </c>
    </row>
    <row r="2354">
      <c r="A2354" t="n">
        <v>14040606</v>
      </c>
      <c r="B2354" t="n">
        <v>45897</v>
      </c>
      <c r="C2354" t="inlineStr">
        <is>
          <t>1404/06/06</t>
        </is>
      </c>
    </row>
    <row r="2355">
      <c r="A2355" t="n">
        <v>14040607</v>
      </c>
      <c r="B2355" t="n">
        <v>45898</v>
      </c>
      <c r="C2355" t="inlineStr">
        <is>
          <t>1404/06/07</t>
        </is>
      </c>
    </row>
    <row r="2356">
      <c r="A2356" t="n">
        <v>14040608</v>
      </c>
      <c r="B2356" t="n">
        <v>45899</v>
      </c>
      <c r="C2356" t="inlineStr">
        <is>
          <t>1404/06/08</t>
        </is>
      </c>
    </row>
    <row r="2357">
      <c r="A2357" t="n">
        <v>14040609</v>
      </c>
      <c r="B2357" t="n">
        <v>45900</v>
      </c>
      <c r="C2357" t="inlineStr">
        <is>
          <t>1404/06/09</t>
        </is>
      </c>
    </row>
    <row r="2358">
      <c r="A2358" t="n">
        <v>14040610</v>
      </c>
      <c r="B2358" t="n">
        <v>45901</v>
      </c>
      <c r="C2358" t="inlineStr">
        <is>
          <t>1404/06/10</t>
        </is>
      </c>
    </row>
    <row r="2359">
      <c r="A2359" t="n">
        <v>14040611</v>
      </c>
      <c r="B2359" t="n">
        <v>45902</v>
      </c>
      <c r="C2359" t="inlineStr">
        <is>
          <t>1404/06/11</t>
        </is>
      </c>
    </row>
    <row r="2360">
      <c r="A2360" t="n">
        <v>14040612</v>
      </c>
      <c r="B2360" t="n">
        <v>45903</v>
      </c>
      <c r="C2360" t="inlineStr">
        <is>
          <t>1404/06/12</t>
        </is>
      </c>
    </row>
    <row r="2361">
      <c r="A2361" t="n">
        <v>14040613</v>
      </c>
      <c r="B2361" t="n">
        <v>45904</v>
      </c>
      <c r="C2361" t="inlineStr">
        <is>
          <t>1404/06/13</t>
        </is>
      </c>
    </row>
    <row r="2362">
      <c r="A2362" t="n">
        <v>14040614</v>
      </c>
      <c r="B2362" t="n">
        <v>45905</v>
      </c>
      <c r="C2362" t="inlineStr">
        <is>
          <t>1404/06/14</t>
        </is>
      </c>
    </row>
    <row r="2363">
      <c r="A2363" t="n">
        <v>14040615</v>
      </c>
      <c r="B2363" t="n">
        <v>45906</v>
      </c>
      <c r="C2363" t="inlineStr">
        <is>
          <t>1404/06/15</t>
        </is>
      </c>
    </row>
    <row r="2364">
      <c r="A2364" t="n">
        <v>14040616</v>
      </c>
      <c r="B2364" t="n">
        <v>45907</v>
      </c>
      <c r="C2364" t="inlineStr">
        <is>
          <t>1404/06/16</t>
        </is>
      </c>
    </row>
    <row r="2365">
      <c r="A2365" t="n">
        <v>14040617</v>
      </c>
      <c r="B2365" t="n">
        <v>45908</v>
      </c>
      <c r="C2365" t="inlineStr">
        <is>
          <t>1404/06/17</t>
        </is>
      </c>
    </row>
    <row r="2366">
      <c r="A2366" t="n">
        <v>14040618</v>
      </c>
      <c r="B2366" t="n">
        <v>45909</v>
      </c>
      <c r="C2366" t="inlineStr">
        <is>
          <t>1404/06/18</t>
        </is>
      </c>
    </row>
    <row r="2367">
      <c r="A2367" t="n">
        <v>14040619</v>
      </c>
      <c r="B2367" t="n">
        <v>45910</v>
      </c>
      <c r="C2367" t="inlineStr">
        <is>
          <t>1404/06/19</t>
        </is>
      </c>
    </row>
    <row r="2368">
      <c r="A2368" t="n">
        <v>14040620</v>
      </c>
      <c r="B2368" t="n">
        <v>45911</v>
      </c>
      <c r="C2368" t="inlineStr">
        <is>
          <t>1404/06/20</t>
        </is>
      </c>
    </row>
    <row r="2369">
      <c r="A2369" t="n">
        <v>14040621</v>
      </c>
      <c r="B2369" t="n">
        <v>45912</v>
      </c>
      <c r="C2369" t="inlineStr">
        <is>
          <t>1404/06/21</t>
        </is>
      </c>
    </row>
    <row r="2370">
      <c r="A2370" t="n">
        <v>14040622</v>
      </c>
      <c r="B2370" t="n">
        <v>45913</v>
      </c>
      <c r="C2370" t="inlineStr">
        <is>
          <t>1404/06/22</t>
        </is>
      </c>
    </row>
    <row r="2371">
      <c r="A2371" t="n">
        <v>14040623</v>
      </c>
      <c r="B2371" t="n">
        <v>45914</v>
      </c>
      <c r="C2371" t="inlineStr">
        <is>
          <t>1404/06/23</t>
        </is>
      </c>
    </row>
    <row r="2372">
      <c r="A2372" t="n">
        <v>14040624</v>
      </c>
      <c r="B2372" t="n">
        <v>45915</v>
      </c>
      <c r="C2372" t="inlineStr">
        <is>
          <t>1404/06/24</t>
        </is>
      </c>
    </row>
    <row r="2373">
      <c r="A2373" t="n">
        <v>14040625</v>
      </c>
      <c r="B2373" t="n">
        <v>45916</v>
      </c>
      <c r="C2373" t="inlineStr">
        <is>
          <t>1404/06/25</t>
        </is>
      </c>
    </row>
    <row r="2374">
      <c r="A2374" t="n">
        <v>14040626</v>
      </c>
      <c r="B2374" t="n">
        <v>45917</v>
      </c>
      <c r="C2374" t="inlineStr">
        <is>
          <t>1404/06/26</t>
        </is>
      </c>
    </row>
    <row r="2375">
      <c r="A2375" t="n">
        <v>14040627</v>
      </c>
      <c r="B2375" t="n">
        <v>45918</v>
      </c>
      <c r="C2375" t="inlineStr">
        <is>
          <t>1404/06/27</t>
        </is>
      </c>
    </row>
    <row r="2376">
      <c r="A2376" t="n">
        <v>14040628</v>
      </c>
      <c r="B2376" t="n">
        <v>45919</v>
      </c>
      <c r="C2376" t="inlineStr">
        <is>
          <t>1404/06/28</t>
        </is>
      </c>
    </row>
    <row r="2377">
      <c r="A2377" t="n">
        <v>14040629</v>
      </c>
      <c r="B2377" t="n">
        <v>45920</v>
      </c>
      <c r="C2377" t="inlineStr">
        <is>
          <t>1404/06/29</t>
        </is>
      </c>
    </row>
    <row r="2378">
      <c r="A2378" t="n">
        <v>14040630</v>
      </c>
      <c r="B2378" t="n">
        <v>45921</v>
      </c>
      <c r="C2378" t="inlineStr">
        <is>
          <t>1404/06/30</t>
        </is>
      </c>
    </row>
    <row r="2379">
      <c r="A2379" t="n">
        <v>14040631</v>
      </c>
      <c r="B2379" t="n">
        <v>45922</v>
      </c>
      <c r="C2379" t="inlineStr">
        <is>
          <t>1404/06/31</t>
        </is>
      </c>
    </row>
    <row r="2380">
      <c r="A2380" t="n">
        <v>14040701</v>
      </c>
      <c r="B2380" t="n">
        <v>45923</v>
      </c>
      <c r="C2380" t="inlineStr">
        <is>
          <t>1404/07/01</t>
        </is>
      </c>
    </row>
    <row r="2381">
      <c r="A2381" t="n">
        <v>14040702</v>
      </c>
      <c r="B2381" t="n">
        <v>45924</v>
      </c>
      <c r="C2381" t="inlineStr">
        <is>
          <t>1404/07/02</t>
        </is>
      </c>
    </row>
    <row r="2382">
      <c r="A2382" t="n">
        <v>14040703</v>
      </c>
      <c r="B2382" t="n">
        <v>45925</v>
      </c>
      <c r="C2382" t="inlineStr">
        <is>
          <t>1404/07/03</t>
        </is>
      </c>
    </row>
    <row r="2383">
      <c r="A2383" t="n">
        <v>14040704</v>
      </c>
      <c r="B2383" t="n">
        <v>45926</v>
      </c>
      <c r="C2383" t="inlineStr">
        <is>
          <t>1404/07/04</t>
        </is>
      </c>
    </row>
    <row r="2384">
      <c r="A2384" t="n">
        <v>14040705</v>
      </c>
      <c r="B2384" t="n">
        <v>45927</v>
      </c>
      <c r="C2384" t="inlineStr">
        <is>
          <t>1404/07/05</t>
        </is>
      </c>
    </row>
    <row r="2385">
      <c r="A2385" t="n">
        <v>14040706</v>
      </c>
      <c r="B2385" t="n">
        <v>45928</v>
      </c>
      <c r="C2385" t="inlineStr">
        <is>
          <t>1404/07/06</t>
        </is>
      </c>
    </row>
    <row r="2386">
      <c r="A2386" t="n">
        <v>14040707</v>
      </c>
      <c r="B2386" t="n">
        <v>45929</v>
      </c>
      <c r="C2386" t="inlineStr">
        <is>
          <t>1404/07/07</t>
        </is>
      </c>
    </row>
    <row r="2387">
      <c r="A2387" t="n">
        <v>14040708</v>
      </c>
      <c r="B2387" t="n">
        <v>45930</v>
      </c>
      <c r="C2387" t="inlineStr">
        <is>
          <t>1404/07/08</t>
        </is>
      </c>
    </row>
    <row r="2388">
      <c r="A2388" t="n">
        <v>14040709</v>
      </c>
      <c r="B2388" t="n">
        <v>45931</v>
      </c>
      <c r="C2388" t="inlineStr">
        <is>
          <t>1404/07/09</t>
        </is>
      </c>
    </row>
    <row r="2389">
      <c r="A2389" t="n">
        <v>14040710</v>
      </c>
      <c r="B2389" t="n">
        <v>45932</v>
      </c>
      <c r="C2389" t="inlineStr">
        <is>
          <t>1404/07/10</t>
        </is>
      </c>
    </row>
    <row r="2390">
      <c r="A2390" t="n">
        <v>14040711</v>
      </c>
      <c r="B2390" t="n">
        <v>45933</v>
      </c>
      <c r="C2390" t="inlineStr">
        <is>
          <t>1404/07/11</t>
        </is>
      </c>
    </row>
    <row r="2391">
      <c r="A2391" t="n">
        <v>14040712</v>
      </c>
      <c r="B2391" t="n">
        <v>45934</v>
      </c>
      <c r="C2391" t="inlineStr">
        <is>
          <t>1404/07/12</t>
        </is>
      </c>
    </row>
    <row r="2392">
      <c r="A2392" t="n">
        <v>14040713</v>
      </c>
      <c r="B2392" t="n">
        <v>45935</v>
      </c>
      <c r="C2392" t="inlineStr">
        <is>
          <t>1404/07/13</t>
        </is>
      </c>
    </row>
    <row r="2393">
      <c r="A2393" t="n">
        <v>14040714</v>
      </c>
      <c r="B2393" t="n">
        <v>45936</v>
      </c>
      <c r="C2393" t="inlineStr">
        <is>
          <t>1404/07/14</t>
        </is>
      </c>
    </row>
    <row r="2394">
      <c r="A2394" t="n">
        <v>14040715</v>
      </c>
      <c r="B2394" t="n">
        <v>45937</v>
      </c>
      <c r="C2394" t="inlineStr">
        <is>
          <t>1404/07/15</t>
        </is>
      </c>
    </row>
    <row r="2395">
      <c r="A2395" t="n">
        <v>14040716</v>
      </c>
      <c r="B2395" t="n">
        <v>45938</v>
      </c>
      <c r="C2395" t="inlineStr">
        <is>
          <t>1404/07/16</t>
        </is>
      </c>
    </row>
    <row r="2396">
      <c r="A2396" t="n">
        <v>14040717</v>
      </c>
      <c r="B2396" t="n">
        <v>45939</v>
      </c>
      <c r="C2396" t="inlineStr">
        <is>
          <t>1404/07/17</t>
        </is>
      </c>
    </row>
    <row r="2397">
      <c r="A2397" t="n">
        <v>14040718</v>
      </c>
      <c r="B2397" t="n">
        <v>45940</v>
      </c>
      <c r="C2397" t="inlineStr">
        <is>
          <t>1404/07/18</t>
        </is>
      </c>
    </row>
    <row r="2398">
      <c r="A2398" t="n">
        <v>14040719</v>
      </c>
      <c r="B2398" t="n">
        <v>45941</v>
      </c>
      <c r="C2398" t="inlineStr">
        <is>
          <t>1404/07/19</t>
        </is>
      </c>
    </row>
    <row r="2399">
      <c r="A2399" t="n">
        <v>14040720</v>
      </c>
      <c r="B2399" t="n">
        <v>45942</v>
      </c>
      <c r="C2399" t="inlineStr">
        <is>
          <t>1404/07/20</t>
        </is>
      </c>
    </row>
    <row r="2400">
      <c r="A2400" t="n">
        <v>14040721</v>
      </c>
      <c r="B2400" t="n">
        <v>45943</v>
      </c>
      <c r="C2400" t="inlineStr">
        <is>
          <t>1404/07/21</t>
        </is>
      </c>
    </row>
    <row r="2401">
      <c r="A2401" t="n">
        <v>14040722</v>
      </c>
      <c r="B2401" t="n">
        <v>45944</v>
      </c>
      <c r="C2401" t="inlineStr">
        <is>
          <t>1404/07/22</t>
        </is>
      </c>
    </row>
    <row r="2402">
      <c r="A2402" t="n">
        <v>14040723</v>
      </c>
      <c r="B2402" t="n">
        <v>45945</v>
      </c>
      <c r="C2402" t="inlineStr">
        <is>
          <t>1404/07/23</t>
        </is>
      </c>
    </row>
    <row r="2403">
      <c r="A2403" t="n">
        <v>14040724</v>
      </c>
      <c r="B2403" t="n">
        <v>45946</v>
      </c>
      <c r="C2403" t="inlineStr">
        <is>
          <t>1404/07/24</t>
        </is>
      </c>
    </row>
    <row r="2404">
      <c r="A2404" t="n">
        <v>14040725</v>
      </c>
      <c r="B2404" t="n">
        <v>45947</v>
      </c>
      <c r="C2404" t="inlineStr">
        <is>
          <t>1404/07/25</t>
        </is>
      </c>
    </row>
    <row r="2405">
      <c r="A2405" t="n">
        <v>14040726</v>
      </c>
      <c r="B2405" t="n">
        <v>45948</v>
      </c>
      <c r="C2405" t="inlineStr">
        <is>
          <t>1404/07/26</t>
        </is>
      </c>
    </row>
    <row r="2406">
      <c r="A2406" t="n">
        <v>14040727</v>
      </c>
      <c r="B2406" t="n">
        <v>45949</v>
      </c>
      <c r="C2406" t="inlineStr">
        <is>
          <t>1404/07/27</t>
        </is>
      </c>
    </row>
    <row r="2407">
      <c r="A2407" t="n">
        <v>14040728</v>
      </c>
      <c r="B2407" t="n">
        <v>45950</v>
      </c>
      <c r="C2407" t="inlineStr">
        <is>
          <t>1404/07/28</t>
        </is>
      </c>
    </row>
    <row r="2408">
      <c r="A2408" t="n">
        <v>14040729</v>
      </c>
      <c r="B2408" t="n">
        <v>45951</v>
      </c>
      <c r="C2408" t="inlineStr">
        <is>
          <t>1404/07/29</t>
        </is>
      </c>
    </row>
    <row r="2409">
      <c r="A2409" t="n">
        <v>14040730</v>
      </c>
      <c r="B2409" t="n">
        <v>45952</v>
      </c>
      <c r="C2409" t="inlineStr">
        <is>
          <t>1404/07/30</t>
        </is>
      </c>
    </row>
    <row r="2410">
      <c r="A2410" t="n">
        <v>14040801</v>
      </c>
      <c r="B2410" t="n">
        <v>45953</v>
      </c>
      <c r="C2410" t="inlineStr">
        <is>
          <t>1404/08/01</t>
        </is>
      </c>
    </row>
    <row r="2411">
      <c r="A2411" t="n">
        <v>14040802</v>
      </c>
      <c r="B2411" t="n">
        <v>45954</v>
      </c>
      <c r="C2411" t="inlineStr">
        <is>
          <t>1404/08/02</t>
        </is>
      </c>
    </row>
    <row r="2412">
      <c r="A2412" t="n">
        <v>14040803</v>
      </c>
      <c r="B2412" t="n">
        <v>45955</v>
      </c>
      <c r="C2412" t="inlineStr">
        <is>
          <t>1404/08/03</t>
        </is>
      </c>
    </row>
    <row r="2413">
      <c r="A2413" t="n">
        <v>14040804</v>
      </c>
      <c r="B2413" t="n">
        <v>45956</v>
      </c>
      <c r="C2413" t="inlineStr">
        <is>
          <t>1404/08/04</t>
        </is>
      </c>
    </row>
    <row r="2414">
      <c r="A2414" t="n">
        <v>14040805</v>
      </c>
      <c r="B2414" t="n">
        <v>45957</v>
      </c>
      <c r="C2414" t="inlineStr">
        <is>
          <t>1404/08/05</t>
        </is>
      </c>
    </row>
    <row r="2415">
      <c r="A2415" t="n">
        <v>14040806</v>
      </c>
      <c r="B2415" t="n">
        <v>45958</v>
      </c>
      <c r="C2415" t="inlineStr">
        <is>
          <t>1404/08/06</t>
        </is>
      </c>
    </row>
    <row r="2416">
      <c r="A2416" t="n">
        <v>14040807</v>
      </c>
      <c r="B2416" t="n">
        <v>45959</v>
      </c>
      <c r="C2416" t="inlineStr">
        <is>
          <t>1404/08/07</t>
        </is>
      </c>
    </row>
    <row r="2417">
      <c r="A2417" t="n">
        <v>14040808</v>
      </c>
      <c r="B2417" t="n">
        <v>45960</v>
      </c>
      <c r="C2417" t="inlineStr">
        <is>
          <t>1404/08/08</t>
        </is>
      </c>
    </row>
    <row r="2418">
      <c r="A2418" t="n">
        <v>14040809</v>
      </c>
      <c r="B2418" t="n">
        <v>45961</v>
      </c>
      <c r="C2418" t="inlineStr">
        <is>
          <t>1404/08/09</t>
        </is>
      </c>
    </row>
    <row r="2419">
      <c r="A2419" t="n">
        <v>14040810</v>
      </c>
      <c r="B2419" t="n">
        <v>45962</v>
      </c>
      <c r="C2419" t="inlineStr">
        <is>
          <t>1404/08/10</t>
        </is>
      </c>
    </row>
    <row r="2420">
      <c r="A2420" t="n">
        <v>14040811</v>
      </c>
      <c r="B2420" t="n">
        <v>45963</v>
      </c>
      <c r="C2420" t="inlineStr">
        <is>
          <t>1404/08/11</t>
        </is>
      </c>
    </row>
    <row r="2421">
      <c r="A2421" t="n">
        <v>14040812</v>
      </c>
      <c r="B2421" t="n">
        <v>45964</v>
      </c>
      <c r="C2421" t="inlineStr">
        <is>
          <t>1404/08/12</t>
        </is>
      </c>
    </row>
    <row r="2422">
      <c r="A2422" t="n">
        <v>14040813</v>
      </c>
      <c r="B2422" t="n">
        <v>45965</v>
      </c>
      <c r="C2422" t="inlineStr">
        <is>
          <t>1404/08/13</t>
        </is>
      </c>
    </row>
    <row r="2423">
      <c r="A2423" t="n">
        <v>14040814</v>
      </c>
      <c r="B2423" t="n">
        <v>45966</v>
      </c>
      <c r="C2423" t="inlineStr">
        <is>
          <t>1404/08/14</t>
        </is>
      </c>
    </row>
    <row r="2424">
      <c r="A2424" t="n">
        <v>14040815</v>
      </c>
      <c r="B2424" t="n">
        <v>45967</v>
      </c>
      <c r="C2424" t="inlineStr">
        <is>
          <t>1404/08/15</t>
        </is>
      </c>
    </row>
    <row r="2425">
      <c r="A2425" t="n">
        <v>14040816</v>
      </c>
      <c r="B2425" t="n">
        <v>45968</v>
      </c>
      <c r="C2425" t="inlineStr">
        <is>
          <t>1404/08/16</t>
        </is>
      </c>
    </row>
    <row r="2426">
      <c r="A2426" t="n">
        <v>14040817</v>
      </c>
      <c r="B2426" t="n">
        <v>45969</v>
      </c>
      <c r="C2426" t="inlineStr">
        <is>
          <t>1404/08/17</t>
        </is>
      </c>
    </row>
    <row r="2427">
      <c r="A2427" t="n">
        <v>14040818</v>
      </c>
      <c r="B2427" t="n">
        <v>45970</v>
      </c>
      <c r="C2427" t="inlineStr">
        <is>
          <t>1404/08/18</t>
        </is>
      </c>
    </row>
    <row r="2428">
      <c r="A2428" t="n">
        <v>14040819</v>
      </c>
      <c r="B2428" t="n">
        <v>45971</v>
      </c>
      <c r="C2428" t="inlineStr">
        <is>
          <t>1404/08/19</t>
        </is>
      </c>
    </row>
    <row r="2429">
      <c r="A2429" t="n">
        <v>14040820</v>
      </c>
      <c r="B2429" t="n">
        <v>45972</v>
      </c>
      <c r="C2429" t="inlineStr">
        <is>
          <t>1404/08/20</t>
        </is>
      </c>
    </row>
    <row r="2430">
      <c r="A2430" t="n">
        <v>14040821</v>
      </c>
      <c r="B2430" t="n">
        <v>45973</v>
      </c>
      <c r="C2430" t="inlineStr">
        <is>
          <t>1404/08/21</t>
        </is>
      </c>
    </row>
    <row r="2431">
      <c r="A2431" t="n">
        <v>14040822</v>
      </c>
      <c r="B2431" t="n">
        <v>45974</v>
      </c>
      <c r="C2431" t="inlineStr">
        <is>
          <t>1404/08/22</t>
        </is>
      </c>
    </row>
    <row r="2432">
      <c r="A2432" t="n">
        <v>14040823</v>
      </c>
      <c r="B2432" t="n">
        <v>45975</v>
      </c>
      <c r="C2432" t="inlineStr">
        <is>
          <t>1404/08/23</t>
        </is>
      </c>
    </row>
    <row r="2433">
      <c r="A2433" t="n">
        <v>14040824</v>
      </c>
      <c r="B2433" t="n">
        <v>45976</v>
      </c>
      <c r="C2433" t="inlineStr">
        <is>
          <t>1404/08/24</t>
        </is>
      </c>
    </row>
    <row r="2434">
      <c r="A2434" t="n">
        <v>14040825</v>
      </c>
      <c r="B2434" t="n">
        <v>45977</v>
      </c>
      <c r="C2434" t="inlineStr">
        <is>
          <t>1404/08/25</t>
        </is>
      </c>
    </row>
    <row r="2435">
      <c r="A2435" t="n">
        <v>14040826</v>
      </c>
      <c r="B2435" t="n">
        <v>45978</v>
      </c>
      <c r="C2435" t="inlineStr">
        <is>
          <t>1404/08/26</t>
        </is>
      </c>
    </row>
    <row r="2436">
      <c r="A2436" t="n">
        <v>14040827</v>
      </c>
      <c r="B2436" t="n">
        <v>45979</v>
      </c>
      <c r="C2436" t="inlineStr">
        <is>
          <t>1404/08/27</t>
        </is>
      </c>
    </row>
    <row r="2437">
      <c r="A2437" t="n">
        <v>14040828</v>
      </c>
      <c r="B2437" t="n">
        <v>45980</v>
      </c>
      <c r="C2437" t="inlineStr">
        <is>
          <t>1404/08/28</t>
        </is>
      </c>
    </row>
    <row r="2438">
      <c r="A2438" t="n">
        <v>14040829</v>
      </c>
      <c r="B2438" t="n">
        <v>45981</v>
      </c>
      <c r="C2438" t="inlineStr">
        <is>
          <t>1404/08/29</t>
        </is>
      </c>
    </row>
    <row r="2439">
      <c r="A2439" t="n">
        <v>14040830</v>
      </c>
      <c r="B2439" t="n">
        <v>45982</v>
      </c>
      <c r="C2439" t="inlineStr">
        <is>
          <t>1404/08/30</t>
        </is>
      </c>
    </row>
    <row r="2440">
      <c r="A2440" t="n">
        <v>14040901</v>
      </c>
      <c r="B2440" t="n">
        <v>45983</v>
      </c>
      <c r="C2440" t="inlineStr">
        <is>
          <t>1404/09/01</t>
        </is>
      </c>
    </row>
    <row r="2441">
      <c r="A2441" t="n">
        <v>14040902</v>
      </c>
      <c r="B2441" t="n">
        <v>45984</v>
      </c>
      <c r="C2441" t="inlineStr">
        <is>
          <t>1404/09/02</t>
        </is>
      </c>
    </row>
    <row r="2442">
      <c r="A2442" t="n">
        <v>14040903</v>
      </c>
      <c r="B2442" t="n">
        <v>45985</v>
      </c>
      <c r="C2442" t="inlineStr">
        <is>
          <t>1404/09/03</t>
        </is>
      </c>
    </row>
    <row r="2443">
      <c r="A2443" t="n">
        <v>14040904</v>
      </c>
      <c r="B2443" t="n">
        <v>45986</v>
      </c>
      <c r="C2443" t="inlineStr">
        <is>
          <t>1404/09/04</t>
        </is>
      </c>
    </row>
    <row r="2444">
      <c r="A2444" t="n">
        <v>14040905</v>
      </c>
      <c r="B2444" t="n">
        <v>45987</v>
      </c>
      <c r="C2444" t="inlineStr">
        <is>
          <t>1404/09/05</t>
        </is>
      </c>
    </row>
    <row r="2445">
      <c r="A2445" t="n">
        <v>14040906</v>
      </c>
      <c r="B2445" t="n">
        <v>45988</v>
      </c>
      <c r="C2445" t="inlineStr">
        <is>
          <t>1404/09/06</t>
        </is>
      </c>
    </row>
    <row r="2446">
      <c r="A2446" t="n">
        <v>14040907</v>
      </c>
      <c r="B2446" t="n">
        <v>45989</v>
      </c>
      <c r="C2446" t="inlineStr">
        <is>
          <t>1404/09/07</t>
        </is>
      </c>
    </row>
    <row r="2447">
      <c r="A2447" t="n">
        <v>14040908</v>
      </c>
      <c r="B2447" t="n">
        <v>45990</v>
      </c>
      <c r="C2447" t="inlineStr">
        <is>
          <t>1404/09/08</t>
        </is>
      </c>
    </row>
    <row r="2448">
      <c r="A2448" t="n">
        <v>14040909</v>
      </c>
      <c r="B2448" t="n">
        <v>45991</v>
      </c>
      <c r="C2448" t="inlineStr">
        <is>
          <t>1404/09/09</t>
        </is>
      </c>
    </row>
    <row r="2449">
      <c r="A2449" t="n">
        <v>14040910</v>
      </c>
      <c r="B2449" t="n">
        <v>45992</v>
      </c>
      <c r="C2449" t="inlineStr">
        <is>
          <t>1404/09/10</t>
        </is>
      </c>
    </row>
    <row r="2450">
      <c r="A2450" t="n">
        <v>14040911</v>
      </c>
      <c r="B2450" t="n">
        <v>45993</v>
      </c>
      <c r="C2450" t="inlineStr">
        <is>
          <t>1404/09/11</t>
        </is>
      </c>
    </row>
    <row r="2451">
      <c r="A2451" t="n">
        <v>14040912</v>
      </c>
      <c r="B2451" t="n">
        <v>45994</v>
      </c>
      <c r="C2451" t="inlineStr">
        <is>
          <t>1404/09/12</t>
        </is>
      </c>
    </row>
    <row r="2452">
      <c r="A2452" t="n">
        <v>14040913</v>
      </c>
      <c r="B2452" t="n">
        <v>45995</v>
      </c>
      <c r="C2452" t="inlineStr">
        <is>
          <t>1404/09/13</t>
        </is>
      </c>
    </row>
    <row r="2453">
      <c r="A2453" t="n">
        <v>14040914</v>
      </c>
      <c r="B2453" t="n">
        <v>45996</v>
      </c>
      <c r="C2453" t="inlineStr">
        <is>
          <t>1404/09/14</t>
        </is>
      </c>
    </row>
    <row r="2454">
      <c r="A2454" t="n">
        <v>14040915</v>
      </c>
      <c r="B2454" t="n">
        <v>45997</v>
      </c>
      <c r="C2454" t="inlineStr">
        <is>
          <t>1404/09/15</t>
        </is>
      </c>
    </row>
    <row r="2455">
      <c r="A2455" t="n">
        <v>14040916</v>
      </c>
      <c r="B2455" t="n">
        <v>45998</v>
      </c>
      <c r="C2455" t="inlineStr">
        <is>
          <t>1404/09/16</t>
        </is>
      </c>
    </row>
    <row r="2456">
      <c r="A2456" t="n">
        <v>14040917</v>
      </c>
      <c r="B2456" t="n">
        <v>45999</v>
      </c>
      <c r="C2456" t="inlineStr">
        <is>
          <t>1404/09/17</t>
        </is>
      </c>
    </row>
    <row r="2457">
      <c r="A2457" t="n">
        <v>14040918</v>
      </c>
      <c r="B2457" t="n">
        <v>46000</v>
      </c>
      <c r="C2457" t="inlineStr">
        <is>
          <t>1404/09/18</t>
        </is>
      </c>
    </row>
    <row r="2458">
      <c r="A2458" t="n">
        <v>14040919</v>
      </c>
      <c r="B2458" t="n">
        <v>46001</v>
      </c>
      <c r="C2458" t="inlineStr">
        <is>
          <t>1404/09/19</t>
        </is>
      </c>
    </row>
    <row r="2459">
      <c r="A2459" t="n">
        <v>14040920</v>
      </c>
      <c r="B2459" t="n">
        <v>46002</v>
      </c>
      <c r="C2459" t="inlineStr">
        <is>
          <t>1404/09/20</t>
        </is>
      </c>
    </row>
    <row r="2460">
      <c r="A2460" t="n">
        <v>14040921</v>
      </c>
      <c r="B2460" t="n">
        <v>46003</v>
      </c>
      <c r="C2460" t="inlineStr">
        <is>
          <t>1404/09/21</t>
        </is>
      </c>
    </row>
    <row r="2461">
      <c r="A2461" t="n">
        <v>14040922</v>
      </c>
      <c r="B2461" t="n">
        <v>46004</v>
      </c>
      <c r="C2461" t="inlineStr">
        <is>
          <t>1404/09/22</t>
        </is>
      </c>
    </row>
    <row r="2462">
      <c r="A2462" t="n">
        <v>14040923</v>
      </c>
      <c r="B2462" t="n">
        <v>46005</v>
      </c>
      <c r="C2462" t="inlineStr">
        <is>
          <t>1404/09/23</t>
        </is>
      </c>
    </row>
    <row r="2463">
      <c r="A2463" t="n">
        <v>14040924</v>
      </c>
      <c r="B2463" t="n">
        <v>46006</v>
      </c>
      <c r="C2463" t="inlineStr">
        <is>
          <t>1404/09/24</t>
        </is>
      </c>
    </row>
    <row r="2464">
      <c r="A2464" t="n">
        <v>14040925</v>
      </c>
      <c r="B2464" t="n">
        <v>46007</v>
      </c>
      <c r="C2464" t="inlineStr">
        <is>
          <t>1404/09/25</t>
        </is>
      </c>
    </row>
    <row r="2465">
      <c r="A2465" t="n">
        <v>14040926</v>
      </c>
      <c r="B2465" t="n">
        <v>46008</v>
      </c>
      <c r="C2465" t="inlineStr">
        <is>
          <t>1404/09/26</t>
        </is>
      </c>
    </row>
    <row r="2466">
      <c r="A2466" t="n">
        <v>14040927</v>
      </c>
      <c r="B2466" t="n">
        <v>46009</v>
      </c>
      <c r="C2466" t="inlineStr">
        <is>
          <t>1404/09/27</t>
        </is>
      </c>
    </row>
    <row r="2467">
      <c r="A2467" t="n">
        <v>14040928</v>
      </c>
      <c r="B2467" t="n">
        <v>46010</v>
      </c>
      <c r="C2467" t="inlineStr">
        <is>
          <t>1404/09/28</t>
        </is>
      </c>
    </row>
    <row r="2468">
      <c r="A2468" t="n">
        <v>14040929</v>
      </c>
      <c r="B2468" t="n">
        <v>46011</v>
      </c>
      <c r="C2468" t="inlineStr">
        <is>
          <t>1404/09/29</t>
        </is>
      </c>
    </row>
    <row r="2469">
      <c r="A2469" t="n">
        <v>14040930</v>
      </c>
      <c r="B2469" t="n">
        <v>46012</v>
      </c>
      <c r="C2469" t="inlineStr">
        <is>
          <t>1404/09/30</t>
        </is>
      </c>
    </row>
    <row r="2470">
      <c r="A2470" t="n">
        <v>14041001</v>
      </c>
      <c r="B2470" t="n">
        <v>46013</v>
      </c>
      <c r="C2470" t="inlineStr">
        <is>
          <t>1404/10/01</t>
        </is>
      </c>
    </row>
    <row r="2471">
      <c r="A2471" t="n">
        <v>14041002</v>
      </c>
      <c r="B2471" t="n">
        <v>46014</v>
      </c>
      <c r="C2471" t="inlineStr">
        <is>
          <t>1404/10/02</t>
        </is>
      </c>
    </row>
    <row r="2472">
      <c r="A2472" t="n">
        <v>14041003</v>
      </c>
      <c r="B2472" t="n">
        <v>46015</v>
      </c>
      <c r="C2472" t="inlineStr">
        <is>
          <t>1404/10/03</t>
        </is>
      </c>
    </row>
    <row r="2473">
      <c r="A2473" t="n">
        <v>14041004</v>
      </c>
      <c r="B2473" t="n">
        <v>46016</v>
      </c>
      <c r="C2473" t="inlineStr">
        <is>
          <t>1404/10/04</t>
        </is>
      </c>
    </row>
    <row r="2474">
      <c r="A2474" t="n">
        <v>14041005</v>
      </c>
      <c r="B2474" t="n">
        <v>46017</v>
      </c>
      <c r="C2474" t="inlineStr">
        <is>
          <t>1404/10/05</t>
        </is>
      </c>
    </row>
    <row r="2475">
      <c r="A2475" t="n">
        <v>14041006</v>
      </c>
      <c r="B2475" t="n">
        <v>46018</v>
      </c>
      <c r="C2475" t="inlineStr">
        <is>
          <t>1404/10/06</t>
        </is>
      </c>
    </row>
    <row r="2476">
      <c r="A2476" t="n">
        <v>14041007</v>
      </c>
      <c r="B2476" t="n">
        <v>46019</v>
      </c>
      <c r="C2476" t="inlineStr">
        <is>
          <t>1404/10/07</t>
        </is>
      </c>
    </row>
    <row r="2477">
      <c r="A2477" t="n">
        <v>14041008</v>
      </c>
      <c r="B2477" t="n">
        <v>46020</v>
      </c>
      <c r="C2477" t="inlineStr">
        <is>
          <t>1404/10/08</t>
        </is>
      </c>
    </row>
    <row r="2478">
      <c r="A2478" t="n">
        <v>14041009</v>
      </c>
      <c r="B2478" t="n">
        <v>46021</v>
      </c>
      <c r="C2478" t="inlineStr">
        <is>
          <t>1404/10/09</t>
        </is>
      </c>
    </row>
    <row r="2479">
      <c r="A2479" t="n">
        <v>14041010</v>
      </c>
      <c r="B2479" t="n">
        <v>46022</v>
      </c>
      <c r="C2479" t="inlineStr">
        <is>
          <t>1404/10/10</t>
        </is>
      </c>
    </row>
    <row r="2480">
      <c r="A2480" t="n">
        <v>14041011</v>
      </c>
      <c r="B2480" t="n">
        <v>46023</v>
      </c>
      <c r="C2480" t="inlineStr">
        <is>
          <t>1404/10/11</t>
        </is>
      </c>
    </row>
    <row r="2481">
      <c r="A2481" t="n">
        <v>14041012</v>
      </c>
      <c r="B2481" t="n">
        <v>46024</v>
      </c>
      <c r="C2481" t="inlineStr">
        <is>
          <t>1404/10/12</t>
        </is>
      </c>
    </row>
    <row r="2482">
      <c r="A2482" t="n">
        <v>14041013</v>
      </c>
      <c r="B2482" t="n">
        <v>46025</v>
      </c>
      <c r="C2482" t="inlineStr">
        <is>
          <t>1404/10/13</t>
        </is>
      </c>
    </row>
    <row r="2483">
      <c r="A2483" t="n">
        <v>14041014</v>
      </c>
      <c r="B2483" t="n">
        <v>46026</v>
      </c>
      <c r="C2483" t="inlineStr">
        <is>
          <t>1404/10/14</t>
        </is>
      </c>
    </row>
    <row r="2484">
      <c r="A2484" t="n">
        <v>14041015</v>
      </c>
      <c r="B2484" t="n">
        <v>46027</v>
      </c>
      <c r="C2484" t="inlineStr">
        <is>
          <t>1404/10/15</t>
        </is>
      </c>
    </row>
    <row r="2485">
      <c r="A2485" t="n">
        <v>14041016</v>
      </c>
      <c r="B2485" t="n">
        <v>46028</v>
      </c>
      <c r="C2485" t="inlineStr">
        <is>
          <t>1404/10/16</t>
        </is>
      </c>
    </row>
    <row r="2486">
      <c r="A2486" t="n">
        <v>14041017</v>
      </c>
      <c r="B2486" t="n">
        <v>46029</v>
      </c>
      <c r="C2486" t="inlineStr">
        <is>
          <t>1404/10/17</t>
        </is>
      </c>
    </row>
    <row r="2487">
      <c r="A2487" t="n">
        <v>14041018</v>
      </c>
      <c r="B2487" t="n">
        <v>46030</v>
      </c>
      <c r="C2487" t="inlineStr">
        <is>
          <t>1404/10/18</t>
        </is>
      </c>
    </row>
    <row r="2488">
      <c r="A2488" t="n">
        <v>14041019</v>
      </c>
      <c r="B2488" t="n">
        <v>46031</v>
      </c>
      <c r="C2488" t="inlineStr">
        <is>
          <t>1404/10/19</t>
        </is>
      </c>
    </row>
    <row r="2489">
      <c r="A2489" t="n">
        <v>14041020</v>
      </c>
      <c r="B2489" t="n">
        <v>46032</v>
      </c>
      <c r="C2489" t="inlineStr">
        <is>
          <t>1404/10/20</t>
        </is>
      </c>
    </row>
    <row r="2490">
      <c r="A2490" t="n">
        <v>14041021</v>
      </c>
      <c r="B2490" t="n">
        <v>46033</v>
      </c>
      <c r="C2490" t="inlineStr">
        <is>
          <t>1404/10/21</t>
        </is>
      </c>
    </row>
    <row r="2491">
      <c r="A2491" t="n">
        <v>14041022</v>
      </c>
      <c r="B2491" t="n">
        <v>46034</v>
      </c>
      <c r="C2491" t="inlineStr">
        <is>
          <t>1404/10/22</t>
        </is>
      </c>
    </row>
    <row r="2492">
      <c r="A2492" t="n">
        <v>14041023</v>
      </c>
      <c r="B2492" t="n">
        <v>46035</v>
      </c>
      <c r="C2492" t="inlineStr">
        <is>
          <t>1404/10/23</t>
        </is>
      </c>
    </row>
    <row r="2493">
      <c r="A2493" t="n">
        <v>14041024</v>
      </c>
      <c r="B2493" t="n">
        <v>46036</v>
      </c>
      <c r="C2493" t="inlineStr">
        <is>
          <t>1404/10/24</t>
        </is>
      </c>
    </row>
    <row r="2494">
      <c r="A2494" t="n">
        <v>14041025</v>
      </c>
      <c r="B2494" t="n">
        <v>46037</v>
      </c>
      <c r="C2494" t="inlineStr">
        <is>
          <t>1404/10/25</t>
        </is>
      </c>
    </row>
    <row r="2495">
      <c r="A2495" t="n">
        <v>14041026</v>
      </c>
      <c r="B2495" t="n">
        <v>46038</v>
      </c>
      <c r="C2495" t="inlineStr">
        <is>
          <t>1404/10/26</t>
        </is>
      </c>
    </row>
    <row r="2496">
      <c r="A2496" t="n">
        <v>14041027</v>
      </c>
      <c r="B2496" t="n">
        <v>46039</v>
      </c>
      <c r="C2496" t="inlineStr">
        <is>
          <t>1404/10/27</t>
        </is>
      </c>
    </row>
    <row r="2497">
      <c r="A2497" t="n">
        <v>14041028</v>
      </c>
      <c r="B2497" t="n">
        <v>46040</v>
      </c>
      <c r="C2497" t="inlineStr">
        <is>
          <t>1404/10/28</t>
        </is>
      </c>
    </row>
    <row r="2498">
      <c r="A2498" t="n">
        <v>14041029</v>
      </c>
      <c r="B2498" t="n">
        <v>46041</v>
      </c>
      <c r="C2498" t="inlineStr">
        <is>
          <t>1404/10/29</t>
        </is>
      </c>
    </row>
    <row r="2499">
      <c r="A2499" t="n">
        <v>14041030</v>
      </c>
      <c r="B2499" t="n">
        <v>46042</v>
      </c>
      <c r="C2499" t="inlineStr">
        <is>
          <t>1404/10/30</t>
        </is>
      </c>
    </row>
    <row r="2500">
      <c r="A2500" t="n">
        <v>14041101</v>
      </c>
      <c r="B2500" t="n">
        <v>46043</v>
      </c>
      <c r="C2500" t="inlineStr">
        <is>
          <t>1404/11/01</t>
        </is>
      </c>
    </row>
    <row r="2501">
      <c r="A2501" t="n">
        <v>14041102</v>
      </c>
      <c r="B2501" t="n">
        <v>46044</v>
      </c>
      <c r="C2501" t="inlineStr">
        <is>
          <t>1404/11/02</t>
        </is>
      </c>
    </row>
    <row r="2502">
      <c r="A2502" t="n">
        <v>14041103</v>
      </c>
      <c r="B2502" t="n">
        <v>46045</v>
      </c>
      <c r="C2502" t="inlineStr">
        <is>
          <t>1404/11/03</t>
        </is>
      </c>
    </row>
    <row r="2503">
      <c r="A2503" t="n">
        <v>14041104</v>
      </c>
      <c r="B2503" t="n">
        <v>46046</v>
      </c>
      <c r="C2503" t="inlineStr">
        <is>
          <t>1404/11/04</t>
        </is>
      </c>
    </row>
    <row r="2504">
      <c r="A2504" t="n">
        <v>14041105</v>
      </c>
      <c r="B2504" t="n">
        <v>46047</v>
      </c>
      <c r="C2504" t="inlineStr">
        <is>
          <t>1404/11/05</t>
        </is>
      </c>
    </row>
    <row r="2505">
      <c r="A2505" t="n">
        <v>14041106</v>
      </c>
      <c r="B2505" t="n">
        <v>46048</v>
      </c>
      <c r="C2505" t="inlineStr">
        <is>
          <t>1404/11/06</t>
        </is>
      </c>
    </row>
    <row r="2506">
      <c r="A2506" t="n">
        <v>14041107</v>
      </c>
      <c r="B2506" t="n">
        <v>46049</v>
      </c>
      <c r="C2506" t="inlineStr">
        <is>
          <t>1404/11/07</t>
        </is>
      </c>
    </row>
    <row r="2507">
      <c r="A2507" t="n">
        <v>14041108</v>
      </c>
      <c r="B2507" t="n">
        <v>46050</v>
      </c>
      <c r="C2507" t="inlineStr">
        <is>
          <t>1404/11/08</t>
        </is>
      </c>
    </row>
    <row r="2508">
      <c r="A2508" t="n">
        <v>14041109</v>
      </c>
      <c r="B2508" t="n">
        <v>46051</v>
      </c>
      <c r="C2508" t="inlineStr">
        <is>
          <t>1404/11/09</t>
        </is>
      </c>
    </row>
    <row r="2509">
      <c r="A2509" t="n">
        <v>14041110</v>
      </c>
      <c r="B2509" t="n">
        <v>46052</v>
      </c>
      <c r="C2509" t="inlineStr">
        <is>
          <t>1404/11/10</t>
        </is>
      </c>
    </row>
    <row r="2510">
      <c r="A2510" t="n">
        <v>14041111</v>
      </c>
      <c r="B2510" t="n">
        <v>46053</v>
      </c>
      <c r="C2510" t="inlineStr">
        <is>
          <t>1404/11/11</t>
        </is>
      </c>
    </row>
    <row r="2511">
      <c r="A2511" t="n">
        <v>14041112</v>
      </c>
      <c r="B2511" t="n">
        <v>46054</v>
      </c>
      <c r="C2511" t="inlineStr">
        <is>
          <t>1404/11/12</t>
        </is>
      </c>
    </row>
    <row r="2512">
      <c r="A2512" t="n">
        <v>14041113</v>
      </c>
      <c r="B2512" t="n">
        <v>46055</v>
      </c>
      <c r="C2512" t="inlineStr">
        <is>
          <t>1404/11/13</t>
        </is>
      </c>
    </row>
    <row r="2513">
      <c r="A2513" t="n">
        <v>14041114</v>
      </c>
      <c r="B2513" t="n">
        <v>46056</v>
      </c>
      <c r="C2513" t="inlineStr">
        <is>
          <t>1404/11/14</t>
        </is>
      </c>
    </row>
    <row r="2514">
      <c r="A2514" t="n">
        <v>14041115</v>
      </c>
      <c r="B2514" t="n">
        <v>46057</v>
      </c>
      <c r="C2514" t="inlineStr">
        <is>
          <t>1404/11/15</t>
        </is>
      </c>
    </row>
    <row r="2515">
      <c r="A2515" t="n">
        <v>14041116</v>
      </c>
      <c r="B2515" t="n">
        <v>46058</v>
      </c>
      <c r="C2515" t="inlineStr">
        <is>
          <t>1404/11/16</t>
        </is>
      </c>
    </row>
    <row r="2516">
      <c r="A2516" t="n">
        <v>14041117</v>
      </c>
      <c r="B2516" t="n">
        <v>46059</v>
      </c>
      <c r="C2516" t="inlineStr">
        <is>
          <t>1404/11/17</t>
        </is>
      </c>
    </row>
    <row r="2517">
      <c r="A2517" t="n">
        <v>14041118</v>
      </c>
      <c r="B2517" t="n">
        <v>46060</v>
      </c>
      <c r="C2517" t="inlineStr">
        <is>
          <t>1404/11/18</t>
        </is>
      </c>
    </row>
    <row r="2518">
      <c r="A2518" t="n">
        <v>14041119</v>
      </c>
      <c r="B2518" t="n">
        <v>46061</v>
      </c>
      <c r="C2518" t="inlineStr">
        <is>
          <t>1404/11/19</t>
        </is>
      </c>
    </row>
    <row r="2519">
      <c r="A2519" t="n">
        <v>14041120</v>
      </c>
      <c r="B2519" t="n">
        <v>46062</v>
      </c>
      <c r="C2519" t="inlineStr">
        <is>
          <t>1404/11/20</t>
        </is>
      </c>
    </row>
    <row r="2520">
      <c r="A2520" t="n">
        <v>14041121</v>
      </c>
      <c r="B2520" t="n">
        <v>46063</v>
      </c>
      <c r="C2520" t="inlineStr">
        <is>
          <t>1404/11/21</t>
        </is>
      </c>
    </row>
    <row r="2521">
      <c r="A2521" t="n">
        <v>14041122</v>
      </c>
      <c r="B2521" t="n">
        <v>46064</v>
      </c>
      <c r="C2521" t="inlineStr">
        <is>
          <t>1404/11/22</t>
        </is>
      </c>
    </row>
    <row r="2522">
      <c r="A2522" t="n">
        <v>14041123</v>
      </c>
      <c r="B2522" t="n">
        <v>46065</v>
      </c>
      <c r="C2522" t="inlineStr">
        <is>
          <t>1404/11/23</t>
        </is>
      </c>
    </row>
    <row r="2523">
      <c r="A2523" t="n">
        <v>14041124</v>
      </c>
      <c r="B2523" t="n">
        <v>46066</v>
      </c>
      <c r="C2523" t="inlineStr">
        <is>
          <t>1404/11/24</t>
        </is>
      </c>
    </row>
    <row r="2524">
      <c r="A2524" t="n">
        <v>14041125</v>
      </c>
      <c r="B2524" t="n">
        <v>46067</v>
      </c>
      <c r="C2524" t="inlineStr">
        <is>
          <t>1404/11/25</t>
        </is>
      </c>
    </row>
    <row r="2525">
      <c r="A2525" t="n">
        <v>14041126</v>
      </c>
      <c r="B2525" t="n">
        <v>46068</v>
      </c>
      <c r="C2525" t="inlineStr">
        <is>
          <t>1404/11/26</t>
        </is>
      </c>
    </row>
    <row r="2526">
      <c r="A2526" t="n">
        <v>14041127</v>
      </c>
      <c r="B2526" t="n">
        <v>46069</v>
      </c>
      <c r="C2526" t="inlineStr">
        <is>
          <t>1404/11/27</t>
        </is>
      </c>
    </row>
    <row r="2527">
      <c r="A2527" t="n">
        <v>14041128</v>
      </c>
      <c r="B2527" t="n">
        <v>46070</v>
      </c>
      <c r="C2527" t="inlineStr">
        <is>
          <t>1404/11/28</t>
        </is>
      </c>
    </row>
    <row r="2528">
      <c r="A2528" t="n">
        <v>14041129</v>
      </c>
      <c r="B2528" t="n">
        <v>46071</v>
      </c>
      <c r="C2528" t="inlineStr">
        <is>
          <t>1404/11/29</t>
        </is>
      </c>
    </row>
    <row r="2529">
      <c r="A2529" t="n">
        <v>14041130</v>
      </c>
      <c r="B2529" t="n">
        <v>46072</v>
      </c>
      <c r="C2529" t="inlineStr">
        <is>
          <t>1404/11/30</t>
        </is>
      </c>
    </row>
    <row r="2530">
      <c r="A2530" t="n">
        <v>14041201</v>
      </c>
      <c r="B2530" t="n">
        <v>46073</v>
      </c>
      <c r="C2530" t="inlineStr">
        <is>
          <t>1404/12/01</t>
        </is>
      </c>
    </row>
    <row r="2531">
      <c r="A2531" t="n">
        <v>14041202</v>
      </c>
      <c r="B2531" t="n">
        <v>46074</v>
      </c>
      <c r="C2531" t="inlineStr">
        <is>
          <t>1404/12/02</t>
        </is>
      </c>
    </row>
    <row r="2532">
      <c r="A2532" t="n">
        <v>14041203</v>
      </c>
      <c r="B2532" t="n">
        <v>46075</v>
      </c>
      <c r="C2532" t="inlineStr">
        <is>
          <t>1404/12/03</t>
        </is>
      </c>
    </row>
    <row r="2533">
      <c r="A2533" t="n">
        <v>14041204</v>
      </c>
      <c r="B2533" t="n">
        <v>46076</v>
      </c>
      <c r="C2533" t="inlineStr">
        <is>
          <t>1404/12/04</t>
        </is>
      </c>
    </row>
    <row r="2534">
      <c r="A2534" t="n">
        <v>14041205</v>
      </c>
      <c r="B2534" t="n">
        <v>46077</v>
      </c>
      <c r="C2534" t="inlineStr">
        <is>
          <t>1404/12/05</t>
        </is>
      </c>
    </row>
    <row r="2535">
      <c r="A2535" t="n">
        <v>14041206</v>
      </c>
      <c r="B2535" t="n">
        <v>46078</v>
      </c>
      <c r="C2535" t="inlineStr">
        <is>
          <t>1404/12/06</t>
        </is>
      </c>
    </row>
    <row r="2536">
      <c r="A2536" t="n">
        <v>14041207</v>
      </c>
      <c r="B2536" t="n">
        <v>46079</v>
      </c>
      <c r="C2536" t="inlineStr">
        <is>
          <t>1404/12/07</t>
        </is>
      </c>
    </row>
    <row r="2537">
      <c r="A2537" t="n">
        <v>14041208</v>
      </c>
      <c r="B2537" t="n">
        <v>46080</v>
      </c>
      <c r="C2537" t="inlineStr">
        <is>
          <t>1404/12/08</t>
        </is>
      </c>
    </row>
    <row r="2538">
      <c r="A2538" t="n">
        <v>14041209</v>
      </c>
      <c r="B2538" t="n">
        <v>46081</v>
      </c>
      <c r="C2538" t="inlineStr">
        <is>
          <t>1404/12/09</t>
        </is>
      </c>
    </row>
    <row r="2539">
      <c r="A2539" t="n">
        <v>14041210</v>
      </c>
      <c r="B2539" t="n">
        <v>46082</v>
      </c>
      <c r="C2539" t="inlineStr">
        <is>
          <t>1404/12/10</t>
        </is>
      </c>
    </row>
    <row r="2540">
      <c r="A2540" t="n">
        <v>14041211</v>
      </c>
      <c r="B2540" t="n">
        <v>46083</v>
      </c>
      <c r="C2540" t="inlineStr">
        <is>
          <t>1404/12/11</t>
        </is>
      </c>
    </row>
    <row r="2541">
      <c r="A2541" t="n">
        <v>14041212</v>
      </c>
      <c r="B2541" t="n">
        <v>46084</v>
      </c>
      <c r="C2541" t="inlineStr">
        <is>
          <t>1404/12/12</t>
        </is>
      </c>
    </row>
    <row r="2542">
      <c r="A2542" t="n">
        <v>14041213</v>
      </c>
      <c r="B2542" t="n">
        <v>46085</v>
      </c>
      <c r="C2542" t="inlineStr">
        <is>
          <t>1404/12/13</t>
        </is>
      </c>
    </row>
    <row r="2543">
      <c r="A2543" t="n">
        <v>14041214</v>
      </c>
      <c r="B2543" t="n">
        <v>46086</v>
      </c>
      <c r="C2543" t="inlineStr">
        <is>
          <t>1404/12/14</t>
        </is>
      </c>
    </row>
    <row r="2544">
      <c r="A2544" t="n">
        <v>14041215</v>
      </c>
      <c r="B2544" t="n">
        <v>46087</v>
      </c>
      <c r="C2544" t="inlineStr">
        <is>
          <t>1404/12/15</t>
        </is>
      </c>
    </row>
    <row r="2545">
      <c r="A2545" t="n">
        <v>14041216</v>
      </c>
      <c r="B2545" t="n">
        <v>46088</v>
      </c>
      <c r="C2545" t="inlineStr">
        <is>
          <t>1404/12/16</t>
        </is>
      </c>
    </row>
    <row r="2546">
      <c r="A2546" t="n">
        <v>14041217</v>
      </c>
      <c r="B2546" t="n">
        <v>46089</v>
      </c>
      <c r="C2546" t="inlineStr">
        <is>
          <t>1404/12/17</t>
        </is>
      </c>
    </row>
    <row r="2547">
      <c r="A2547" t="n">
        <v>14041218</v>
      </c>
      <c r="B2547" t="n">
        <v>46090</v>
      </c>
      <c r="C2547" t="inlineStr">
        <is>
          <t>1404/12/18</t>
        </is>
      </c>
    </row>
    <row r="2548">
      <c r="A2548" t="n">
        <v>14041219</v>
      </c>
      <c r="B2548" t="n">
        <v>46091</v>
      </c>
      <c r="C2548" t="inlineStr">
        <is>
          <t>1404/12/19</t>
        </is>
      </c>
    </row>
    <row r="2549">
      <c r="A2549" t="n">
        <v>14041220</v>
      </c>
      <c r="B2549" t="n">
        <v>46092</v>
      </c>
      <c r="C2549" t="inlineStr">
        <is>
          <t>1404/12/20</t>
        </is>
      </c>
    </row>
    <row r="2550">
      <c r="A2550" t="n">
        <v>14041221</v>
      </c>
      <c r="B2550" t="n">
        <v>46093</v>
      </c>
      <c r="C2550" t="inlineStr">
        <is>
          <t>1404/12/21</t>
        </is>
      </c>
    </row>
    <row r="2551">
      <c r="A2551" t="n">
        <v>14041222</v>
      </c>
      <c r="B2551" t="n">
        <v>46094</v>
      </c>
      <c r="C2551" t="inlineStr">
        <is>
          <t>1404/12/22</t>
        </is>
      </c>
    </row>
    <row r="2552">
      <c r="A2552" t="n">
        <v>14041223</v>
      </c>
      <c r="B2552" t="n">
        <v>46095</v>
      </c>
      <c r="C2552" t="inlineStr">
        <is>
          <t>1404/12/23</t>
        </is>
      </c>
    </row>
    <row r="2553">
      <c r="A2553" t="n">
        <v>14041224</v>
      </c>
      <c r="B2553" t="n">
        <v>46096</v>
      </c>
      <c r="C2553" t="inlineStr">
        <is>
          <t>1404/12/24</t>
        </is>
      </c>
    </row>
    <row r="2554">
      <c r="A2554" t="n">
        <v>14041225</v>
      </c>
      <c r="B2554" t="n">
        <v>46097</v>
      </c>
      <c r="C2554" t="inlineStr">
        <is>
          <t>1404/12/25</t>
        </is>
      </c>
    </row>
    <row r="2555">
      <c r="A2555" t="n">
        <v>14041226</v>
      </c>
      <c r="B2555" t="n">
        <v>46098</v>
      </c>
      <c r="C2555" t="inlineStr">
        <is>
          <t>1404/12/26</t>
        </is>
      </c>
    </row>
    <row r="2556">
      <c r="A2556" t="n">
        <v>14041227</v>
      </c>
      <c r="B2556" t="n">
        <v>46099</v>
      </c>
      <c r="C2556" t="inlineStr">
        <is>
          <t>1404/12/27</t>
        </is>
      </c>
    </row>
    <row r="2557">
      <c r="A2557" t="n">
        <v>14041228</v>
      </c>
      <c r="B2557" t="n">
        <v>46100</v>
      </c>
      <c r="C2557" t="inlineStr">
        <is>
          <t>1404/12/28</t>
        </is>
      </c>
    </row>
    <row r="2558">
      <c r="A2558" t="n">
        <v>14041229</v>
      </c>
      <c r="B2558" t="n">
        <v>46101</v>
      </c>
      <c r="C2558" t="inlineStr">
        <is>
          <t>1404/12/29</t>
        </is>
      </c>
    </row>
    <row r="2559">
      <c r="A2559" t="n">
        <v>14050101</v>
      </c>
      <c r="B2559" t="n">
        <v>46102</v>
      </c>
      <c r="C2559" t="inlineStr">
        <is>
          <t>1405/01/01</t>
        </is>
      </c>
    </row>
    <row r="2560">
      <c r="A2560" t="n">
        <v>14050102</v>
      </c>
      <c r="B2560" t="n">
        <v>46103</v>
      </c>
      <c r="C2560" t="inlineStr">
        <is>
          <t>1405/01/02</t>
        </is>
      </c>
    </row>
    <row r="2561">
      <c r="A2561" t="n">
        <v>14050103</v>
      </c>
      <c r="B2561" t="n">
        <v>46104</v>
      </c>
      <c r="C2561" t="inlineStr">
        <is>
          <t>1405/01/03</t>
        </is>
      </c>
    </row>
    <row r="2562">
      <c r="A2562" t="n">
        <v>14050104</v>
      </c>
      <c r="B2562" t="n">
        <v>46105</v>
      </c>
      <c r="C2562" t="inlineStr">
        <is>
          <t>1405/01/04</t>
        </is>
      </c>
    </row>
    <row r="2563">
      <c r="A2563" t="n">
        <v>14050105</v>
      </c>
      <c r="B2563" t="n">
        <v>46106</v>
      </c>
      <c r="C2563" t="inlineStr">
        <is>
          <t>1405/01/05</t>
        </is>
      </c>
    </row>
    <row r="2564">
      <c r="A2564" t="n">
        <v>14050106</v>
      </c>
      <c r="B2564" t="n">
        <v>46107</v>
      </c>
      <c r="C2564" t="inlineStr">
        <is>
          <t>1405/01/06</t>
        </is>
      </c>
    </row>
    <row r="2565">
      <c r="A2565" t="n">
        <v>14050107</v>
      </c>
      <c r="B2565" t="n">
        <v>46108</v>
      </c>
      <c r="C2565" t="inlineStr">
        <is>
          <t>1405/01/07</t>
        </is>
      </c>
    </row>
    <row r="2566">
      <c r="A2566" t="n">
        <v>14050108</v>
      </c>
      <c r="B2566" t="n">
        <v>46109</v>
      </c>
      <c r="C2566" t="inlineStr">
        <is>
          <t>1405/01/08</t>
        </is>
      </c>
    </row>
    <row r="2567">
      <c r="A2567" t="n">
        <v>14050109</v>
      </c>
      <c r="B2567" t="n">
        <v>46110</v>
      </c>
      <c r="C2567" t="inlineStr">
        <is>
          <t>1405/01/09</t>
        </is>
      </c>
    </row>
    <row r="2568">
      <c r="A2568" t="n">
        <v>14050110</v>
      </c>
      <c r="B2568" t="n">
        <v>46111</v>
      </c>
      <c r="C2568" t="inlineStr">
        <is>
          <t>1405/01/10</t>
        </is>
      </c>
    </row>
    <row r="2569">
      <c r="A2569" t="n">
        <v>14050111</v>
      </c>
      <c r="B2569" t="n">
        <v>46112</v>
      </c>
      <c r="C2569" t="inlineStr">
        <is>
          <t>1405/01/11</t>
        </is>
      </c>
    </row>
    <row r="2570">
      <c r="A2570" t="n">
        <v>14050112</v>
      </c>
      <c r="B2570" t="n">
        <v>46113</v>
      </c>
      <c r="C2570" t="inlineStr">
        <is>
          <t>1405/01/12</t>
        </is>
      </c>
    </row>
    <row r="2571">
      <c r="A2571" t="n">
        <v>14050113</v>
      </c>
      <c r="B2571" t="n">
        <v>46114</v>
      </c>
      <c r="C2571" t="inlineStr">
        <is>
          <t>1405/01/13</t>
        </is>
      </c>
    </row>
    <row r="2572">
      <c r="A2572" t="n">
        <v>14050114</v>
      </c>
      <c r="B2572" t="n">
        <v>46115</v>
      </c>
      <c r="C2572" t="inlineStr">
        <is>
          <t>1405/01/14</t>
        </is>
      </c>
    </row>
    <row r="2573">
      <c r="A2573" t="n">
        <v>14050115</v>
      </c>
      <c r="B2573" t="n">
        <v>46116</v>
      </c>
      <c r="C2573" t="inlineStr">
        <is>
          <t>1405/01/15</t>
        </is>
      </c>
    </row>
    <row r="2574">
      <c r="A2574" t="n">
        <v>14050116</v>
      </c>
      <c r="B2574" t="n">
        <v>46117</v>
      </c>
      <c r="C2574" t="inlineStr">
        <is>
          <t>1405/01/16</t>
        </is>
      </c>
    </row>
    <row r="2575">
      <c r="A2575" t="n">
        <v>14050117</v>
      </c>
      <c r="B2575" t="n">
        <v>46118</v>
      </c>
      <c r="C2575" t="inlineStr">
        <is>
          <t>1405/01/17</t>
        </is>
      </c>
    </row>
    <row r="2576">
      <c r="A2576" t="n">
        <v>14050118</v>
      </c>
      <c r="B2576" t="n">
        <v>46119</v>
      </c>
      <c r="C2576" t="inlineStr">
        <is>
          <t>1405/01/18</t>
        </is>
      </c>
    </row>
    <row r="2577">
      <c r="A2577" t="n">
        <v>14050119</v>
      </c>
      <c r="B2577" t="n">
        <v>46120</v>
      </c>
      <c r="C2577" t="inlineStr">
        <is>
          <t>1405/01/19</t>
        </is>
      </c>
    </row>
    <row r="2578">
      <c r="A2578" t="n">
        <v>14050120</v>
      </c>
      <c r="B2578" t="n">
        <v>46121</v>
      </c>
      <c r="C2578" t="inlineStr">
        <is>
          <t>1405/01/20</t>
        </is>
      </c>
    </row>
    <row r="2579">
      <c r="A2579" t="n">
        <v>14050121</v>
      </c>
      <c r="B2579" t="n">
        <v>46122</v>
      </c>
      <c r="C2579" t="inlineStr">
        <is>
          <t>1405/01/21</t>
        </is>
      </c>
    </row>
    <row r="2580">
      <c r="A2580" t="n">
        <v>14050122</v>
      </c>
      <c r="B2580" t="n">
        <v>46123</v>
      </c>
      <c r="C2580" t="inlineStr">
        <is>
          <t>1405/01/22</t>
        </is>
      </c>
    </row>
    <row r="2581">
      <c r="A2581" t="n">
        <v>14050123</v>
      </c>
      <c r="B2581" t="n">
        <v>46124</v>
      </c>
      <c r="C2581" t="inlineStr">
        <is>
          <t>1405/01/23</t>
        </is>
      </c>
    </row>
    <row r="2582">
      <c r="A2582" t="n">
        <v>14050124</v>
      </c>
      <c r="B2582" t="n">
        <v>46125</v>
      </c>
      <c r="C2582" t="inlineStr">
        <is>
          <t>1405/01/24</t>
        </is>
      </c>
    </row>
    <row r="2583">
      <c r="A2583" t="n">
        <v>14050125</v>
      </c>
      <c r="B2583" t="n">
        <v>46126</v>
      </c>
      <c r="C2583" t="inlineStr">
        <is>
          <t>1405/01/25</t>
        </is>
      </c>
    </row>
    <row r="2584">
      <c r="A2584" t="n">
        <v>14050126</v>
      </c>
      <c r="B2584" t="n">
        <v>46127</v>
      </c>
      <c r="C2584" t="inlineStr">
        <is>
          <t>1405/01/26</t>
        </is>
      </c>
    </row>
    <row r="2585">
      <c r="A2585" t="n">
        <v>14050127</v>
      </c>
      <c r="B2585" t="n">
        <v>46128</v>
      </c>
      <c r="C2585" t="inlineStr">
        <is>
          <t>1405/01/27</t>
        </is>
      </c>
    </row>
    <row r="2586">
      <c r="A2586" t="n">
        <v>14050128</v>
      </c>
      <c r="B2586" t="n">
        <v>46129</v>
      </c>
      <c r="C2586" t="inlineStr">
        <is>
          <t>1405/01/28</t>
        </is>
      </c>
    </row>
    <row r="2587">
      <c r="A2587" t="n">
        <v>14050129</v>
      </c>
      <c r="B2587" t="n">
        <v>46130</v>
      </c>
      <c r="C2587" t="inlineStr">
        <is>
          <t>1405/01/29</t>
        </is>
      </c>
    </row>
    <row r="2588">
      <c r="A2588" t="n">
        <v>14050130</v>
      </c>
      <c r="B2588" t="n">
        <v>46131</v>
      </c>
      <c r="C2588" t="inlineStr">
        <is>
          <t>1405/01/30</t>
        </is>
      </c>
    </row>
    <row r="2589">
      <c r="A2589" t="n">
        <v>14050131</v>
      </c>
      <c r="B2589" t="n">
        <v>46132</v>
      </c>
      <c r="C2589" t="inlineStr">
        <is>
          <t>1405/01/31</t>
        </is>
      </c>
    </row>
    <row r="2590">
      <c r="A2590" t="n">
        <v>14050201</v>
      </c>
      <c r="B2590" t="n">
        <v>46133</v>
      </c>
      <c r="C2590" t="inlineStr">
        <is>
          <t>1405/02/01</t>
        </is>
      </c>
    </row>
    <row r="2591">
      <c r="A2591" t="n">
        <v>14050202</v>
      </c>
      <c r="B2591" t="n">
        <v>46134</v>
      </c>
      <c r="C2591" t="inlineStr">
        <is>
          <t>1405/02/02</t>
        </is>
      </c>
    </row>
    <row r="2592">
      <c r="A2592" t="n">
        <v>14050203</v>
      </c>
      <c r="B2592" t="n">
        <v>46135</v>
      </c>
      <c r="C2592" t="inlineStr">
        <is>
          <t>1405/02/03</t>
        </is>
      </c>
    </row>
    <row r="2593">
      <c r="A2593" t="n">
        <v>14050204</v>
      </c>
      <c r="B2593" t="n">
        <v>46136</v>
      </c>
      <c r="C2593" t="inlineStr">
        <is>
          <t>1405/02/04</t>
        </is>
      </c>
    </row>
    <row r="2594">
      <c r="A2594" t="n">
        <v>14050205</v>
      </c>
      <c r="B2594" t="n">
        <v>46137</v>
      </c>
      <c r="C2594" t="inlineStr">
        <is>
          <t>1405/02/05</t>
        </is>
      </c>
    </row>
    <row r="2595">
      <c r="A2595" t="n">
        <v>14050206</v>
      </c>
      <c r="B2595" t="n">
        <v>46138</v>
      </c>
      <c r="C2595" t="inlineStr">
        <is>
          <t>1405/02/06</t>
        </is>
      </c>
    </row>
    <row r="2596">
      <c r="A2596" t="n">
        <v>14050207</v>
      </c>
      <c r="B2596" t="n">
        <v>46139</v>
      </c>
      <c r="C2596" t="inlineStr">
        <is>
          <t>1405/02/07</t>
        </is>
      </c>
    </row>
    <row r="2597">
      <c r="A2597" t="n">
        <v>14050208</v>
      </c>
      <c r="B2597" t="n">
        <v>46140</v>
      </c>
      <c r="C2597" t="inlineStr">
        <is>
          <t>1405/02/08</t>
        </is>
      </c>
    </row>
    <row r="2598">
      <c r="A2598" t="n">
        <v>14050209</v>
      </c>
      <c r="B2598" t="n">
        <v>46141</v>
      </c>
      <c r="C2598" t="inlineStr">
        <is>
          <t>1405/02/09</t>
        </is>
      </c>
    </row>
    <row r="2599">
      <c r="A2599" t="n">
        <v>14050210</v>
      </c>
      <c r="B2599" t="n">
        <v>46142</v>
      </c>
      <c r="C2599" t="inlineStr">
        <is>
          <t>1405/02/10</t>
        </is>
      </c>
    </row>
    <row r="2600">
      <c r="A2600" t="n">
        <v>14050211</v>
      </c>
      <c r="B2600" t="n">
        <v>46143</v>
      </c>
      <c r="C2600" t="inlineStr">
        <is>
          <t>1405/02/11</t>
        </is>
      </c>
    </row>
    <row r="2601">
      <c r="A2601" t="n">
        <v>14050212</v>
      </c>
      <c r="B2601" t="n">
        <v>46144</v>
      </c>
      <c r="C2601" t="inlineStr">
        <is>
          <t>1405/02/12</t>
        </is>
      </c>
    </row>
    <row r="2602">
      <c r="A2602" t="n">
        <v>14050213</v>
      </c>
      <c r="B2602" t="n">
        <v>46145</v>
      </c>
      <c r="C2602" t="inlineStr">
        <is>
          <t>1405/02/13</t>
        </is>
      </c>
    </row>
    <row r="2603">
      <c r="A2603" t="n">
        <v>14050214</v>
      </c>
      <c r="B2603" t="n">
        <v>46146</v>
      </c>
      <c r="C2603" t="inlineStr">
        <is>
          <t>1405/02/14</t>
        </is>
      </c>
    </row>
    <row r="2604">
      <c r="A2604" t="n">
        <v>14050215</v>
      </c>
      <c r="B2604" t="n">
        <v>46147</v>
      </c>
      <c r="C2604" t="inlineStr">
        <is>
          <t>1405/02/15</t>
        </is>
      </c>
    </row>
    <row r="2605">
      <c r="A2605" t="n">
        <v>14050216</v>
      </c>
      <c r="B2605" t="n">
        <v>46148</v>
      </c>
      <c r="C2605" t="inlineStr">
        <is>
          <t>1405/02/16</t>
        </is>
      </c>
    </row>
    <row r="2606">
      <c r="A2606" t="n">
        <v>14050217</v>
      </c>
      <c r="B2606" t="n">
        <v>46149</v>
      </c>
      <c r="C2606" t="inlineStr">
        <is>
          <t>1405/02/17</t>
        </is>
      </c>
    </row>
    <row r="2607">
      <c r="A2607" t="n">
        <v>14050218</v>
      </c>
      <c r="B2607" t="n">
        <v>46150</v>
      </c>
      <c r="C2607" t="inlineStr">
        <is>
          <t>1405/02/18</t>
        </is>
      </c>
    </row>
    <row r="2608">
      <c r="A2608" t="n">
        <v>14050219</v>
      </c>
      <c r="B2608" t="n">
        <v>46151</v>
      </c>
      <c r="C2608" t="inlineStr">
        <is>
          <t>1405/02/19</t>
        </is>
      </c>
    </row>
    <row r="2609">
      <c r="A2609" t="n">
        <v>14050220</v>
      </c>
      <c r="B2609" t="n">
        <v>46152</v>
      </c>
      <c r="C2609" t="inlineStr">
        <is>
          <t>1405/02/20</t>
        </is>
      </c>
    </row>
    <row r="2610">
      <c r="A2610" t="n">
        <v>14050221</v>
      </c>
      <c r="B2610" t="n">
        <v>46153</v>
      </c>
      <c r="C2610" t="inlineStr">
        <is>
          <t>1405/02/21</t>
        </is>
      </c>
    </row>
    <row r="2611">
      <c r="A2611" t="n">
        <v>14050222</v>
      </c>
      <c r="B2611" t="n">
        <v>46154</v>
      </c>
      <c r="C2611" t="inlineStr">
        <is>
          <t>1405/02/22</t>
        </is>
      </c>
    </row>
    <row r="2612">
      <c r="A2612" t="n">
        <v>14050223</v>
      </c>
      <c r="B2612" t="n">
        <v>46155</v>
      </c>
      <c r="C2612" t="inlineStr">
        <is>
          <t>1405/02/23</t>
        </is>
      </c>
    </row>
    <row r="2613">
      <c r="A2613" t="n">
        <v>14050224</v>
      </c>
      <c r="B2613" t="n">
        <v>46156</v>
      </c>
      <c r="C2613" t="inlineStr">
        <is>
          <t>1405/02/24</t>
        </is>
      </c>
    </row>
    <row r="2614">
      <c r="A2614" t="n">
        <v>14050225</v>
      </c>
      <c r="B2614" t="n">
        <v>46157</v>
      </c>
      <c r="C2614" t="inlineStr">
        <is>
          <t>1405/02/25</t>
        </is>
      </c>
    </row>
    <row r="2615">
      <c r="A2615" t="n">
        <v>14050226</v>
      </c>
      <c r="B2615" t="n">
        <v>46158</v>
      </c>
      <c r="C2615" t="inlineStr">
        <is>
          <t>1405/02/26</t>
        </is>
      </c>
    </row>
    <row r="2616">
      <c r="A2616" t="n">
        <v>14050227</v>
      </c>
      <c r="B2616" t="n">
        <v>46159</v>
      </c>
      <c r="C2616" t="inlineStr">
        <is>
          <t>1405/02/27</t>
        </is>
      </c>
    </row>
    <row r="2617">
      <c r="A2617" t="n">
        <v>14050228</v>
      </c>
      <c r="B2617" t="n">
        <v>46160</v>
      </c>
      <c r="C2617" t="inlineStr">
        <is>
          <t>1405/02/28</t>
        </is>
      </c>
    </row>
    <row r="2618">
      <c r="A2618" t="n">
        <v>14050229</v>
      </c>
      <c r="B2618" t="n">
        <v>46161</v>
      </c>
      <c r="C2618" t="inlineStr">
        <is>
          <t>1405/02/29</t>
        </is>
      </c>
    </row>
    <row r="2619">
      <c r="A2619" t="n">
        <v>14050230</v>
      </c>
      <c r="B2619" t="n">
        <v>46162</v>
      </c>
      <c r="C2619" t="inlineStr">
        <is>
          <t>1405/02/30</t>
        </is>
      </c>
    </row>
    <row r="2620">
      <c r="A2620" t="n">
        <v>14050231</v>
      </c>
      <c r="B2620" t="n">
        <v>46163</v>
      </c>
      <c r="C2620" t="inlineStr">
        <is>
          <t>1405/02/31</t>
        </is>
      </c>
    </row>
    <row r="2621">
      <c r="A2621" t="n">
        <v>14050301</v>
      </c>
      <c r="B2621" t="n">
        <v>46164</v>
      </c>
      <c r="C2621" t="inlineStr">
        <is>
          <t>1405/03/01</t>
        </is>
      </c>
    </row>
    <row r="2622">
      <c r="A2622" t="n">
        <v>14050302</v>
      </c>
      <c r="B2622" t="n">
        <v>46165</v>
      </c>
      <c r="C2622" t="inlineStr">
        <is>
          <t>1405/03/02</t>
        </is>
      </c>
    </row>
    <row r="2623">
      <c r="A2623" t="n">
        <v>14050303</v>
      </c>
      <c r="B2623" t="n">
        <v>46166</v>
      </c>
      <c r="C2623" t="inlineStr">
        <is>
          <t>1405/03/03</t>
        </is>
      </c>
    </row>
    <row r="2624">
      <c r="A2624" t="n">
        <v>14050304</v>
      </c>
      <c r="B2624" t="n">
        <v>46167</v>
      </c>
      <c r="C2624" t="inlineStr">
        <is>
          <t>1405/03/04</t>
        </is>
      </c>
    </row>
    <row r="2625">
      <c r="A2625" t="n">
        <v>14050305</v>
      </c>
      <c r="B2625" t="n">
        <v>46168</v>
      </c>
      <c r="C2625" t="inlineStr">
        <is>
          <t>1405/03/05</t>
        </is>
      </c>
    </row>
    <row r="2626">
      <c r="A2626" t="n">
        <v>14050306</v>
      </c>
      <c r="B2626" t="n">
        <v>46169</v>
      </c>
      <c r="C2626" t="inlineStr">
        <is>
          <t>1405/03/06</t>
        </is>
      </c>
    </row>
    <row r="2627">
      <c r="A2627" t="n">
        <v>14050307</v>
      </c>
      <c r="B2627" t="n">
        <v>46170</v>
      </c>
      <c r="C2627" t="inlineStr">
        <is>
          <t>1405/03/07</t>
        </is>
      </c>
    </row>
    <row r="2628">
      <c r="A2628" t="n">
        <v>14050308</v>
      </c>
      <c r="B2628" t="n">
        <v>46171</v>
      </c>
      <c r="C2628" t="inlineStr">
        <is>
          <t>1405/03/08</t>
        </is>
      </c>
    </row>
    <row r="2629">
      <c r="A2629" t="n">
        <v>14050309</v>
      </c>
      <c r="B2629" t="n">
        <v>46172</v>
      </c>
      <c r="C2629" t="inlineStr">
        <is>
          <t>1405/03/09</t>
        </is>
      </c>
    </row>
    <row r="2630">
      <c r="A2630" t="n">
        <v>14050310</v>
      </c>
      <c r="B2630" t="n">
        <v>46173</v>
      </c>
      <c r="C2630" t="inlineStr">
        <is>
          <t>1405/03/10</t>
        </is>
      </c>
    </row>
    <row r="2631">
      <c r="A2631" t="n">
        <v>14050311</v>
      </c>
      <c r="B2631" t="n">
        <v>46174</v>
      </c>
      <c r="C2631" t="inlineStr">
        <is>
          <t>1405/03/11</t>
        </is>
      </c>
    </row>
    <row r="2632">
      <c r="A2632" t="n">
        <v>14050312</v>
      </c>
      <c r="B2632" t="n">
        <v>46175</v>
      </c>
      <c r="C2632" t="inlineStr">
        <is>
          <t>1405/03/12</t>
        </is>
      </c>
    </row>
    <row r="2633">
      <c r="A2633" t="n">
        <v>14050313</v>
      </c>
      <c r="B2633" t="n">
        <v>46176</v>
      </c>
      <c r="C2633" t="inlineStr">
        <is>
          <t>1405/03/13</t>
        </is>
      </c>
    </row>
    <row r="2634">
      <c r="A2634" t="n">
        <v>14050314</v>
      </c>
      <c r="B2634" t="n">
        <v>46177</v>
      </c>
      <c r="C2634" t="inlineStr">
        <is>
          <t>1405/03/14</t>
        </is>
      </c>
    </row>
    <row r="2635">
      <c r="A2635" t="n">
        <v>14050315</v>
      </c>
      <c r="B2635" t="n">
        <v>46178</v>
      </c>
      <c r="C2635" t="inlineStr">
        <is>
          <t>1405/03/15</t>
        </is>
      </c>
    </row>
    <row r="2636">
      <c r="A2636" t="n">
        <v>14050316</v>
      </c>
      <c r="B2636" t="n">
        <v>46179</v>
      </c>
      <c r="C2636" t="inlineStr">
        <is>
          <t>1405/03/16</t>
        </is>
      </c>
    </row>
    <row r="2637">
      <c r="A2637" t="n">
        <v>14050317</v>
      </c>
      <c r="B2637" t="n">
        <v>46180</v>
      </c>
      <c r="C2637" t="inlineStr">
        <is>
          <t>1405/03/17</t>
        </is>
      </c>
    </row>
    <row r="2638">
      <c r="A2638" t="n">
        <v>14050318</v>
      </c>
      <c r="B2638" t="n">
        <v>46181</v>
      </c>
      <c r="C2638" t="inlineStr">
        <is>
          <t>1405/03/18</t>
        </is>
      </c>
    </row>
    <row r="2639">
      <c r="A2639" t="n">
        <v>14050319</v>
      </c>
      <c r="B2639" t="n">
        <v>46182</v>
      </c>
      <c r="C2639" t="inlineStr">
        <is>
          <t>1405/03/19</t>
        </is>
      </c>
    </row>
    <row r="2640">
      <c r="A2640" t="n">
        <v>14050320</v>
      </c>
      <c r="B2640" t="n">
        <v>46183</v>
      </c>
      <c r="C2640" t="inlineStr">
        <is>
          <t>1405/03/20</t>
        </is>
      </c>
    </row>
    <row r="2641">
      <c r="A2641" t="n">
        <v>14050321</v>
      </c>
      <c r="B2641" t="n">
        <v>46184</v>
      </c>
      <c r="C2641" t="inlineStr">
        <is>
          <t>1405/03/21</t>
        </is>
      </c>
    </row>
    <row r="2642">
      <c r="A2642" t="n">
        <v>14050322</v>
      </c>
      <c r="B2642" t="n">
        <v>46185</v>
      </c>
      <c r="C2642" t="inlineStr">
        <is>
          <t>1405/03/22</t>
        </is>
      </c>
    </row>
    <row r="2643">
      <c r="A2643" t="n">
        <v>14050323</v>
      </c>
      <c r="B2643" t="n">
        <v>46186</v>
      </c>
      <c r="C2643" t="inlineStr">
        <is>
          <t>1405/03/23</t>
        </is>
      </c>
    </row>
    <row r="2644">
      <c r="A2644" t="n">
        <v>14050324</v>
      </c>
      <c r="B2644" t="n">
        <v>46187</v>
      </c>
      <c r="C2644" t="inlineStr">
        <is>
          <t>1405/03/24</t>
        </is>
      </c>
    </row>
    <row r="2645">
      <c r="A2645" t="n">
        <v>14050325</v>
      </c>
      <c r="B2645" t="n">
        <v>46188</v>
      </c>
      <c r="C2645" t="inlineStr">
        <is>
          <t>1405/03/25</t>
        </is>
      </c>
    </row>
    <row r="2646">
      <c r="A2646" t="n">
        <v>14050326</v>
      </c>
      <c r="B2646" t="n">
        <v>46189</v>
      </c>
      <c r="C2646" t="inlineStr">
        <is>
          <t>1405/03/26</t>
        </is>
      </c>
    </row>
    <row r="2647">
      <c r="A2647" t="n">
        <v>14050327</v>
      </c>
      <c r="B2647" t="n">
        <v>46190</v>
      </c>
      <c r="C2647" t="inlineStr">
        <is>
          <t>1405/03/27</t>
        </is>
      </c>
    </row>
    <row r="2648">
      <c r="A2648" t="n">
        <v>14050328</v>
      </c>
      <c r="B2648" t="n">
        <v>46191</v>
      </c>
      <c r="C2648" t="inlineStr">
        <is>
          <t>1405/03/28</t>
        </is>
      </c>
    </row>
    <row r="2649">
      <c r="A2649" t="n">
        <v>14050329</v>
      </c>
      <c r="B2649" t="n">
        <v>46192</v>
      </c>
      <c r="C2649" t="inlineStr">
        <is>
          <t>1405/03/29</t>
        </is>
      </c>
    </row>
    <row r="2650">
      <c r="A2650" t="n">
        <v>14050330</v>
      </c>
      <c r="B2650" t="n">
        <v>46193</v>
      </c>
      <c r="C2650" t="inlineStr">
        <is>
          <t>1405/03/30</t>
        </is>
      </c>
    </row>
    <row r="2651">
      <c r="A2651" t="n">
        <v>14050331</v>
      </c>
      <c r="B2651" t="n">
        <v>46194</v>
      </c>
      <c r="C2651" t="inlineStr">
        <is>
          <t>1405/03/31</t>
        </is>
      </c>
    </row>
    <row r="2652">
      <c r="A2652" t="n">
        <v>14050401</v>
      </c>
      <c r="B2652" t="n">
        <v>46195</v>
      </c>
      <c r="C2652" t="inlineStr">
        <is>
          <t>1405/04/01</t>
        </is>
      </c>
    </row>
    <row r="2653">
      <c r="A2653" t="n">
        <v>14050402</v>
      </c>
      <c r="B2653" t="n">
        <v>46196</v>
      </c>
      <c r="C2653" t="inlineStr">
        <is>
          <t>1405/04/02</t>
        </is>
      </c>
    </row>
    <row r="2654">
      <c r="A2654" t="n">
        <v>14050403</v>
      </c>
      <c r="B2654" t="n">
        <v>46197</v>
      </c>
      <c r="C2654" t="inlineStr">
        <is>
          <t>1405/04/03</t>
        </is>
      </c>
    </row>
    <row r="2655">
      <c r="A2655" t="n">
        <v>14050404</v>
      </c>
      <c r="B2655" t="n">
        <v>46198</v>
      </c>
      <c r="C2655" t="inlineStr">
        <is>
          <t>1405/04/04</t>
        </is>
      </c>
    </row>
    <row r="2656">
      <c r="A2656" t="n">
        <v>14050405</v>
      </c>
      <c r="B2656" t="n">
        <v>46199</v>
      </c>
      <c r="C2656" t="inlineStr">
        <is>
          <t>1405/04/05</t>
        </is>
      </c>
    </row>
    <row r="2657">
      <c r="A2657" t="n">
        <v>14050406</v>
      </c>
      <c r="B2657" t="n">
        <v>46200</v>
      </c>
      <c r="C2657" t="inlineStr">
        <is>
          <t>1405/04/06</t>
        </is>
      </c>
    </row>
    <row r="2658">
      <c r="A2658" t="n">
        <v>14050407</v>
      </c>
      <c r="B2658" t="n">
        <v>46201</v>
      </c>
      <c r="C2658" t="inlineStr">
        <is>
          <t>1405/04/07</t>
        </is>
      </c>
    </row>
    <row r="2659">
      <c r="A2659" t="n">
        <v>14050408</v>
      </c>
      <c r="B2659" t="n">
        <v>46202</v>
      </c>
      <c r="C2659" t="inlineStr">
        <is>
          <t>1405/04/08</t>
        </is>
      </c>
    </row>
    <row r="2660">
      <c r="A2660" t="n">
        <v>14050409</v>
      </c>
      <c r="B2660" t="n">
        <v>46203</v>
      </c>
      <c r="C2660" t="inlineStr">
        <is>
          <t>1405/04/09</t>
        </is>
      </c>
    </row>
    <row r="2661">
      <c r="A2661" t="n">
        <v>14050410</v>
      </c>
      <c r="B2661" t="n">
        <v>46204</v>
      </c>
      <c r="C2661" t="inlineStr">
        <is>
          <t>1405/04/10</t>
        </is>
      </c>
    </row>
    <row r="2662">
      <c r="A2662" t="n">
        <v>14050411</v>
      </c>
      <c r="B2662" t="n">
        <v>46205</v>
      </c>
      <c r="C2662" t="inlineStr">
        <is>
          <t>1405/04/11</t>
        </is>
      </c>
    </row>
    <row r="2663">
      <c r="A2663" t="n">
        <v>14050412</v>
      </c>
      <c r="B2663" t="n">
        <v>46206</v>
      </c>
      <c r="C2663" t="inlineStr">
        <is>
          <t>1405/04/12</t>
        </is>
      </c>
    </row>
    <row r="2664">
      <c r="A2664" t="n">
        <v>14050413</v>
      </c>
      <c r="B2664" t="n">
        <v>46207</v>
      </c>
      <c r="C2664" t="inlineStr">
        <is>
          <t>1405/04/13</t>
        </is>
      </c>
    </row>
    <row r="2665">
      <c r="A2665" t="n">
        <v>14050414</v>
      </c>
      <c r="B2665" t="n">
        <v>46208</v>
      </c>
      <c r="C2665" t="inlineStr">
        <is>
          <t>1405/04/14</t>
        </is>
      </c>
    </row>
    <row r="2666">
      <c r="A2666" t="n">
        <v>14050415</v>
      </c>
      <c r="B2666" t="n">
        <v>46209</v>
      </c>
      <c r="C2666" t="inlineStr">
        <is>
          <t>1405/04/15</t>
        </is>
      </c>
    </row>
    <row r="2667">
      <c r="A2667" t="n">
        <v>14050416</v>
      </c>
      <c r="B2667" t="n">
        <v>46210</v>
      </c>
      <c r="C2667" t="inlineStr">
        <is>
          <t>1405/04/16</t>
        </is>
      </c>
    </row>
    <row r="2668">
      <c r="A2668" t="n">
        <v>14050417</v>
      </c>
      <c r="B2668" t="n">
        <v>46211</v>
      </c>
      <c r="C2668" t="inlineStr">
        <is>
          <t>1405/04/17</t>
        </is>
      </c>
    </row>
    <row r="2669">
      <c r="A2669" t="n">
        <v>14050418</v>
      </c>
      <c r="B2669" t="n">
        <v>46212</v>
      </c>
      <c r="C2669" t="inlineStr">
        <is>
          <t>1405/04/18</t>
        </is>
      </c>
    </row>
    <row r="2670">
      <c r="A2670" t="n">
        <v>14050419</v>
      </c>
      <c r="B2670" t="n">
        <v>46213</v>
      </c>
      <c r="C2670" t="inlineStr">
        <is>
          <t>1405/04/19</t>
        </is>
      </c>
    </row>
    <row r="2671">
      <c r="A2671" t="n">
        <v>14050420</v>
      </c>
      <c r="B2671" t="n">
        <v>46214</v>
      </c>
      <c r="C2671" t="inlineStr">
        <is>
          <t>1405/04/20</t>
        </is>
      </c>
    </row>
    <row r="2672">
      <c r="A2672" t="n">
        <v>14050421</v>
      </c>
      <c r="B2672" t="n">
        <v>46215</v>
      </c>
      <c r="C2672" t="inlineStr">
        <is>
          <t>1405/04/21</t>
        </is>
      </c>
    </row>
    <row r="2673">
      <c r="A2673" t="n">
        <v>14050422</v>
      </c>
      <c r="B2673" t="n">
        <v>46216</v>
      </c>
      <c r="C2673" t="inlineStr">
        <is>
          <t>1405/04/22</t>
        </is>
      </c>
    </row>
    <row r="2674">
      <c r="A2674" t="n">
        <v>14050423</v>
      </c>
      <c r="B2674" t="n">
        <v>46217</v>
      </c>
      <c r="C2674" t="inlineStr">
        <is>
          <t>1405/04/23</t>
        </is>
      </c>
    </row>
    <row r="2675">
      <c r="A2675" t="n">
        <v>14050424</v>
      </c>
      <c r="B2675" t="n">
        <v>46218</v>
      </c>
      <c r="C2675" t="inlineStr">
        <is>
          <t>1405/04/24</t>
        </is>
      </c>
    </row>
    <row r="2676">
      <c r="A2676" t="n">
        <v>14050425</v>
      </c>
      <c r="B2676" t="n">
        <v>46219</v>
      </c>
      <c r="C2676" t="inlineStr">
        <is>
          <t>1405/04/25</t>
        </is>
      </c>
    </row>
    <row r="2677">
      <c r="A2677" t="n">
        <v>14050426</v>
      </c>
      <c r="B2677" t="n">
        <v>46220</v>
      </c>
      <c r="C2677" t="inlineStr">
        <is>
          <t>1405/04/26</t>
        </is>
      </c>
    </row>
    <row r="2678">
      <c r="A2678" t="n">
        <v>14050427</v>
      </c>
      <c r="B2678" t="n">
        <v>46221</v>
      </c>
      <c r="C2678" t="inlineStr">
        <is>
          <t>1405/04/27</t>
        </is>
      </c>
    </row>
    <row r="2679">
      <c r="A2679" t="n">
        <v>14050428</v>
      </c>
      <c r="B2679" t="n">
        <v>46222</v>
      </c>
      <c r="C2679" t="inlineStr">
        <is>
          <t>1405/04/28</t>
        </is>
      </c>
    </row>
    <row r="2680">
      <c r="A2680" t="n">
        <v>14050429</v>
      </c>
      <c r="B2680" t="n">
        <v>46223</v>
      </c>
      <c r="C2680" t="inlineStr">
        <is>
          <t>1405/04/29</t>
        </is>
      </c>
    </row>
    <row r="2681">
      <c r="A2681" t="n">
        <v>14050430</v>
      </c>
      <c r="B2681" t="n">
        <v>46224</v>
      </c>
      <c r="C2681" t="inlineStr">
        <is>
          <t>1405/04/30</t>
        </is>
      </c>
    </row>
    <row r="2682">
      <c r="A2682" t="n">
        <v>14050431</v>
      </c>
      <c r="B2682" t="n">
        <v>46225</v>
      </c>
      <c r="C2682" t="inlineStr">
        <is>
          <t>1405/04/31</t>
        </is>
      </c>
    </row>
    <row r="2683">
      <c r="A2683" t="n">
        <v>14050501</v>
      </c>
      <c r="B2683" t="n">
        <v>46226</v>
      </c>
      <c r="C2683" t="inlineStr">
        <is>
          <t>1405/05/01</t>
        </is>
      </c>
    </row>
    <row r="2684">
      <c r="A2684" t="n">
        <v>14050502</v>
      </c>
      <c r="B2684" t="n">
        <v>46227</v>
      </c>
      <c r="C2684" t="inlineStr">
        <is>
          <t>1405/05/02</t>
        </is>
      </c>
    </row>
    <row r="2685">
      <c r="A2685" t="n">
        <v>14050503</v>
      </c>
      <c r="B2685" t="n">
        <v>46228</v>
      </c>
      <c r="C2685" t="inlineStr">
        <is>
          <t>1405/05/03</t>
        </is>
      </c>
    </row>
    <row r="2686">
      <c r="A2686" t="n">
        <v>14050504</v>
      </c>
      <c r="B2686" t="n">
        <v>46229</v>
      </c>
      <c r="C2686" t="inlineStr">
        <is>
          <t>1405/05/04</t>
        </is>
      </c>
    </row>
    <row r="2687">
      <c r="A2687" t="n">
        <v>14050505</v>
      </c>
      <c r="B2687" t="n">
        <v>46230</v>
      </c>
      <c r="C2687" t="inlineStr">
        <is>
          <t>1405/05/05</t>
        </is>
      </c>
    </row>
    <row r="2688">
      <c r="A2688" t="n">
        <v>14050506</v>
      </c>
      <c r="B2688" t="n">
        <v>46231</v>
      </c>
      <c r="C2688" t="inlineStr">
        <is>
          <t>1405/05/06</t>
        </is>
      </c>
    </row>
    <row r="2689">
      <c r="A2689" t="n">
        <v>14050507</v>
      </c>
      <c r="B2689" t="n">
        <v>46232</v>
      </c>
      <c r="C2689" t="inlineStr">
        <is>
          <t>1405/05/07</t>
        </is>
      </c>
    </row>
    <row r="2690">
      <c r="A2690" t="n">
        <v>14050508</v>
      </c>
      <c r="B2690" t="n">
        <v>46233</v>
      </c>
      <c r="C2690" t="inlineStr">
        <is>
          <t>1405/05/08</t>
        </is>
      </c>
    </row>
    <row r="2691">
      <c r="A2691" t="n">
        <v>14050509</v>
      </c>
      <c r="B2691" t="n">
        <v>46234</v>
      </c>
      <c r="C2691" t="inlineStr">
        <is>
          <t>1405/05/09</t>
        </is>
      </c>
    </row>
    <row r="2692">
      <c r="A2692" t="n">
        <v>14050510</v>
      </c>
      <c r="B2692" t="n">
        <v>46235</v>
      </c>
      <c r="C2692" t="inlineStr">
        <is>
          <t>1405/05/10</t>
        </is>
      </c>
    </row>
    <row r="2693">
      <c r="A2693" t="n">
        <v>14050511</v>
      </c>
      <c r="B2693" t="n">
        <v>46236</v>
      </c>
      <c r="C2693" t="inlineStr">
        <is>
          <t>1405/05/11</t>
        </is>
      </c>
    </row>
    <row r="2694">
      <c r="A2694" t="n">
        <v>14050512</v>
      </c>
      <c r="B2694" t="n">
        <v>46237</v>
      </c>
      <c r="C2694" t="inlineStr">
        <is>
          <t>1405/05/12</t>
        </is>
      </c>
    </row>
    <row r="2695">
      <c r="A2695" t="n">
        <v>14050513</v>
      </c>
      <c r="B2695" t="n">
        <v>46238</v>
      </c>
      <c r="C2695" t="inlineStr">
        <is>
          <t>1405/05/13</t>
        </is>
      </c>
    </row>
    <row r="2696">
      <c r="A2696" t="n">
        <v>14050514</v>
      </c>
      <c r="B2696" t="n">
        <v>46239</v>
      </c>
      <c r="C2696" t="inlineStr">
        <is>
          <t>1405/05/14</t>
        </is>
      </c>
    </row>
    <row r="2697">
      <c r="A2697" t="n">
        <v>14050515</v>
      </c>
      <c r="B2697" t="n">
        <v>46240</v>
      </c>
      <c r="C2697" t="inlineStr">
        <is>
          <t>1405/05/15</t>
        </is>
      </c>
    </row>
    <row r="2698">
      <c r="A2698" t="n">
        <v>14050516</v>
      </c>
      <c r="B2698" t="n">
        <v>46241</v>
      </c>
      <c r="C2698" t="inlineStr">
        <is>
          <t>1405/05/16</t>
        </is>
      </c>
    </row>
    <row r="2699">
      <c r="A2699" t="n">
        <v>14050517</v>
      </c>
      <c r="B2699" t="n">
        <v>46242</v>
      </c>
      <c r="C2699" t="inlineStr">
        <is>
          <t>1405/05/17</t>
        </is>
      </c>
    </row>
    <row r="2700">
      <c r="A2700" t="n">
        <v>14050518</v>
      </c>
      <c r="B2700" t="n">
        <v>46243</v>
      </c>
      <c r="C2700" t="inlineStr">
        <is>
          <t>1405/05/18</t>
        </is>
      </c>
    </row>
    <row r="2701">
      <c r="A2701" t="n">
        <v>14050519</v>
      </c>
      <c r="B2701" t="n">
        <v>46244</v>
      </c>
      <c r="C2701" t="inlineStr">
        <is>
          <t>1405/05/19</t>
        </is>
      </c>
    </row>
    <row r="2702">
      <c r="A2702" t="n">
        <v>14050520</v>
      </c>
      <c r="B2702" t="n">
        <v>46245</v>
      </c>
      <c r="C2702" t="inlineStr">
        <is>
          <t>1405/05/20</t>
        </is>
      </c>
    </row>
    <row r="2703">
      <c r="A2703" t="n">
        <v>14050521</v>
      </c>
      <c r="B2703" t="n">
        <v>46246</v>
      </c>
      <c r="C2703" t="inlineStr">
        <is>
          <t>1405/05/21</t>
        </is>
      </c>
    </row>
    <row r="2704">
      <c r="A2704" t="n">
        <v>14050522</v>
      </c>
      <c r="B2704" t="n">
        <v>46247</v>
      </c>
      <c r="C2704" t="inlineStr">
        <is>
          <t>1405/05/22</t>
        </is>
      </c>
    </row>
    <row r="2705">
      <c r="A2705" t="n">
        <v>14050523</v>
      </c>
      <c r="B2705" t="n">
        <v>46248</v>
      </c>
      <c r="C2705" t="inlineStr">
        <is>
          <t>1405/05/23</t>
        </is>
      </c>
    </row>
    <row r="2706">
      <c r="A2706" t="n">
        <v>14050524</v>
      </c>
      <c r="B2706" t="n">
        <v>46249</v>
      </c>
      <c r="C2706" t="inlineStr">
        <is>
          <t>1405/05/24</t>
        </is>
      </c>
    </row>
    <row r="2707">
      <c r="A2707" t="n">
        <v>14050525</v>
      </c>
      <c r="B2707" t="n">
        <v>46250</v>
      </c>
      <c r="C2707" t="inlineStr">
        <is>
          <t>1405/05/25</t>
        </is>
      </c>
    </row>
    <row r="2708">
      <c r="A2708" t="n">
        <v>14050526</v>
      </c>
      <c r="B2708" t="n">
        <v>46251</v>
      </c>
      <c r="C2708" t="inlineStr">
        <is>
          <t>1405/05/26</t>
        </is>
      </c>
    </row>
    <row r="2709">
      <c r="A2709" t="n">
        <v>14050527</v>
      </c>
      <c r="B2709" t="n">
        <v>46252</v>
      </c>
      <c r="C2709" t="inlineStr">
        <is>
          <t>1405/05/27</t>
        </is>
      </c>
    </row>
    <row r="2710">
      <c r="A2710" t="n">
        <v>14050528</v>
      </c>
      <c r="B2710" t="n">
        <v>46253</v>
      </c>
      <c r="C2710" t="inlineStr">
        <is>
          <t>1405/05/28</t>
        </is>
      </c>
    </row>
    <row r="2711">
      <c r="A2711" t="n">
        <v>14050529</v>
      </c>
      <c r="B2711" t="n">
        <v>46254</v>
      </c>
      <c r="C2711" t="inlineStr">
        <is>
          <t>1405/05/29</t>
        </is>
      </c>
    </row>
    <row r="2712">
      <c r="A2712" t="n">
        <v>14050530</v>
      </c>
      <c r="B2712" t="n">
        <v>46255</v>
      </c>
      <c r="C2712" t="inlineStr">
        <is>
          <t>1405/05/30</t>
        </is>
      </c>
    </row>
    <row r="2713">
      <c r="A2713" t="n">
        <v>14050531</v>
      </c>
      <c r="B2713" t="n">
        <v>46256</v>
      </c>
      <c r="C2713" t="inlineStr">
        <is>
          <t>1405/05/31</t>
        </is>
      </c>
    </row>
    <row r="2714">
      <c r="A2714" t="n">
        <v>14050601</v>
      </c>
      <c r="B2714" t="n">
        <v>46257</v>
      </c>
      <c r="C2714" t="inlineStr">
        <is>
          <t>1405/06/01</t>
        </is>
      </c>
    </row>
    <row r="2715">
      <c r="A2715" t="n">
        <v>14050602</v>
      </c>
      <c r="B2715" t="n">
        <v>46258</v>
      </c>
      <c r="C2715" t="inlineStr">
        <is>
          <t>1405/06/02</t>
        </is>
      </c>
    </row>
    <row r="2716">
      <c r="A2716" t="n">
        <v>14050603</v>
      </c>
      <c r="B2716" t="n">
        <v>46259</v>
      </c>
      <c r="C2716" t="inlineStr">
        <is>
          <t>1405/06/03</t>
        </is>
      </c>
    </row>
    <row r="2717">
      <c r="A2717" t="n">
        <v>14050604</v>
      </c>
      <c r="B2717" t="n">
        <v>46260</v>
      </c>
      <c r="C2717" t="inlineStr">
        <is>
          <t>1405/06/04</t>
        </is>
      </c>
    </row>
    <row r="2718">
      <c r="A2718" t="n">
        <v>14050605</v>
      </c>
      <c r="B2718" t="n">
        <v>46261</v>
      </c>
      <c r="C2718" t="inlineStr">
        <is>
          <t>1405/06/05</t>
        </is>
      </c>
    </row>
    <row r="2719">
      <c r="A2719" t="n">
        <v>14050606</v>
      </c>
      <c r="B2719" t="n">
        <v>46262</v>
      </c>
      <c r="C2719" t="inlineStr">
        <is>
          <t>1405/06/06</t>
        </is>
      </c>
    </row>
    <row r="2720">
      <c r="A2720" t="n">
        <v>14050607</v>
      </c>
      <c r="B2720" t="n">
        <v>46263</v>
      </c>
      <c r="C2720" t="inlineStr">
        <is>
          <t>1405/06/07</t>
        </is>
      </c>
    </row>
    <row r="2721">
      <c r="A2721" t="n">
        <v>14050608</v>
      </c>
      <c r="B2721" t="n">
        <v>46264</v>
      </c>
      <c r="C2721" t="inlineStr">
        <is>
          <t>1405/06/08</t>
        </is>
      </c>
    </row>
    <row r="2722">
      <c r="A2722" t="n">
        <v>14050609</v>
      </c>
      <c r="B2722" t="n">
        <v>46265</v>
      </c>
      <c r="C2722" t="inlineStr">
        <is>
          <t>1405/06/09</t>
        </is>
      </c>
    </row>
    <row r="2723">
      <c r="A2723" t="n">
        <v>14050610</v>
      </c>
      <c r="B2723" t="n">
        <v>46266</v>
      </c>
      <c r="C2723" t="inlineStr">
        <is>
          <t>1405/06/10</t>
        </is>
      </c>
    </row>
    <row r="2724">
      <c r="A2724" t="n">
        <v>14050611</v>
      </c>
      <c r="B2724" t="n">
        <v>46267</v>
      </c>
      <c r="C2724" t="inlineStr">
        <is>
          <t>1405/06/11</t>
        </is>
      </c>
    </row>
    <row r="2725">
      <c r="A2725" t="n">
        <v>14050612</v>
      </c>
      <c r="B2725" t="n">
        <v>46268</v>
      </c>
      <c r="C2725" t="inlineStr">
        <is>
          <t>1405/06/12</t>
        </is>
      </c>
    </row>
    <row r="2726">
      <c r="A2726" t="n">
        <v>14050613</v>
      </c>
      <c r="B2726" t="n">
        <v>46269</v>
      </c>
      <c r="C2726" t="inlineStr">
        <is>
          <t>1405/06/13</t>
        </is>
      </c>
    </row>
    <row r="2727">
      <c r="A2727" t="n">
        <v>14050614</v>
      </c>
      <c r="B2727" t="n">
        <v>46270</v>
      </c>
      <c r="C2727" t="inlineStr">
        <is>
          <t>1405/06/14</t>
        </is>
      </c>
    </row>
    <row r="2728">
      <c r="A2728" t="n">
        <v>14050615</v>
      </c>
      <c r="B2728" t="n">
        <v>46271</v>
      </c>
      <c r="C2728" t="inlineStr">
        <is>
          <t>1405/06/15</t>
        </is>
      </c>
    </row>
    <row r="2729">
      <c r="A2729" t="n">
        <v>14050616</v>
      </c>
      <c r="B2729" t="n">
        <v>46272</v>
      </c>
      <c r="C2729" t="inlineStr">
        <is>
          <t>1405/06/16</t>
        </is>
      </c>
    </row>
    <row r="2730">
      <c r="A2730" t="n">
        <v>14050617</v>
      </c>
      <c r="B2730" t="n">
        <v>46273</v>
      </c>
      <c r="C2730" t="inlineStr">
        <is>
          <t>1405/06/17</t>
        </is>
      </c>
    </row>
    <row r="2731">
      <c r="A2731" t="n">
        <v>14050618</v>
      </c>
      <c r="B2731" t="n">
        <v>46274</v>
      </c>
      <c r="C2731" t="inlineStr">
        <is>
          <t>1405/06/18</t>
        </is>
      </c>
    </row>
    <row r="2732">
      <c r="A2732" t="n">
        <v>14050619</v>
      </c>
      <c r="B2732" t="n">
        <v>46275</v>
      </c>
      <c r="C2732" t="inlineStr">
        <is>
          <t>1405/06/19</t>
        </is>
      </c>
    </row>
    <row r="2733">
      <c r="A2733" t="n">
        <v>14050620</v>
      </c>
      <c r="B2733" t="n">
        <v>46276</v>
      </c>
      <c r="C2733" t="inlineStr">
        <is>
          <t>1405/06/20</t>
        </is>
      </c>
    </row>
    <row r="2734">
      <c r="A2734" t="n">
        <v>14050621</v>
      </c>
      <c r="B2734" t="n">
        <v>46277</v>
      </c>
      <c r="C2734" t="inlineStr">
        <is>
          <t>1405/06/21</t>
        </is>
      </c>
    </row>
    <row r="2735">
      <c r="A2735" t="n">
        <v>14050622</v>
      </c>
      <c r="B2735" t="n">
        <v>46278</v>
      </c>
      <c r="C2735" t="inlineStr">
        <is>
          <t>1405/06/22</t>
        </is>
      </c>
    </row>
    <row r="2736">
      <c r="A2736" t="n">
        <v>14050623</v>
      </c>
      <c r="B2736" t="n">
        <v>46279</v>
      </c>
      <c r="C2736" t="inlineStr">
        <is>
          <t>1405/06/23</t>
        </is>
      </c>
    </row>
    <row r="2737">
      <c r="A2737" t="n">
        <v>14050624</v>
      </c>
      <c r="B2737" t="n">
        <v>46280</v>
      </c>
      <c r="C2737" t="inlineStr">
        <is>
          <t>1405/06/24</t>
        </is>
      </c>
    </row>
    <row r="2738">
      <c r="A2738" t="n">
        <v>14050625</v>
      </c>
      <c r="B2738" t="n">
        <v>46281</v>
      </c>
      <c r="C2738" t="inlineStr">
        <is>
          <t>1405/06/25</t>
        </is>
      </c>
    </row>
    <row r="2739">
      <c r="A2739" t="n">
        <v>14050626</v>
      </c>
      <c r="B2739" t="n">
        <v>46282</v>
      </c>
      <c r="C2739" t="inlineStr">
        <is>
          <t>1405/06/26</t>
        </is>
      </c>
    </row>
    <row r="2740">
      <c r="A2740" t="n">
        <v>14050627</v>
      </c>
      <c r="B2740" t="n">
        <v>46283</v>
      </c>
      <c r="C2740" t="inlineStr">
        <is>
          <t>1405/06/27</t>
        </is>
      </c>
    </row>
    <row r="2741">
      <c r="A2741" t="n">
        <v>14050628</v>
      </c>
      <c r="B2741" t="n">
        <v>46284</v>
      </c>
      <c r="C2741" t="inlineStr">
        <is>
          <t>1405/06/28</t>
        </is>
      </c>
    </row>
    <row r="2742">
      <c r="A2742" t="n">
        <v>14050629</v>
      </c>
      <c r="B2742" t="n">
        <v>46285</v>
      </c>
      <c r="C2742" t="inlineStr">
        <is>
          <t>1405/06/29</t>
        </is>
      </c>
    </row>
    <row r="2743">
      <c r="A2743" t="n">
        <v>14050630</v>
      </c>
      <c r="B2743" t="n">
        <v>46286</v>
      </c>
      <c r="C2743" t="inlineStr">
        <is>
          <t>1405/06/30</t>
        </is>
      </c>
    </row>
    <row r="2744">
      <c r="A2744" t="n">
        <v>14050631</v>
      </c>
      <c r="B2744" t="n">
        <v>46287</v>
      </c>
      <c r="C2744" t="inlineStr">
        <is>
          <t>1405/06/31</t>
        </is>
      </c>
    </row>
    <row r="2745">
      <c r="A2745" t="n">
        <v>14050701</v>
      </c>
      <c r="B2745" t="n">
        <v>46288</v>
      </c>
      <c r="C2745" t="inlineStr">
        <is>
          <t>1405/07/01</t>
        </is>
      </c>
    </row>
    <row r="2746">
      <c r="A2746" t="n">
        <v>14050702</v>
      </c>
      <c r="B2746" t="n">
        <v>46289</v>
      </c>
      <c r="C2746" t="inlineStr">
        <is>
          <t>1405/07/02</t>
        </is>
      </c>
    </row>
    <row r="2747">
      <c r="A2747" t="n">
        <v>14050703</v>
      </c>
      <c r="B2747" t="n">
        <v>46290</v>
      </c>
      <c r="C2747" t="inlineStr">
        <is>
          <t>1405/07/03</t>
        </is>
      </c>
    </row>
    <row r="2748">
      <c r="A2748" t="n">
        <v>14050704</v>
      </c>
      <c r="B2748" t="n">
        <v>46291</v>
      </c>
      <c r="C2748" t="inlineStr">
        <is>
          <t>1405/07/04</t>
        </is>
      </c>
    </row>
    <row r="2749">
      <c r="A2749" t="n">
        <v>14050705</v>
      </c>
      <c r="B2749" t="n">
        <v>46292</v>
      </c>
      <c r="C2749" t="inlineStr">
        <is>
          <t>1405/07/05</t>
        </is>
      </c>
    </row>
    <row r="2750">
      <c r="A2750" t="n">
        <v>14050706</v>
      </c>
      <c r="B2750" t="n">
        <v>46293</v>
      </c>
      <c r="C2750" t="inlineStr">
        <is>
          <t>1405/07/06</t>
        </is>
      </c>
    </row>
    <row r="2751">
      <c r="A2751" t="n">
        <v>14050707</v>
      </c>
      <c r="B2751" t="n">
        <v>46294</v>
      </c>
      <c r="C2751" t="inlineStr">
        <is>
          <t>1405/07/07</t>
        </is>
      </c>
    </row>
    <row r="2752">
      <c r="A2752" t="n">
        <v>14050708</v>
      </c>
      <c r="B2752" t="n">
        <v>46295</v>
      </c>
      <c r="C2752" t="inlineStr">
        <is>
          <t>1405/07/08</t>
        </is>
      </c>
    </row>
    <row r="2753">
      <c r="A2753" t="n">
        <v>14050709</v>
      </c>
      <c r="B2753" t="n">
        <v>46296</v>
      </c>
      <c r="C2753" t="inlineStr">
        <is>
          <t>1405/07/09</t>
        </is>
      </c>
    </row>
    <row r="2754">
      <c r="A2754" t="n">
        <v>14050710</v>
      </c>
      <c r="B2754" t="n">
        <v>46297</v>
      </c>
      <c r="C2754" t="inlineStr">
        <is>
          <t>1405/07/10</t>
        </is>
      </c>
    </row>
    <row r="2755">
      <c r="A2755" t="n">
        <v>14050711</v>
      </c>
      <c r="B2755" t="n">
        <v>46298</v>
      </c>
      <c r="C2755" t="inlineStr">
        <is>
          <t>1405/07/11</t>
        </is>
      </c>
    </row>
    <row r="2756">
      <c r="A2756" t="n">
        <v>14050712</v>
      </c>
      <c r="B2756" t="n">
        <v>46299</v>
      </c>
      <c r="C2756" t="inlineStr">
        <is>
          <t>1405/07/12</t>
        </is>
      </c>
    </row>
    <row r="2757">
      <c r="A2757" t="n">
        <v>14050713</v>
      </c>
      <c r="B2757" t="n">
        <v>46300</v>
      </c>
      <c r="C2757" t="inlineStr">
        <is>
          <t>1405/07/13</t>
        </is>
      </c>
    </row>
    <row r="2758">
      <c r="A2758" t="n">
        <v>14050714</v>
      </c>
      <c r="B2758" t="n">
        <v>46301</v>
      </c>
      <c r="C2758" t="inlineStr">
        <is>
          <t>1405/07/14</t>
        </is>
      </c>
    </row>
    <row r="2759">
      <c r="A2759" t="n">
        <v>14050715</v>
      </c>
      <c r="B2759" t="n">
        <v>46302</v>
      </c>
      <c r="C2759" t="inlineStr">
        <is>
          <t>1405/07/15</t>
        </is>
      </c>
    </row>
    <row r="2760">
      <c r="A2760" t="n">
        <v>14050716</v>
      </c>
      <c r="B2760" t="n">
        <v>46303</v>
      </c>
      <c r="C2760" t="inlineStr">
        <is>
          <t>1405/07/16</t>
        </is>
      </c>
    </row>
    <row r="2761">
      <c r="A2761" t="n">
        <v>14050717</v>
      </c>
      <c r="B2761" t="n">
        <v>46304</v>
      </c>
      <c r="C2761" t="inlineStr">
        <is>
          <t>1405/07/17</t>
        </is>
      </c>
    </row>
    <row r="2762">
      <c r="A2762" t="n">
        <v>14050718</v>
      </c>
      <c r="B2762" t="n">
        <v>46305</v>
      </c>
      <c r="C2762" t="inlineStr">
        <is>
          <t>1405/07/18</t>
        </is>
      </c>
    </row>
    <row r="2763">
      <c r="A2763" t="n">
        <v>14050719</v>
      </c>
      <c r="B2763" t="n">
        <v>46306</v>
      </c>
      <c r="C2763" t="inlineStr">
        <is>
          <t>1405/07/19</t>
        </is>
      </c>
    </row>
    <row r="2764">
      <c r="A2764" t="n">
        <v>14050720</v>
      </c>
      <c r="B2764" t="n">
        <v>46307</v>
      </c>
      <c r="C2764" t="inlineStr">
        <is>
          <t>1405/07/20</t>
        </is>
      </c>
    </row>
    <row r="2765">
      <c r="A2765" t="n">
        <v>14050721</v>
      </c>
      <c r="B2765" t="n">
        <v>46308</v>
      </c>
      <c r="C2765" t="inlineStr">
        <is>
          <t>1405/07/21</t>
        </is>
      </c>
    </row>
    <row r="2766">
      <c r="A2766" t="n">
        <v>14050722</v>
      </c>
      <c r="B2766" t="n">
        <v>46309</v>
      </c>
      <c r="C2766" t="inlineStr">
        <is>
          <t>1405/07/22</t>
        </is>
      </c>
    </row>
    <row r="2767">
      <c r="A2767" t="n">
        <v>14050723</v>
      </c>
      <c r="B2767" t="n">
        <v>46310</v>
      </c>
      <c r="C2767" t="inlineStr">
        <is>
          <t>1405/07/23</t>
        </is>
      </c>
    </row>
    <row r="2768">
      <c r="A2768" t="n">
        <v>14050724</v>
      </c>
      <c r="B2768" t="n">
        <v>46311</v>
      </c>
      <c r="C2768" t="inlineStr">
        <is>
          <t>1405/07/24</t>
        </is>
      </c>
    </row>
    <row r="2769">
      <c r="A2769" t="n">
        <v>14050725</v>
      </c>
      <c r="B2769" t="n">
        <v>46312</v>
      </c>
      <c r="C2769" t="inlineStr">
        <is>
          <t>1405/07/25</t>
        </is>
      </c>
    </row>
    <row r="2770">
      <c r="A2770" t="n">
        <v>14050726</v>
      </c>
      <c r="B2770" t="n">
        <v>46313</v>
      </c>
      <c r="C2770" t="inlineStr">
        <is>
          <t>1405/07/26</t>
        </is>
      </c>
    </row>
    <row r="2771">
      <c r="A2771" t="n">
        <v>14050727</v>
      </c>
      <c r="B2771" t="n">
        <v>46314</v>
      </c>
      <c r="C2771" t="inlineStr">
        <is>
          <t>1405/07/27</t>
        </is>
      </c>
    </row>
    <row r="2772">
      <c r="A2772" t="n">
        <v>14050728</v>
      </c>
      <c r="B2772" t="n">
        <v>46315</v>
      </c>
      <c r="C2772" t="inlineStr">
        <is>
          <t>1405/07/28</t>
        </is>
      </c>
    </row>
    <row r="2773">
      <c r="A2773" t="n">
        <v>14050729</v>
      </c>
      <c r="B2773" t="n">
        <v>46316</v>
      </c>
      <c r="C2773" t="inlineStr">
        <is>
          <t>1405/07/29</t>
        </is>
      </c>
    </row>
    <row r="2774">
      <c r="A2774" t="n">
        <v>14050730</v>
      </c>
      <c r="B2774" t="n">
        <v>46317</v>
      </c>
      <c r="C2774" t="inlineStr">
        <is>
          <t>1405/07/30</t>
        </is>
      </c>
    </row>
    <row r="2775">
      <c r="A2775" t="n">
        <v>14050801</v>
      </c>
      <c r="B2775" t="n">
        <v>46318</v>
      </c>
      <c r="C2775" t="inlineStr">
        <is>
          <t>1405/08/01</t>
        </is>
      </c>
    </row>
    <row r="2776">
      <c r="A2776" t="n">
        <v>14050802</v>
      </c>
      <c r="B2776" t="n">
        <v>46319</v>
      </c>
      <c r="C2776" t="inlineStr">
        <is>
          <t>1405/08/02</t>
        </is>
      </c>
    </row>
    <row r="2777">
      <c r="A2777" t="n">
        <v>14050803</v>
      </c>
      <c r="B2777" t="n">
        <v>46320</v>
      </c>
      <c r="C2777" t="inlineStr">
        <is>
          <t>1405/08/03</t>
        </is>
      </c>
    </row>
    <row r="2778">
      <c r="A2778" t="n">
        <v>14050804</v>
      </c>
      <c r="B2778" t="n">
        <v>46321</v>
      </c>
      <c r="C2778" t="inlineStr">
        <is>
          <t>1405/08/04</t>
        </is>
      </c>
    </row>
    <row r="2779">
      <c r="A2779" t="n">
        <v>14050805</v>
      </c>
      <c r="B2779" t="n">
        <v>46322</v>
      </c>
      <c r="C2779" t="inlineStr">
        <is>
          <t>1405/08/05</t>
        </is>
      </c>
    </row>
    <row r="2780">
      <c r="A2780" t="n">
        <v>14050806</v>
      </c>
      <c r="B2780" t="n">
        <v>46323</v>
      </c>
      <c r="C2780" t="inlineStr">
        <is>
          <t>1405/08/06</t>
        </is>
      </c>
    </row>
    <row r="2781">
      <c r="A2781" t="n">
        <v>14050807</v>
      </c>
      <c r="B2781" t="n">
        <v>46324</v>
      </c>
      <c r="C2781" t="inlineStr">
        <is>
          <t>1405/08/07</t>
        </is>
      </c>
    </row>
    <row r="2782">
      <c r="A2782" t="n">
        <v>14050808</v>
      </c>
      <c r="B2782" t="n">
        <v>46325</v>
      </c>
      <c r="C2782" t="inlineStr">
        <is>
          <t>1405/08/08</t>
        </is>
      </c>
    </row>
    <row r="2783">
      <c r="A2783" t="n">
        <v>14050809</v>
      </c>
      <c r="B2783" t="n">
        <v>46326</v>
      </c>
      <c r="C2783" t="inlineStr">
        <is>
          <t>1405/08/09</t>
        </is>
      </c>
    </row>
    <row r="2784">
      <c r="A2784" t="n">
        <v>14050810</v>
      </c>
      <c r="B2784" t="n">
        <v>46327</v>
      </c>
      <c r="C2784" t="inlineStr">
        <is>
          <t>1405/08/10</t>
        </is>
      </c>
    </row>
    <row r="2785">
      <c r="A2785" t="n">
        <v>14050811</v>
      </c>
      <c r="B2785" t="n">
        <v>46328</v>
      </c>
      <c r="C2785" t="inlineStr">
        <is>
          <t>1405/08/11</t>
        </is>
      </c>
    </row>
    <row r="2786">
      <c r="A2786" t="n">
        <v>14050812</v>
      </c>
      <c r="B2786" t="n">
        <v>46329</v>
      </c>
      <c r="C2786" t="inlineStr">
        <is>
          <t>1405/08/12</t>
        </is>
      </c>
    </row>
    <row r="2787">
      <c r="A2787" t="n">
        <v>14050813</v>
      </c>
      <c r="B2787" t="n">
        <v>46330</v>
      </c>
      <c r="C2787" t="inlineStr">
        <is>
          <t>1405/08/13</t>
        </is>
      </c>
    </row>
    <row r="2788">
      <c r="A2788" t="n">
        <v>14050814</v>
      </c>
      <c r="B2788" t="n">
        <v>46331</v>
      </c>
      <c r="C2788" t="inlineStr">
        <is>
          <t>1405/08/14</t>
        </is>
      </c>
    </row>
    <row r="2789">
      <c r="A2789" t="n">
        <v>14050815</v>
      </c>
      <c r="B2789" t="n">
        <v>46332</v>
      </c>
      <c r="C2789" t="inlineStr">
        <is>
          <t>1405/08/15</t>
        </is>
      </c>
    </row>
    <row r="2790">
      <c r="A2790" t="n">
        <v>14050816</v>
      </c>
      <c r="B2790" t="n">
        <v>46333</v>
      </c>
      <c r="C2790" t="inlineStr">
        <is>
          <t>1405/08/16</t>
        </is>
      </c>
    </row>
    <row r="2791">
      <c r="A2791" t="n">
        <v>14050817</v>
      </c>
      <c r="B2791" t="n">
        <v>46334</v>
      </c>
      <c r="C2791" t="inlineStr">
        <is>
          <t>1405/08/17</t>
        </is>
      </c>
    </row>
    <row r="2792">
      <c r="A2792" t="n">
        <v>14050818</v>
      </c>
      <c r="B2792" t="n">
        <v>46335</v>
      </c>
      <c r="C2792" t="inlineStr">
        <is>
          <t>1405/08/18</t>
        </is>
      </c>
    </row>
    <row r="2793">
      <c r="A2793" t="n">
        <v>14050819</v>
      </c>
      <c r="B2793" t="n">
        <v>46336</v>
      </c>
      <c r="C2793" t="inlineStr">
        <is>
          <t>1405/08/19</t>
        </is>
      </c>
    </row>
    <row r="2794">
      <c r="A2794" t="n">
        <v>14050820</v>
      </c>
      <c r="B2794" t="n">
        <v>46337</v>
      </c>
      <c r="C2794" t="inlineStr">
        <is>
          <t>1405/08/20</t>
        </is>
      </c>
    </row>
    <row r="2795">
      <c r="A2795" t="n">
        <v>14050821</v>
      </c>
      <c r="B2795" t="n">
        <v>46338</v>
      </c>
      <c r="C2795" t="inlineStr">
        <is>
          <t>1405/08/21</t>
        </is>
      </c>
    </row>
    <row r="2796">
      <c r="A2796" t="n">
        <v>14050822</v>
      </c>
      <c r="B2796" t="n">
        <v>46339</v>
      </c>
      <c r="C2796" t="inlineStr">
        <is>
          <t>1405/08/22</t>
        </is>
      </c>
    </row>
    <row r="2797">
      <c r="A2797" t="n">
        <v>14050823</v>
      </c>
      <c r="B2797" t="n">
        <v>46340</v>
      </c>
      <c r="C2797" t="inlineStr">
        <is>
          <t>1405/08/23</t>
        </is>
      </c>
    </row>
    <row r="2798">
      <c r="A2798" t="n">
        <v>14050824</v>
      </c>
      <c r="B2798" t="n">
        <v>46341</v>
      </c>
      <c r="C2798" t="inlineStr">
        <is>
          <t>1405/08/24</t>
        </is>
      </c>
    </row>
    <row r="2799">
      <c r="A2799" t="n">
        <v>14050825</v>
      </c>
      <c r="B2799" t="n">
        <v>46342</v>
      </c>
      <c r="C2799" t="inlineStr">
        <is>
          <t>1405/08/25</t>
        </is>
      </c>
    </row>
    <row r="2800">
      <c r="A2800" t="n">
        <v>14050826</v>
      </c>
      <c r="B2800" t="n">
        <v>46343</v>
      </c>
      <c r="C2800" t="inlineStr">
        <is>
          <t>1405/08/26</t>
        </is>
      </c>
    </row>
    <row r="2801">
      <c r="A2801" t="n">
        <v>14050827</v>
      </c>
      <c r="B2801" t="n">
        <v>46344</v>
      </c>
      <c r="C2801" t="inlineStr">
        <is>
          <t>1405/08/27</t>
        </is>
      </c>
    </row>
    <row r="2802">
      <c r="A2802" t="n">
        <v>14050828</v>
      </c>
      <c r="B2802" t="n">
        <v>46345</v>
      </c>
      <c r="C2802" t="inlineStr">
        <is>
          <t>1405/08/28</t>
        </is>
      </c>
    </row>
    <row r="2803">
      <c r="A2803" t="n">
        <v>14050829</v>
      </c>
      <c r="B2803" t="n">
        <v>46346</v>
      </c>
      <c r="C2803" t="inlineStr">
        <is>
          <t>1405/08/29</t>
        </is>
      </c>
    </row>
    <row r="2804">
      <c r="A2804" t="n">
        <v>14050830</v>
      </c>
      <c r="B2804" t="n">
        <v>46347</v>
      </c>
      <c r="C2804" t="inlineStr">
        <is>
          <t>1405/08/30</t>
        </is>
      </c>
    </row>
    <row r="2805">
      <c r="A2805" t="n">
        <v>14050901</v>
      </c>
      <c r="B2805" t="n">
        <v>46348</v>
      </c>
      <c r="C2805" t="inlineStr">
        <is>
          <t>1405/09/01</t>
        </is>
      </c>
    </row>
    <row r="2806">
      <c r="A2806" t="n">
        <v>14050902</v>
      </c>
      <c r="B2806" t="n">
        <v>46349</v>
      </c>
      <c r="C2806" t="inlineStr">
        <is>
          <t>1405/09/02</t>
        </is>
      </c>
    </row>
    <row r="2807">
      <c r="A2807" t="n">
        <v>14050903</v>
      </c>
      <c r="B2807" t="n">
        <v>46350</v>
      </c>
      <c r="C2807" t="inlineStr">
        <is>
          <t>1405/09/03</t>
        </is>
      </c>
    </row>
    <row r="2808">
      <c r="A2808" t="n">
        <v>14050904</v>
      </c>
      <c r="B2808" t="n">
        <v>46351</v>
      </c>
      <c r="C2808" t="inlineStr">
        <is>
          <t>1405/09/04</t>
        </is>
      </c>
    </row>
    <row r="2809">
      <c r="A2809" t="n">
        <v>14050905</v>
      </c>
      <c r="B2809" t="n">
        <v>46352</v>
      </c>
      <c r="C2809" t="inlineStr">
        <is>
          <t>1405/09/05</t>
        </is>
      </c>
    </row>
    <row r="2810">
      <c r="A2810" t="n">
        <v>14050906</v>
      </c>
      <c r="B2810" t="n">
        <v>46353</v>
      </c>
      <c r="C2810" t="inlineStr">
        <is>
          <t>1405/09/06</t>
        </is>
      </c>
    </row>
    <row r="2811">
      <c r="A2811" t="n">
        <v>14050907</v>
      </c>
      <c r="B2811" t="n">
        <v>46354</v>
      </c>
      <c r="C2811" t="inlineStr">
        <is>
          <t>1405/09/07</t>
        </is>
      </c>
    </row>
    <row r="2812">
      <c r="A2812" t="n">
        <v>14050908</v>
      </c>
      <c r="B2812" t="n">
        <v>46355</v>
      </c>
      <c r="C2812" t="inlineStr">
        <is>
          <t>1405/09/08</t>
        </is>
      </c>
    </row>
    <row r="2813">
      <c r="A2813" t="n">
        <v>14050909</v>
      </c>
      <c r="B2813" t="n">
        <v>46356</v>
      </c>
      <c r="C2813" t="inlineStr">
        <is>
          <t>1405/09/09</t>
        </is>
      </c>
    </row>
    <row r="2814">
      <c r="A2814" t="n">
        <v>14050910</v>
      </c>
      <c r="B2814" t="n">
        <v>46357</v>
      </c>
      <c r="C2814" t="inlineStr">
        <is>
          <t>1405/09/10</t>
        </is>
      </c>
    </row>
    <row r="2815">
      <c r="A2815" t="n">
        <v>14050911</v>
      </c>
      <c r="B2815" t="n">
        <v>46358</v>
      </c>
      <c r="C2815" t="inlineStr">
        <is>
          <t>1405/09/11</t>
        </is>
      </c>
    </row>
    <row r="2816">
      <c r="A2816" t="n">
        <v>14050912</v>
      </c>
      <c r="B2816" t="n">
        <v>46359</v>
      </c>
      <c r="C2816" t="inlineStr">
        <is>
          <t>1405/09/12</t>
        </is>
      </c>
    </row>
    <row r="2817">
      <c r="A2817" t="n">
        <v>14050913</v>
      </c>
      <c r="B2817" t="n">
        <v>46360</v>
      </c>
      <c r="C2817" t="inlineStr">
        <is>
          <t>1405/09/13</t>
        </is>
      </c>
    </row>
    <row r="2818">
      <c r="A2818" t="n">
        <v>14050914</v>
      </c>
      <c r="B2818" t="n">
        <v>46361</v>
      </c>
      <c r="C2818" t="inlineStr">
        <is>
          <t>1405/09/14</t>
        </is>
      </c>
    </row>
    <row r="2819">
      <c r="A2819" t="n">
        <v>14050915</v>
      </c>
      <c r="B2819" t="n">
        <v>46362</v>
      </c>
      <c r="C2819" t="inlineStr">
        <is>
          <t>1405/09/15</t>
        </is>
      </c>
    </row>
    <row r="2820">
      <c r="A2820" t="n">
        <v>14050916</v>
      </c>
      <c r="B2820" t="n">
        <v>46363</v>
      </c>
      <c r="C2820" t="inlineStr">
        <is>
          <t>1405/09/16</t>
        </is>
      </c>
    </row>
    <row r="2821">
      <c r="A2821" t="n">
        <v>14050917</v>
      </c>
      <c r="B2821" t="n">
        <v>46364</v>
      </c>
      <c r="C2821" t="inlineStr">
        <is>
          <t>1405/09/17</t>
        </is>
      </c>
    </row>
    <row r="2822">
      <c r="A2822" t="n">
        <v>14050918</v>
      </c>
      <c r="B2822" t="n">
        <v>46365</v>
      </c>
      <c r="C2822" t="inlineStr">
        <is>
          <t>1405/09/18</t>
        </is>
      </c>
    </row>
    <row r="2823">
      <c r="A2823" t="n">
        <v>14050919</v>
      </c>
      <c r="B2823" t="n">
        <v>46366</v>
      </c>
      <c r="C2823" t="inlineStr">
        <is>
          <t>1405/09/19</t>
        </is>
      </c>
    </row>
    <row r="2824">
      <c r="A2824" t="n">
        <v>14050920</v>
      </c>
      <c r="B2824" t="n">
        <v>46367</v>
      </c>
      <c r="C2824" t="inlineStr">
        <is>
          <t>1405/09/20</t>
        </is>
      </c>
    </row>
    <row r="2825">
      <c r="A2825" t="n">
        <v>14050921</v>
      </c>
      <c r="B2825" t="n">
        <v>46368</v>
      </c>
      <c r="C2825" t="inlineStr">
        <is>
          <t>1405/09/21</t>
        </is>
      </c>
    </row>
    <row r="2826">
      <c r="A2826" t="n">
        <v>14050922</v>
      </c>
      <c r="B2826" t="n">
        <v>46369</v>
      </c>
      <c r="C2826" t="inlineStr">
        <is>
          <t>1405/09/22</t>
        </is>
      </c>
    </row>
    <row r="2827">
      <c r="A2827" t="n">
        <v>14050923</v>
      </c>
      <c r="B2827" t="n">
        <v>46370</v>
      </c>
      <c r="C2827" t="inlineStr">
        <is>
          <t>1405/09/23</t>
        </is>
      </c>
    </row>
    <row r="2828">
      <c r="A2828" t="n">
        <v>14050924</v>
      </c>
      <c r="B2828" t="n">
        <v>46371</v>
      </c>
      <c r="C2828" t="inlineStr">
        <is>
          <t>1405/09/24</t>
        </is>
      </c>
    </row>
    <row r="2829">
      <c r="A2829" t="n">
        <v>14050925</v>
      </c>
      <c r="B2829" t="n">
        <v>46372</v>
      </c>
      <c r="C2829" t="inlineStr">
        <is>
          <t>1405/09/25</t>
        </is>
      </c>
    </row>
    <row r="2830">
      <c r="A2830" t="n">
        <v>14050926</v>
      </c>
      <c r="B2830" t="n">
        <v>46373</v>
      </c>
      <c r="C2830" t="inlineStr">
        <is>
          <t>1405/09/26</t>
        </is>
      </c>
    </row>
    <row r="2831">
      <c r="A2831" t="n">
        <v>14050927</v>
      </c>
      <c r="B2831" t="n">
        <v>46374</v>
      </c>
      <c r="C2831" t="inlineStr">
        <is>
          <t>1405/09/27</t>
        </is>
      </c>
    </row>
    <row r="2832">
      <c r="A2832" t="n">
        <v>14050928</v>
      </c>
      <c r="B2832" t="n">
        <v>46375</v>
      </c>
      <c r="C2832" t="inlineStr">
        <is>
          <t>1405/09/28</t>
        </is>
      </c>
    </row>
    <row r="2833">
      <c r="A2833" t="n">
        <v>14050929</v>
      </c>
      <c r="B2833" t="n">
        <v>46376</v>
      </c>
      <c r="C2833" t="inlineStr">
        <is>
          <t>1405/09/29</t>
        </is>
      </c>
    </row>
    <row r="2834">
      <c r="A2834" t="n">
        <v>14050930</v>
      </c>
      <c r="B2834" t="n">
        <v>46377</v>
      </c>
      <c r="C2834" t="inlineStr">
        <is>
          <t>1405/09/30</t>
        </is>
      </c>
    </row>
    <row r="2835">
      <c r="A2835" t="n">
        <v>14051001</v>
      </c>
      <c r="B2835" t="n">
        <v>46378</v>
      </c>
      <c r="C2835" t="inlineStr">
        <is>
          <t>1405/10/01</t>
        </is>
      </c>
    </row>
    <row r="2836">
      <c r="A2836" t="n">
        <v>14051002</v>
      </c>
      <c r="B2836" t="n">
        <v>46379</v>
      </c>
      <c r="C2836" t="inlineStr">
        <is>
          <t>1405/10/02</t>
        </is>
      </c>
    </row>
    <row r="2837">
      <c r="A2837" t="n">
        <v>14051003</v>
      </c>
      <c r="B2837" t="n">
        <v>46380</v>
      </c>
      <c r="C2837" t="inlineStr">
        <is>
          <t>1405/10/03</t>
        </is>
      </c>
    </row>
    <row r="2838">
      <c r="A2838" t="n">
        <v>14051004</v>
      </c>
      <c r="B2838" t="n">
        <v>46381</v>
      </c>
      <c r="C2838" t="inlineStr">
        <is>
          <t>1405/10/04</t>
        </is>
      </c>
    </row>
    <row r="2839">
      <c r="A2839" t="n">
        <v>14051005</v>
      </c>
      <c r="B2839" t="n">
        <v>46382</v>
      </c>
      <c r="C2839" t="inlineStr">
        <is>
          <t>1405/10/05</t>
        </is>
      </c>
    </row>
    <row r="2840">
      <c r="A2840" t="n">
        <v>14051006</v>
      </c>
      <c r="B2840" t="n">
        <v>46383</v>
      </c>
      <c r="C2840" t="inlineStr">
        <is>
          <t>1405/10/06</t>
        </is>
      </c>
    </row>
    <row r="2841">
      <c r="A2841" t="n">
        <v>14051007</v>
      </c>
      <c r="B2841" t="n">
        <v>46384</v>
      </c>
      <c r="C2841" t="inlineStr">
        <is>
          <t>1405/10/07</t>
        </is>
      </c>
    </row>
    <row r="2842">
      <c r="A2842" t="n">
        <v>14051008</v>
      </c>
      <c r="B2842" t="n">
        <v>46385</v>
      </c>
      <c r="C2842" t="inlineStr">
        <is>
          <t>1405/10/08</t>
        </is>
      </c>
    </row>
    <row r="2843">
      <c r="A2843" t="n">
        <v>14051009</v>
      </c>
      <c r="B2843" t="n">
        <v>46386</v>
      </c>
      <c r="C2843" t="inlineStr">
        <is>
          <t>1405/10/09</t>
        </is>
      </c>
    </row>
    <row r="2844">
      <c r="A2844" t="n">
        <v>14051010</v>
      </c>
      <c r="B2844" t="n">
        <v>46387</v>
      </c>
      <c r="C2844" t="inlineStr">
        <is>
          <t>1405/10/10</t>
        </is>
      </c>
    </row>
    <row r="2845">
      <c r="A2845" t="n">
        <v>14051011</v>
      </c>
      <c r="B2845" t="n">
        <v>46388</v>
      </c>
      <c r="C2845" t="inlineStr">
        <is>
          <t>1405/10/11</t>
        </is>
      </c>
    </row>
    <row r="2846">
      <c r="A2846" t="n">
        <v>14051012</v>
      </c>
      <c r="B2846" t="n">
        <v>46389</v>
      </c>
      <c r="C2846" t="inlineStr">
        <is>
          <t>1405/10/12</t>
        </is>
      </c>
    </row>
    <row r="2847">
      <c r="A2847" t="n">
        <v>14051013</v>
      </c>
      <c r="B2847" t="n">
        <v>46390</v>
      </c>
      <c r="C2847" t="inlineStr">
        <is>
          <t>1405/10/13</t>
        </is>
      </c>
    </row>
    <row r="2848">
      <c r="A2848" t="n">
        <v>14051014</v>
      </c>
      <c r="B2848" t="n">
        <v>46391</v>
      </c>
      <c r="C2848" t="inlineStr">
        <is>
          <t>1405/10/14</t>
        </is>
      </c>
    </row>
    <row r="2849">
      <c r="A2849" t="n">
        <v>14051015</v>
      </c>
      <c r="B2849" t="n">
        <v>46392</v>
      </c>
      <c r="C2849" t="inlineStr">
        <is>
          <t>1405/10/15</t>
        </is>
      </c>
    </row>
    <row r="2850">
      <c r="A2850" t="n">
        <v>14051016</v>
      </c>
      <c r="B2850" t="n">
        <v>46393</v>
      </c>
      <c r="C2850" t="inlineStr">
        <is>
          <t>1405/10/16</t>
        </is>
      </c>
    </row>
    <row r="2851">
      <c r="A2851" t="n">
        <v>14051017</v>
      </c>
      <c r="B2851" t="n">
        <v>46394</v>
      </c>
      <c r="C2851" t="inlineStr">
        <is>
          <t>1405/10/17</t>
        </is>
      </c>
    </row>
    <row r="2852">
      <c r="A2852" t="n">
        <v>14051018</v>
      </c>
      <c r="B2852" t="n">
        <v>46395</v>
      </c>
      <c r="C2852" t="inlineStr">
        <is>
          <t>1405/10/18</t>
        </is>
      </c>
    </row>
    <row r="2853">
      <c r="A2853" t="n">
        <v>14051019</v>
      </c>
      <c r="B2853" t="n">
        <v>46396</v>
      </c>
      <c r="C2853" t="inlineStr">
        <is>
          <t>1405/10/19</t>
        </is>
      </c>
    </row>
    <row r="2854">
      <c r="A2854" t="n">
        <v>14051020</v>
      </c>
      <c r="B2854" t="n">
        <v>46397</v>
      </c>
      <c r="C2854" t="inlineStr">
        <is>
          <t>1405/10/20</t>
        </is>
      </c>
    </row>
    <row r="2855">
      <c r="A2855" t="n">
        <v>14051021</v>
      </c>
      <c r="B2855" t="n">
        <v>46398</v>
      </c>
      <c r="C2855" t="inlineStr">
        <is>
          <t>1405/10/21</t>
        </is>
      </c>
    </row>
    <row r="2856">
      <c r="A2856" t="n">
        <v>14051022</v>
      </c>
      <c r="B2856" t="n">
        <v>46399</v>
      </c>
      <c r="C2856" t="inlineStr">
        <is>
          <t>1405/10/22</t>
        </is>
      </c>
    </row>
    <row r="2857">
      <c r="A2857" t="n">
        <v>14051023</v>
      </c>
      <c r="B2857" t="n">
        <v>46400</v>
      </c>
      <c r="C2857" t="inlineStr">
        <is>
          <t>1405/10/23</t>
        </is>
      </c>
    </row>
    <row r="2858">
      <c r="A2858" t="n">
        <v>14051024</v>
      </c>
      <c r="B2858" t="n">
        <v>46401</v>
      </c>
      <c r="C2858" t="inlineStr">
        <is>
          <t>1405/10/24</t>
        </is>
      </c>
    </row>
    <row r="2859">
      <c r="A2859" t="n">
        <v>14051025</v>
      </c>
      <c r="B2859" t="n">
        <v>46402</v>
      </c>
      <c r="C2859" t="inlineStr">
        <is>
          <t>1405/10/25</t>
        </is>
      </c>
    </row>
    <row r="2860">
      <c r="A2860" t="n">
        <v>14051026</v>
      </c>
      <c r="B2860" t="n">
        <v>46403</v>
      </c>
      <c r="C2860" t="inlineStr">
        <is>
          <t>1405/10/26</t>
        </is>
      </c>
    </row>
    <row r="2861">
      <c r="A2861" t="n">
        <v>14051027</v>
      </c>
      <c r="B2861" t="n">
        <v>46404</v>
      </c>
      <c r="C2861" t="inlineStr">
        <is>
          <t>1405/10/27</t>
        </is>
      </c>
    </row>
    <row r="2862">
      <c r="A2862" t="n">
        <v>14051028</v>
      </c>
      <c r="B2862" t="n">
        <v>46405</v>
      </c>
      <c r="C2862" t="inlineStr">
        <is>
          <t>1405/10/28</t>
        </is>
      </c>
    </row>
    <row r="2863">
      <c r="A2863" t="n">
        <v>14051029</v>
      </c>
      <c r="B2863" t="n">
        <v>46406</v>
      </c>
      <c r="C2863" t="inlineStr">
        <is>
          <t>1405/10/29</t>
        </is>
      </c>
    </row>
    <row r="2864">
      <c r="A2864" t="n">
        <v>14051030</v>
      </c>
      <c r="B2864" t="n">
        <v>46407</v>
      </c>
      <c r="C2864" t="inlineStr">
        <is>
          <t>1405/10/30</t>
        </is>
      </c>
    </row>
    <row r="2865">
      <c r="A2865" t="n">
        <v>14051101</v>
      </c>
      <c r="B2865" t="n">
        <v>46408</v>
      </c>
      <c r="C2865" t="inlineStr">
        <is>
          <t>1405/11/01</t>
        </is>
      </c>
    </row>
    <row r="2866">
      <c r="A2866" t="n">
        <v>14051102</v>
      </c>
      <c r="B2866" t="n">
        <v>46409</v>
      </c>
      <c r="C2866" t="inlineStr">
        <is>
          <t>1405/11/02</t>
        </is>
      </c>
    </row>
    <row r="2867">
      <c r="A2867" t="n">
        <v>14051103</v>
      </c>
      <c r="B2867" t="n">
        <v>46410</v>
      </c>
      <c r="C2867" t="inlineStr">
        <is>
          <t>1405/11/03</t>
        </is>
      </c>
    </row>
    <row r="2868">
      <c r="A2868" t="n">
        <v>14051104</v>
      </c>
      <c r="B2868" t="n">
        <v>46411</v>
      </c>
      <c r="C2868" t="inlineStr">
        <is>
          <t>1405/11/04</t>
        </is>
      </c>
    </row>
    <row r="2869">
      <c r="A2869" t="n">
        <v>14051105</v>
      </c>
      <c r="B2869" t="n">
        <v>46412</v>
      </c>
      <c r="C2869" t="inlineStr">
        <is>
          <t>1405/11/05</t>
        </is>
      </c>
    </row>
    <row r="2870">
      <c r="A2870" t="n">
        <v>14051106</v>
      </c>
      <c r="B2870" t="n">
        <v>46413</v>
      </c>
      <c r="C2870" t="inlineStr">
        <is>
          <t>1405/11/06</t>
        </is>
      </c>
    </row>
    <row r="2871">
      <c r="A2871" t="n">
        <v>14051107</v>
      </c>
      <c r="B2871" t="n">
        <v>46414</v>
      </c>
      <c r="C2871" t="inlineStr">
        <is>
          <t>1405/11/07</t>
        </is>
      </c>
    </row>
    <row r="2872">
      <c r="A2872" t="n">
        <v>14051108</v>
      </c>
      <c r="B2872" t="n">
        <v>46415</v>
      </c>
      <c r="C2872" t="inlineStr">
        <is>
          <t>1405/11/08</t>
        </is>
      </c>
    </row>
    <row r="2873">
      <c r="A2873" t="n">
        <v>14051109</v>
      </c>
      <c r="B2873" t="n">
        <v>46416</v>
      </c>
      <c r="C2873" t="inlineStr">
        <is>
          <t>1405/11/09</t>
        </is>
      </c>
    </row>
    <row r="2874">
      <c r="A2874" t="n">
        <v>14051110</v>
      </c>
      <c r="B2874" t="n">
        <v>46417</v>
      </c>
      <c r="C2874" t="inlineStr">
        <is>
          <t>1405/11/10</t>
        </is>
      </c>
    </row>
    <row r="2875">
      <c r="A2875" t="n">
        <v>14051111</v>
      </c>
      <c r="B2875" t="n">
        <v>46418</v>
      </c>
      <c r="C2875" t="inlineStr">
        <is>
          <t>1405/11/11</t>
        </is>
      </c>
    </row>
    <row r="2876">
      <c r="A2876" t="n">
        <v>14051112</v>
      </c>
      <c r="B2876" t="n">
        <v>46419</v>
      </c>
      <c r="C2876" t="inlineStr">
        <is>
          <t>1405/11/12</t>
        </is>
      </c>
    </row>
    <row r="2877">
      <c r="A2877" t="n">
        <v>14051113</v>
      </c>
      <c r="B2877" t="n">
        <v>46420</v>
      </c>
      <c r="C2877" t="inlineStr">
        <is>
          <t>1405/11/13</t>
        </is>
      </c>
    </row>
    <row r="2878">
      <c r="A2878" t="n">
        <v>14051114</v>
      </c>
      <c r="B2878" t="n">
        <v>46421</v>
      </c>
      <c r="C2878" t="inlineStr">
        <is>
          <t>1405/11/14</t>
        </is>
      </c>
    </row>
    <row r="2879">
      <c r="A2879" t="n">
        <v>14051115</v>
      </c>
      <c r="B2879" t="n">
        <v>46422</v>
      </c>
      <c r="C2879" t="inlineStr">
        <is>
          <t>1405/11/15</t>
        </is>
      </c>
    </row>
    <row r="2880">
      <c r="A2880" t="n">
        <v>14051116</v>
      </c>
      <c r="B2880" t="n">
        <v>46423</v>
      </c>
      <c r="C2880" t="inlineStr">
        <is>
          <t>1405/11/16</t>
        </is>
      </c>
    </row>
    <row r="2881">
      <c r="A2881" t="n">
        <v>14051117</v>
      </c>
      <c r="B2881" t="n">
        <v>46424</v>
      </c>
      <c r="C2881" t="inlineStr">
        <is>
          <t>1405/11/17</t>
        </is>
      </c>
    </row>
    <row r="2882">
      <c r="A2882" t="n">
        <v>14051118</v>
      </c>
      <c r="B2882" t="n">
        <v>46425</v>
      </c>
      <c r="C2882" t="inlineStr">
        <is>
          <t>1405/11/18</t>
        </is>
      </c>
    </row>
    <row r="2883">
      <c r="A2883" t="n">
        <v>14051119</v>
      </c>
      <c r="B2883" t="n">
        <v>46426</v>
      </c>
      <c r="C2883" t="inlineStr">
        <is>
          <t>1405/11/19</t>
        </is>
      </c>
    </row>
    <row r="2884">
      <c r="A2884" t="n">
        <v>14051120</v>
      </c>
      <c r="B2884" t="n">
        <v>46427</v>
      </c>
      <c r="C2884" t="inlineStr">
        <is>
          <t>1405/11/20</t>
        </is>
      </c>
    </row>
    <row r="2885">
      <c r="A2885" t="n">
        <v>14051121</v>
      </c>
      <c r="B2885" t="n">
        <v>46428</v>
      </c>
      <c r="C2885" t="inlineStr">
        <is>
          <t>1405/11/21</t>
        </is>
      </c>
    </row>
    <row r="2886">
      <c r="A2886" t="n">
        <v>14051122</v>
      </c>
      <c r="B2886" t="n">
        <v>46429</v>
      </c>
      <c r="C2886" t="inlineStr">
        <is>
          <t>1405/11/22</t>
        </is>
      </c>
    </row>
    <row r="2887">
      <c r="A2887" t="n">
        <v>14051123</v>
      </c>
      <c r="B2887" t="n">
        <v>46430</v>
      </c>
      <c r="C2887" t="inlineStr">
        <is>
          <t>1405/11/23</t>
        </is>
      </c>
    </row>
    <row r="2888">
      <c r="A2888" t="n">
        <v>14051124</v>
      </c>
      <c r="B2888" t="n">
        <v>46431</v>
      </c>
      <c r="C2888" t="inlineStr">
        <is>
          <t>1405/11/24</t>
        </is>
      </c>
    </row>
    <row r="2889">
      <c r="A2889" t="n">
        <v>14051125</v>
      </c>
      <c r="B2889" t="n">
        <v>46432</v>
      </c>
      <c r="C2889" t="inlineStr">
        <is>
          <t>1405/11/25</t>
        </is>
      </c>
    </row>
    <row r="2890">
      <c r="A2890" t="n">
        <v>14051126</v>
      </c>
      <c r="B2890" t="n">
        <v>46433</v>
      </c>
      <c r="C2890" t="inlineStr">
        <is>
          <t>1405/11/26</t>
        </is>
      </c>
    </row>
    <row r="2891">
      <c r="A2891" t="n">
        <v>14051127</v>
      </c>
      <c r="B2891" t="n">
        <v>46434</v>
      </c>
      <c r="C2891" t="inlineStr">
        <is>
          <t>1405/11/27</t>
        </is>
      </c>
    </row>
    <row r="2892">
      <c r="A2892" t="n">
        <v>14051128</v>
      </c>
      <c r="B2892" t="n">
        <v>46435</v>
      </c>
      <c r="C2892" t="inlineStr">
        <is>
          <t>1405/11/28</t>
        </is>
      </c>
    </row>
    <row r="2893">
      <c r="A2893" t="n">
        <v>14051129</v>
      </c>
      <c r="B2893" t="n">
        <v>46436</v>
      </c>
      <c r="C2893" t="inlineStr">
        <is>
          <t>1405/11/29</t>
        </is>
      </c>
    </row>
    <row r="2894">
      <c r="A2894" t="n">
        <v>14051130</v>
      </c>
      <c r="B2894" t="n">
        <v>46437</v>
      </c>
      <c r="C2894" t="inlineStr">
        <is>
          <t>1405/11/30</t>
        </is>
      </c>
    </row>
    <row r="2895">
      <c r="A2895" t="n">
        <v>14051201</v>
      </c>
      <c r="B2895" t="n">
        <v>46438</v>
      </c>
      <c r="C2895" t="inlineStr">
        <is>
          <t>1405/12/01</t>
        </is>
      </c>
    </row>
    <row r="2896">
      <c r="A2896" t="n">
        <v>14051202</v>
      </c>
      <c r="B2896" t="n">
        <v>46439</v>
      </c>
      <c r="C2896" t="inlineStr">
        <is>
          <t>1405/12/02</t>
        </is>
      </c>
    </row>
    <row r="2897">
      <c r="A2897" t="n">
        <v>14051203</v>
      </c>
      <c r="B2897" t="n">
        <v>46440</v>
      </c>
      <c r="C2897" t="inlineStr">
        <is>
          <t>1405/12/03</t>
        </is>
      </c>
    </row>
    <row r="2898">
      <c r="A2898" t="n">
        <v>14051204</v>
      </c>
      <c r="B2898" t="n">
        <v>46441</v>
      </c>
      <c r="C2898" t="inlineStr">
        <is>
          <t>1405/12/04</t>
        </is>
      </c>
    </row>
    <row r="2899">
      <c r="A2899" t="n">
        <v>14051205</v>
      </c>
      <c r="B2899" t="n">
        <v>46442</v>
      </c>
      <c r="C2899" t="inlineStr">
        <is>
          <t>1405/12/05</t>
        </is>
      </c>
    </row>
    <row r="2900">
      <c r="A2900" t="n">
        <v>14051206</v>
      </c>
      <c r="B2900" t="n">
        <v>46443</v>
      </c>
      <c r="C2900" t="inlineStr">
        <is>
          <t>1405/12/06</t>
        </is>
      </c>
    </row>
    <row r="2901">
      <c r="A2901" t="n">
        <v>14051207</v>
      </c>
      <c r="B2901" t="n">
        <v>46444</v>
      </c>
      <c r="C2901" t="inlineStr">
        <is>
          <t>1405/12/07</t>
        </is>
      </c>
    </row>
    <row r="2902">
      <c r="A2902" t="n">
        <v>14051208</v>
      </c>
      <c r="B2902" t="n">
        <v>46445</v>
      </c>
      <c r="C2902" t="inlineStr">
        <is>
          <t>1405/12/08</t>
        </is>
      </c>
    </row>
    <row r="2903">
      <c r="A2903" t="n">
        <v>14051209</v>
      </c>
      <c r="B2903" t="n">
        <v>46446</v>
      </c>
      <c r="C2903" t="inlineStr">
        <is>
          <t>1405/12/09</t>
        </is>
      </c>
    </row>
    <row r="2904">
      <c r="A2904" t="n">
        <v>14051210</v>
      </c>
      <c r="B2904" t="n">
        <v>46447</v>
      </c>
      <c r="C2904" t="inlineStr">
        <is>
          <t>1405/12/10</t>
        </is>
      </c>
    </row>
    <row r="2905">
      <c r="A2905" t="n">
        <v>14051211</v>
      </c>
      <c r="B2905" t="n">
        <v>46448</v>
      </c>
      <c r="C2905" t="inlineStr">
        <is>
          <t>1405/12/11</t>
        </is>
      </c>
    </row>
    <row r="2906">
      <c r="A2906" t="n">
        <v>14051212</v>
      </c>
      <c r="B2906" t="n">
        <v>46449</v>
      </c>
      <c r="C2906" t="inlineStr">
        <is>
          <t>1405/12/12</t>
        </is>
      </c>
    </row>
    <row r="2907">
      <c r="A2907" t="n">
        <v>14051213</v>
      </c>
      <c r="B2907" t="n">
        <v>46450</v>
      </c>
      <c r="C2907" t="inlineStr">
        <is>
          <t>1405/12/13</t>
        </is>
      </c>
    </row>
    <row r="2908">
      <c r="A2908" t="n">
        <v>14051214</v>
      </c>
      <c r="B2908" t="n">
        <v>46451</v>
      </c>
      <c r="C2908" t="inlineStr">
        <is>
          <t>1405/12/14</t>
        </is>
      </c>
    </row>
    <row r="2909">
      <c r="A2909" t="n">
        <v>14051215</v>
      </c>
      <c r="B2909" t="n">
        <v>46452</v>
      </c>
      <c r="C2909" t="inlineStr">
        <is>
          <t>1405/12/15</t>
        </is>
      </c>
    </row>
    <row r="2910">
      <c r="A2910" t="n">
        <v>14051216</v>
      </c>
      <c r="B2910" t="n">
        <v>46453</v>
      </c>
      <c r="C2910" t="inlineStr">
        <is>
          <t>1405/12/16</t>
        </is>
      </c>
    </row>
    <row r="2911">
      <c r="A2911" t="n">
        <v>14051217</v>
      </c>
      <c r="B2911" t="n">
        <v>46454</v>
      </c>
      <c r="C2911" t="inlineStr">
        <is>
          <t>1405/12/17</t>
        </is>
      </c>
    </row>
    <row r="2912">
      <c r="A2912" t="n">
        <v>14051218</v>
      </c>
      <c r="B2912" t="n">
        <v>46455</v>
      </c>
      <c r="C2912" t="inlineStr">
        <is>
          <t>1405/12/18</t>
        </is>
      </c>
    </row>
    <row r="2913">
      <c r="A2913" t="n">
        <v>14051219</v>
      </c>
      <c r="B2913" t="n">
        <v>46456</v>
      </c>
      <c r="C2913" t="inlineStr">
        <is>
          <t>1405/12/19</t>
        </is>
      </c>
    </row>
    <row r="2914">
      <c r="A2914" t="n">
        <v>14051220</v>
      </c>
      <c r="B2914" t="n">
        <v>46457</v>
      </c>
      <c r="C2914" t="inlineStr">
        <is>
          <t>1405/12/20</t>
        </is>
      </c>
    </row>
    <row r="2915">
      <c r="A2915" t="n">
        <v>14051221</v>
      </c>
      <c r="B2915" t="n">
        <v>46458</v>
      </c>
      <c r="C2915" t="inlineStr">
        <is>
          <t>1405/12/21</t>
        </is>
      </c>
    </row>
    <row r="2916">
      <c r="A2916" t="n">
        <v>14051222</v>
      </c>
      <c r="B2916" t="n">
        <v>46459</v>
      </c>
      <c r="C2916" t="inlineStr">
        <is>
          <t>1405/12/22</t>
        </is>
      </c>
    </row>
    <row r="2917">
      <c r="A2917" t="n">
        <v>14051223</v>
      </c>
      <c r="B2917" t="n">
        <v>46460</v>
      </c>
      <c r="C2917" t="inlineStr">
        <is>
          <t>1405/12/23</t>
        </is>
      </c>
    </row>
    <row r="2918">
      <c r="A2918" t="n">
        <v>14051224</v>
      </c>
      <c r="B2918" t="n">
        <v>46461</v>
      </c>
      <c r="C2918" t="inlineStr">
        <is>
          <t>1405/12/24</t>
        </is>
      </c>
    </row>
    <row r="2919">
      <c r="A2919" t="n">
        <v>14051225</v>
      </c>
      <c r="B2919" t="n">
        <v>46462</v>
      </c>
      <c r="C2919" t="inlineStr">
        <is>
          <t>1405/12/25</t>
        </is>
      </c>
    </row>
    <row r="2920">
      <c r="A2920" t="n">
        <v>14051226</v>
      </c>
      <c r="B2920" t="n">
        <v>46463</v>
      </c>
      <c r="C2920" t="inlineStr">
        <is>
          <t>1405/12/26</t>
        </is>
      </c>
    </row>
    <row r="2921">
      <c r="A2921" t="n">
        <v>14051227</v>
      </c>
      <c r="B2921" t="n">
        <v>46464</v>
      </c>
      <c r="C2921" t="inlineStr">
        <is>
          <t>1405/12/27</t>
        </is>
      </c>
    </row>
    <row r="2922">
      <c r="A2922" t="n">
        <v>14051228</v>
      </c>
      <c r="B2922" t="n">
        <v>46465</v>
      </c>
      <c r="C2922" t="inlineStr">
        <is>
          <t>1405/12/28</t>
        </is>
      </c>
    </row>
    <row r="2923">
      <c r="A2923" t="n">
        <v>14051229</v>
      </c>
      <c r="B2923" t="n">
        <v>46466</v>
      </c>
      <c r="C2923" t="inlineStr">
        <is>
          <t>1405/12/29</t>
        </is>
      </c>
    </row>
    <row r="2924">
      <c r="A2924" t="n">
        <v>14060101</v>
      </c>
      <c r="B2924" t="n">
        <v>46467</v>
      </c>
      <c r="C2924" t="inlineStr">
        <is>
          <t>1406/01/01</t>
        </is>
      </c>
    </row>
    <row r="2925">
      <c r="A2925" t="n">
        <v>14060102</v>
      </c>
      <c r="B2925" t="n">
        <v>46468</v>
      </c>
      <c r="C2925" t="inlineStr">
        <is>
          <t>1406/01/02</t>
        </is>
      </c>
    </row>
    <row r="2926">
      <c r="A2926" t="n">
        <v>14060103</v>
      </c>
      <c r="B2926" t="n">
        <v>46469</v>
      </c>
      <c r="C2926" t="inlineStr">
        <is>
          <t>1406/01/03</t>
        </is>
      </c>
    </row>
    <row r="2927">
      <c r="A2927" t="n">
        <v>14060104</v>
      </c>
      <c r="B2927" t="n">
        <v>46470</v>
      </c>
      <c r="C2927" t="inlineStr">
        <is>
          <t>1406/01/04</t>
        </is>
      </c>
    </row>
    <row r="2928">
      <c r="A2928" t="n">
        <v>14060105</v>
      </c>
      <c r="B2928" t="n">
        <v>46471</v>
      </c>
      <c r="C2928" t="inlineStr">
        <is>
          <t>1406/01/05</t>
        </is>
      </c>
    </row>
    <row r="2929">
      <c r="A2929" t="n">
        <v>14060106</v>
      </c>
      <c r="B2929" t="n">
        <v>46472</v>
      </c>
      <c r="C2929" t="inlineStr">
        <is>
          <t>1406/01/06</t>
        </is>
      </c>
    </row>
    <row r="2930">
      <c r="A2930" t="n">
        <v>14060107</v>
      </c>
      <c r="B2930" t="n">
        <v>46473</v>
      </c>
      <c r="C2930" t="inlineStr">
        <is>
          <t>1406/01/07</t>
        </is>
      </c>
    </row>
    <row r="2931">
      <c r="A2931" t="n">
        <v>14060108</v>
      </c>
      <c r="B2931" t="n">
        <v>46474</v>
      </c>
      <c r="C2931" t="inlineStr">
        <is>
          <t>1406/01/08</t>
        </is>
      </c>
    </row>
    <row r="2932">
      <c r="A2932" t="n">
        <v>14060109</v>
      </c>
      <c r="B2932" t="n">
        <v>46475</v>
      </c>
      <c r="C2932" t="inlineStr">
        <is>
          <t>1406/01/09</t>
        </is>
      </c>
    </row>
    <row r="2933">
      <c r="A2933" t="n">
        <v>14060110</v>
      </c>
      <c r="B2933" t="n">
        <v>46476</v>
      </c>
      <c r="C2933" t="inlineStr">
        <is>
          <t>1406/01/10</t>
        </is>
      </c>
    </row>
    <row r="2934">
      <c r="A2934" t="n">
        <v>14060111</v>
      </c>
      <c r="B2934" t="n">
        <v>46477</v>
      </c>
      <c r="C2934" t="inlineStr">
        <is>
          <t>1406/01/11</t>
        </is>
      </c>
    </row>
    <row r="2935">
      <c r="A2935" t="n">
        <v>14060112</v>
      </c>
      <c r="B2935" t="n">
        <v>46478</v>
      </c>
      <c r="C2935" t="inlineStr">
        <is>
          <t>1406/01/12</t>
        </is>
      </c>
    </row>
    <row r="2936">
      <c r="A2936" t="n">
        <v>14060113</v>
      </c>
      <c r="B2936" t="n">
        <v>46479</v>
      </c>
      <c r="C2936" t="inlineStr">
        <is>
          <t>1406/01/13</t>
        </is>
      </c>
    </row>
    <row r="2937">
      <c r="A2937" t="n">
        <v>14060114</v>
      </c>
      <c r="B2937" t="n">
        <v>46480</v>
      </c>
      <c r="C2937" t="inlineStr">
        <is>
          <t>1406/01/14</t>
        </is>
      </c>
    </row>
    <row r="2938">
      <c r="A2938" t="n">
        <v>14060115</v>
      </c>
      <c r="B2938" t="n">
        <v>46481</v>
      </c>
      <c r="C2938" t="inlineStr">
        <is>
          <t>1406/01/15</t>
        </is>
      </c>
    </row>
    <row r="2939">
      <c r="A2939" t="n">
        <v>14060116</v>
      </c>
      <c r="B2939" t="n">
        <v>46482</v>
      </c>
      <c r="C2939" t="inlineStr">
        <is>
          <t>1406/01/16</t>
        </is>
      </c>
    </row>
    <row r="2940">
      <c r="A2940" t="n">
        <v>14060117</v>
      </c>
      <c r="B2940" t="n">
        <v>46483</v>
      </c>
      <c r="C2940" t="inlineStr">
        <is>
          <t>1406/01/17</t>
        </is>
      </c>
    </row>
    <row r="2941">
      <c r="A2941" t="n">
        <v>14060118</v>
      </c>
      <c r="B2941" t="n">
        <v>46484</v>
      </c>
      <c r="C2941" t="inlineStr">
        <is>
          <t>1406/01/18</t>
        </is>
      </c>
    </row>
    <row r="2942">
      <c r="A2942" t="n">
        <v>14060119</v>
      </c>
      <c r="B2942" t="n">
        <v>46485</v>
      </c>
      <c r="C2942" t="inlineStr">
        <is>
          <t>1406/01/19</t>
        </is>
      </c>
    </row>
    <row r="2943">
      <c r="A2943" t="n">
        <v>14060120</v>
      </c>
      <c r="B2943" t="n">
        <v>46486</v>
      </c>
      <c r="C2943" t="inlineStr">
        <is>
          <t>1406/01/20</t>
        </is>
      </c>
    </row>
    <row r="2944">
      <c r="A2944" t="n">
        <v>14060121</v>
      </c>
      <c r="B2944" t="n">
        <v>46487</v>
      </c>
      <c r="C2944" t="inlineStr">
        <is>
          <t>1406/01/21</t>
        </is>
      </c>
    </row>
    <row r="2945">
      <c r="A2945" t="n">
        <v>14060122</v>
      </c>
      <c r="B2945" t="n">
        <v>46488</v>
      </c>
      <c r="C2945" t="inlineStr">
        <is>
          <t>1406/01/22</t>
        </is>
      </c>
    </row>
    <row r="2946">
      <c r="A2946" t="n">
        <v>14060123</v>
      </c>
      <c r="B2946" t="n">
        <v>46489</v>
      </c>
      <c r="C2946" t="inlineStr">
        <is>
          <t>1406/01/23</t>
        </is>
      </c>
    </row>
    <row r="2947">
      <c r="A2947" t="n">
        <v>14060124</v>
      </c>
      <c r="B2947" t="n">
        <v>46490</v>
      </c>
      <c r="C2947" t="inlineStr">
        <is>
          <t>1406/01/24</t>
        </is>
      </c>
    </row>
    <row r="2948">
      <c r="A2948" t="n">
        <v>14060125</v>
      </c>
      <c r="B2948" t="n">
        <v>46491</v>
      </c>
      <c r="C2948" t="inlineStr">
        <is>
          <t>1406/01/25</t>
        </is>
      </c>
    </row>
    <row r="2949">
      <c r="A2949" t="n">
        <v>14060126</v>
      </c>
      <c r="B2949" t="n">
        <v>46492</v>
      </c>
      <c r="C2949" t="inlineStr">
        <is>
          <t>1406/01/26</t>
        </is>
      </c>
    </row>
    <row r="2950">
      <c r="A2950" t="n">
        <v>14060127</v>
      </c>
      <c r="B2950" t="n">
        <v>46493</v>
      </c>
      <c r="C2950" t="inlineStr">
        <is>
          <t>1406/01/27</t>
        </is>
      </c>
    </row>
    <row r="2951">
      <c r="A2951" t="n">
        <v>14060128</v>
      </c>
      <c r="B2951" t="n">
        <v>46494</v>
      </c>
      <c r="C2951" t="inlineStr">
        <is>
          <t>1406/01/28</t>
        </is>
      </c>
    </row>
    <row r="2952">
      <c r="A2952" t="n">
        <v>14060129</v>
      </c>
      <c r="B2952" t="n">
        <v>46495</v>
      </c>
      <c r="C2952" t="inlineStr">
        <is>
          <t>1406/01/29</t>
        </is>
      </c>
    </row>
    <row r="2953">
      <c r="A2953" t="n">
        <v>14060130</v>
      </c>
      <c r="B2953" t="n">
        <v>46496</v>
      </c>
      <c r="C2953" t="inlineStr">
        <is>
          <t>1406/01/30</t>
        </is>
      </c>
    </row>
    <row r="2954">
      <c r="A2954" t="n">
        <v>14060131</v>
      </c>
      <c r="B2954" t="n">
        <v>46497</v>
      </c>
      <c r="C2954" t="inlineStr">
        <is>
          <t>1406/01/31</t>
        </is>
      </c>
    </row>
    <row r="2955">
      <c r="A2955" t="n">
        <v>14060201</v>
      </c>
      <c r="B2955" t="n">
        <v>46498</v>
      </c>
      <c r="C2955" t="inlineStr">
        <is>
          <t>1406/02/01</t>
        </is>
      </c>
    </row>
    <row r="2956">
      <c r="A2956" t="n">
        <v>14060202</v>
      </c>
      <c r="B2956" t="n">
        <v>46499</v>
      </c>
      <c r="C2956" t="inlineStr">
        <is>
          <t>1406/02/02</t>
        </is>
      </c>
    </row>
    <row r="2957">
      <c r="A2957" t="n">
        <v>14060203</v>
      </c>
      <c r="B2957" t="n">
        <v>46500</v>
      </c>
      <c r="C2957" t="inlineStr">
        <is>
          <t>1406/02/03</t>
        </is>
      </c>
    </row>
    <row r="2958">
      <c r="A2958" t="n">
        <v>14060204</v>
      </c>
      <c r="B2958" t="n">
        <v>46501</v>
      </c>
      <c r="C2958" t="inlineStr">
        <is>
          <t>1406/02/04</t>
        </is>
      </c>
    </row>
    <row r="2959">
      <c r="A2959" t="n">
        <v>14060205</v>
      </c>
      <c r="B2959" t="n">
        <v>46502</v>
      </c>
      <c r="C2959" t="inlineStr">
        <is>
          <t>1406/02/05</t>
        </is>
      </c>
    </row>
    <row r="2960">
      <c r="A2960" t="n">
        <v>14060206</v>
      </c>
      <c r="B2960" t="n">
        <v>46503</v>
      </c>
      <c r="C2960" t="inlineStr">
        <is>
          <t>1406/02/06</t>
        </is>
      </c>
    </row>
    <row r="2961">
      <c r="A2961" t="n">
        <v>14060207</v>
      </c>
      <c r="B2961" t="n">
        <v>46504</v>
      </c>
      <c r="C2961" t="inlineStr">
        <is>
          <t>1406/02/07</t>
        </is>
      </c>
    </row>
    <row r="2962">
      <c r="A2962" t="n">
        <v>14060208</v>
      </c>
      <c r="B2962" t="n">
        <v>46505</v>
      </c>
      <c r="C2962" t="inlineStr">
        <is>
          <t>1406/02/08</t>
        </is>
      </c>
    </row>
    <row r="2963">
      <c r="A2963" t="n">
        <v>14060209</v>
      </c>
      <c r="B2963" t="n">
        <v>46506</v>
      </c>
      <c r="C2963" t="inlineStr">
        <is>
          <t>1406/02/09</t>
        </is>
      </c>
    </row>
    <row r="2964">
      <c r="A2964" t="n">
        <v>14060210</v>
      </c>
      <c r="B2964" t="n">
        <v>46507</v>
      </c>
      <c r="C2964" t="inlineStr">
        <is>
          <t>1406/02/10</t>
        </is>
      </c>
    </row>
    <row r="2965">
      <c r="A2965" t="n">
        <v>14060211</v>
      </c>
      <c r="B2965" t="n">
        <v>46508</v>
      </c>
      <c r="C2965" t="inlineStr">
        <is>
          <t>1406/02/11</t>
        </is>
      </c>
    </row>
    <row r="2966">
      <c r="A2966" t="n">
        <v>14060212</v>
      </c>
      <c r="B2966" t="n">
        <v>46509</v>
      </c>
      <c r="C2966" t="inlineStr">
        <is>
          <t>1406/02/12</t>
        </is>
      </c>
    </row>
    <row r="2967">
      <c r="A2967" t="n">
        <v>14060213</v>
      </c>
      <c r="B2967" t="n">
        <v>46510</v>
      </c>
      <c r="C2967" t="inlineStr">
        <is>
          <t>1406/02/13</t>
        </is>
      </c>
    </row>
    <row r="2968">
      <c r="A2968" t="n">
        <v>14060214</v>
      </c>
      <c r="B2968" t="n">
        <v>46511</v>
      </c>
      <c r="C2968" t="inlineStr">
        <is>
          <t>1406/02/14</t>
        </is>
      </c>
    </row>
    <row r="2969">
      <c r="A2969" t="n">
        <v>14060215</v>
      </c>
      <c r="B2969" t="n">
        <v>46512</v>
      </c>
      <c r="C2969" t="inlineStr">
        <is>
          <t>1406/02/15</t>
        </is>
      </c>
    </row>
    <row r="2970">
      <c r="A2970" t="n">
        <v>14060216</v>
      </c>
      <c r="B2970" t="n">
        <v>46513</v>
      </c>
      <c r="C2970" t="inlineStr">
        <is>
          <t>1406/02/16</t>
        </is>
      </c>
    </row>
    <row r="2971">
      <c r="A2971" t="n">
        <v>14060217</v>
      </c>
      <c r="B2971" t="n">
        <v>46514</v>
      </c>
      <c r="C2971" t="inlineStr">
        <is>
          <t>1406/02/17</t>
        </is>
      </c>
    </row>
    <row r="2972">
      <c r="A2972" t="n">
        <v>14060218</v>
      </c>
      <c r="B2972" t="n">
        <v>46515</v>
      </c>
      <c r="C2972" t="inlineStr">
        <is>
          <t>1406/02/18</t>
        </is>
      </c>
    </row>
    <row r="2973">
      <c r="A2973" t="n">
        <v>14060219</v>
      </c>
      <c r="B2973" t="n">
        <v>46516</v>
      </c>
      <c r="C2973" t="inlineStr">
        <is>
          <t>1406/02/19</t>
        </is>
      </c>
    </row>
    <row r="2974">
      <c r="A2974" t="n">
        <v>14060220</v>
      </c>
      <c r="B2974" t="n">
        <v>46517</v>
      </c>
      <c r="C2974" t="inlineStr">
        <is>
          <t>1406/02/20</t>
        </is>
      </c>
    </row>
    <row r="2975">
      <c r="A2975" t="n">
        <v>14060221</v>
      </c>
      <c r="B2975" t="n">
        <v>46518</v>
      </c>
      <c r="C2975" t="inlineStr">
        <is>
          <t>1406/02/21</t>
        </is>
      </c>
    </row>
    <row r="2976">
      <c r="A2976" t="n">
        <v>14060222</v>
      </c>
      <c r="B2976" t="n">
        <v>46519</v>
      </c>
      <c r="C2976" t="inlineStr">
        <is>
          <t>1406/02/22</t>
        </is>
      </c>
    </row>
    <row r="2977">
      <c r="A2977" t="n">
        <v>14060223</v>
      </c>
      <c r="B2977" t="n">
        <v>46520</v>
      </c>
      <c r="C2977" t="inlineStr">
        <is>
          <t>1406/02/23</t>
        </is>
      </c>
    </row>
    <row r="2978">
      <c r="A2978" t="n">
        <v>14060224</v>
      </c>
      <c r="B2978" t="n">
        <v>46521</v>
      </c>
      <c r="C2978" t="inlineStr">
        <is>
          <t>1406/02/24</t>
        </is>
      </c>
    </row>
    <row r="2979">
      <c r="A2979" t="n">
        <v>14060225</v>
      </c>
      <c r="B2979" t="n">
        <v>46522</v>
      </c>
      <c r="C2979" t="inlineStr">
        <is>
          <t>1406/02/25</t>
        </is>
      </c>
    </row>
    <row r="2980">
      <c r="A2980" t="n">
        <v>14060226</v>
      </c>
      <c r="B2980" t="n">
        <v>46523</v>
      </c>
      <c r="C2980" t="inlineStr">
        <is>
          <t>1406/02/26</t>
        </is>
      </c>
    </row>
    <row r="2981">
      <c r="A2981" t="n">
        <v>14060227</v>
      </c>
      <c r="B2981" t="n">
        <v>46524</v>
      </c>
      <c r="C2981" t="inlineStr">
        <is>
          <t>1406/02/27</t>
        </is>
      </c>
    </row>
    <row r="2982">
      <c r="A2982" t="n">
        <v>14060228</v>
      </c>
      <c r="B2982" t="n">
        <v>46525</v>
      </c>
      <c r="C2982" t="inlineStr">
        <is>
          <t>1406/02/28</t>
        </is>
      </c>
    </row>
    <row r="2983">
      <c r="A2983" t="n">
        <v>14060229</v>
      </c>
      <c r="B2983" t="n">
        <v>46526</v>
      </c>
      <c r="C2983" t="inlineStr">
        <is>
          <t>1406/02/29</t>
        </is>
      </c>
    </row>
    <row r="2984">
      <c r="A2984" t="n">
        <v>14060230</v>
      </c>
      <c r="B2984" t="n">
        <v>46527</v>
      </c>
      <c r="C2984" t="inlineStr">
        <is>
          <t>1406/02/30</t>
        </is>
      </c>
    </row>
    <row r="2985">
      <c r="A2985" t="n">
        <v>14060231</v>
      </c>
      <c r="B2985" t="n">
        <v>46528</v>
      </c>
      <c r="C2985" t="inlineStr">
        <is>
          <t>1406/02/31</t>
        </is>
      </c>
    </row>
    <row r="2986">
      <c r="A2986" t="n">
        <v>14060301</v>
      </c>
      <c r="B2986" t="n">
        <v>46529</v>
      </c>
      <c r="C2986" t="inlineStr">
        <is>
          <t>1406/03/01</t>
        </is>
      </c>
    </row>
    <row r="2987">
      <c r="A2987" t="n">
        <v>14060302</v>
      </c>
      <c r="B2987" t="n">
        <v>46530</v>
      </c>
      <c r="C2987" t="inlineStr">
        <is>
          <t>1406/03/02</t>
        </is>
      </c>
    </row>
    <row r="2988">
      <c r="A2988" t="n">
        <v>14060303</v>
      </c>
      <c r="B2988" t="n">
        <v>46531</v>
      </c>
      <c r="C2988" t="inlineStr">
        <is>
          <t>1406/03/03</t>
        </is>
      </c>
    </row>
    <row r="2989">
      <c r="A2989" t="n">
        <v>14060304</v>
      </c>
      <c r="B2989" t="n">
        <v>46532</v>
      </c>
      <c r="C2989" t="inlineStr">
        <is>
          <t>1406/03/04</t>
        </is>
      </c>
    </row>
    <row r="2990">
      <c r="A2990" t="n">
        <v>14060305</v>
      </c>
      <c r="B2990" t="n">
        <v>46533</v>
      </c>
      <c r="C2990" t="inlineStr">
        <is>
          <t>1406/03/05</t>
        </is>
      </c>
    </row>
    <row r="2991">
      <c r="A2991" t="n">
        <v>14060306</v>
      </c>
      <c r="B2991" t="n">
        <v>46534</v>
      </c>
      <c r="C2991" t="inlineStr">
        <is>
          <t>1406/03/06</t>
        </is>
      </c>
    </row>
    <row r="2992">
      <c r="A2992" t="n">
        <v>14060307</v>
      </c>
      <c r="B2992" t="n">
        <v>46535</v>
      </c>
      <c r="C2992" t="inlineStr">
        <is>
          <t>1406/03/07</t>
        </is>
      </c>
    </row>
    <row r="2993">
      <c r="A2993" t="n">
        <v>14060308</v>
      </c>
      <c r="B2993" t="n">
        <v>46536</v>
      </c>
      <c r="C2993" t="inlineStr">
        <is>
          <t>1406/03/08</t>
        </is>
      </c>
    </row>
    <row r="2994">
      <c r="A2994" t="n">
        <v>14060309</v>
      </c>
      <c r="B2994" t="n">
        <v>46537</v>
      </c>
      <c r="C2994" t="inlineStr">
        <is>
          <t>1406/03/09</t>
        </is>
      </c>
    </row>
    <row r="2995">
      <c r="A2995" t="n">
        <v>14060310</v>
      </c>
      <c r="B2995" t="n">
        <v>46538</v>
      </c>
      <c r="C2995" t="inlineStr">
        <is>
          <t>1406/03/10</t>
        </is>
      </c>
    </row>
    <row r="2996">
      <c r="A2996" t="n">
        <v>14060311</v>
      </c>
      <c r="B2996" t="n">
        <v>46539</v>
      </c>
      <c r="C2996" t="inlineStr">
        <is>
          <t>1406/03/11</t>
        </is>
      </c>
    </row>
    <row r="2997">
      <c r="A2997" t="n">
        <v>14060312</v>
      </c>
      <c r="B2997" t="n">
        <v>46540</v>
      </c>
      <c r="C2997" t="inlineStr">
        <is>
          <t>1406/03/12</t>
        </is>
      </c>
    </row>
    <row r="2998">
      <c r="A2998" t="n">
        <v>14060313</v>
      </c>
      <c r="B2998" t="n">
        <v>46541</v>
      </c>
      <c r="C2998" t="inlineStr">
        <is>
          <t>1406/03/13</t>
        </is>
      </c>
    </row>
    <row r="2999">
      <c r="A2999" t="n">
        <v>14060314</v>
      </c>
      <c r="B2999" t="n">
        <v>46542</v>
      </c>
      <c r="C2999" t="inlineStr">
        <is>
          <t>1406/03/14</t>
        </is>
      </c>
    </row>
    <row r="3000">
      <c r="A3000" t="n">
        <v>14060315</v>
      </c>
      <c r="B3000" t="n">
        <v>46543</v>
      </c>
      <c r="C3000" t="inlineStr">
        <is>
          <t>1406/03/15</t>
        </is>
      </c>
    </row>
    <row r="3001">
      <c r="A3001" t="n">
        <v>14060316</v>
      </c>
      <c r="B3001" t="n">
        <v>46544</v>
      </c>
      <c r="C3001" t="inlineStr">
        <is>
          <t>1406/03/16</t>
        </is>
      </c>
    </row>
    <row r="3002">
      <c r="A3002" t="n">
        <v>14060317</v>
      </c>
      <c r="B3002" t="n">
        <v>46545</v>
      </c>
      <c r="C3002" t="inlineStr">
        <is>
          <t>1406/03/17</t>
        </is>
      </c>
    </row>
    <row r="3003">
      <c r="A3003" t="n">
        <v>14060318</v>
      </c>
      <c r="B3003" t="n">
        <v>46546</v>
      </c>
      <c r="C3003" t="inlineStr">
        <is>
          <t>1406/03/18</t>
        </is>
      </c>
    </row>
    <row r="3004">
      <c r="A3004" t="n">
        <v>14060319</v>
      </c>
      <c r="B3004" t="n">
        <v>46547</v>
      </c>
      <c r="C3004" t="inlineStr">
        <is>
          <t>1406/03/19</t>
        </is>
      </c>
    </row>
    <row r="3005">
      <c r="A3005" t="n">
        <v>14060320</v>
      </c>
      <c r="B3005" t="n">
        <v>46548</v>
      </c>
      <c r="C3005" t="inlineStr">
        <is>
          <t>1406/03/20</t>
        </is>
      </c>
    </row>
    <row r="3006">
      <c r="A3006" t="n">
        <v>14060321</v>
      </c>
      <c r="B3006" t="n">
        <v>46549</v>
      </c>
      <c r="C3006" t="inlineStr">
        <is>
          <t>1406/03/21</t>
        </is>
      </c>
    </row>
    <row r="3007">
      <c r="A3007" t="n">
        <v>14060322</v>
      </c>
      <c r="B3007" t="n">
        <v>46550</v>
      </c>
      <c r="C3007" t="inlineStr">
        <is>
          <t>1406/03/22</t>
        </is>
      </c>
    </row>
    <row r="3008">
      <c r="A3008" t="n">
        <v>14060323</v>
      </c>
      <c r="B3008" t="n">
        <v>46551</v>
      </c>
      <c r="C3008" t="inlineStr">
        <is>
          <t>1406/03/23</t>
        </is>
      </c>
    </row>
    <row r="3009">
      <c r="A3009" t="n">
        <v>14060324</v>
      </c>
      <c r="B3009" t="n">
        <v>46552</v>
      </c>
      <c r="C3009" t="inlineStr">
        <is>
          <t>1406/03/24</t>
        </is>
      </c>
    </row>
    <row r="3010">
      <c r="A3010" t="n">
        <v>14060325</v>
      </c>
      <c r="B3010" t="n">
        <v>46553</v>
      </c>
      <c r="C3010" t="inlineStr">
        <is>
          <t>1406/03/25</t>
        </is>
      </c>
    </row>
    <row r="3011">
      <c r="A3011" t="n">
        <v>14060326</v>
      </c>
      <c r="B3011" t="n">
        <v>46554</v>
      </c>
      <c r="C3011" t="inlineStr">
        <is>
          <t>1406/03/26</t>
        </is>
      </c>
    </row>
    <row r="3012">
      <c r="A3012" t="n">
        <v>14060327</v>
      </c>
      <c r="B3012" t="n">
        <v>46555</v>
      </c>
      <c r="C3012" t="inlineStr">
        <is>
          <t>1406/03/27</t>
        </is>
      </c>
    </row>
    <row r="3013">
      <c r="A3013" t="n">
        <v>14060328</v>
      </c>
      <c r="B3013" t="n">
        <v>46556</v>
      </c>
      <c r="C3013" t="inlineStr">
        <is>
          <t>1406/03/28</t>
        </is>
      </c>
    </row>
    <row r="3014">
      <c r="A3014" t="n">
        <v>14060329</v>
      </c>
      <c r="B3014" t="n">
        <v>46557</v>
      </c>
      <c r="C3014" t="inlineStr">
        <is>
          <t>1406/03/29</t>
        </is>
      </c>
    </row>
    <row r="3015">
      <c r="A3015" t="n">
        <v>14060330</v>
      </c>
      <c r="B3015" t="n">
        <v>46558</v>
      </c>
      <c r="C3015" t="inlineStr">
        <is>
          <t>1406/03/30</t>
        </is>
      </c>
    </row>
    <row r="3016">
      <c r="A3016" t="n">
        <v>14060331</v>
      </c>
      <c r="B3016" t="n">
        <v>46559</v>
      </c>
      <c r="C3016" t="inlineStr">
        <is>
          <t>1406/03/31</t>
        </is>
      </c>
    </row>
    <row r="3017">
      <c r="A3017" t="n">
        <v>14060401</v>
      </c>
      <c r="B3017" t="n">
        <v>46560</v>
      </c>
      <c r="C3017" t="inlineStr">
        <is>
          <t>1406/04/01</t>
        </is>
      </c>
    </row>
    <row r="3018">
      <c r="A3018" t="n">
        <v>14060402</v>
      </c>
      <c r="B3018" t="n">
        <v>46561</v>
      </c>
      <c r="C3018" t="inlineStr">
        <is>
          <t>1406/04/02</t>
        </is>
      </c>
    </row>
    <row r="3019">
      <c r="A3019" t="n">
        <v>14060403</v>
      </c>
      <c r="B3019" t="n">
        <v>46562</v>
      </c>
      <c r="C3019" t="inlineStr">
        <is>
          <t>1406/04/03</t>
        </is>
      </c>
    </row>
    <row r="3020">
      <c r="A3020" t="n">
        <v>14060404</v>
      </c>
      <c r="B3020" t="n">
        <v>46563</v>
      </c>
      <c r="C3020" t="inlineStr">
        <is>
          <t>1406/04/04</t>
        </is>
      </c>
    </row>
    <row r="3021">
      <c r="A3021" t="n">
        <v>14060405</v>
      </c>
      <c r="B3021" t="n">
        <v>46564</v>
      </c>
      <c r="C3021" t="inlineStr">
        <is>
          <t>1406/04/05</t>
        </is>
      </c>
    </row>
    <row r="3022">
      <c r="A3022" t="n">
        <v>14060406</v>
      </c>
      <c r="B3022" t="n">
        <v>46565</v>
      </c>
      <c r="C3022" t="inlineStr">
        <is>
          <t>1406/04/06</t>
        </is>
      </c>
    </row>
    <row r="3023">
      <c r="A3023" t="n">
        <v>14060407</v>
      </c>
      <c r="B3023" t="n">
        <v>46566</v>
      </c>
      <c r="C3023" t="inlineStr">
        <is>
          <t>1406/04/07</t>
        </is>
      </c>
    </row>
    <row r="3024">
      <c r="A3024" t="n">
        <v>14060408</v>
      </c>
      <c r="B3024" t="n">
        <v>46567</v>
      </c>
      <c r="C3024" t="inlineStr">
        <is>
          <t>1406/04/08</t>
        </is>
      </c>
    </row>
    <row r="3025">
      <c r="A3025" t="n">
        <v>14060409</v>
      </c>
      <c r="B3025" t="n">
        <v>46568</v>
      </c>
      <c r="C3025" t="inlineStr">
        <is>
          <t>1406/04/09</t>
        </is>
      </c>
    </row>
    <row r="3026">
      <c r="A3026" t="n">
        <v>14060410</v>
      </c>
      <c r="B3026" t="n">
        <v>46569</v>
      </c>
      <c r="C3026" t="inlineStr">
        <is>
          <t>1406/04/10</t>
        </is>
      </c>
    </row>
    <row r="3027">
      <c r="A3027" t="n">
        <v>14060411</v>
      </c>
      <c r="B3027" t="n">
        <v>46570</v>
      </c>
      <c r="C3027" t="inlineStr">
        <is>
          <t>1406/04/11</t>
        </is>
      </c>
    </row>
    <row r="3028">
      <c r="A3028" t="n">
        <v>14060412</v>
      </c>
      <c r="B3028" t="n">
        <v>46571</v>
      </c>
      <c r="C3028" t="inlineStr">
        <is>
          <t>1406/04/12</t>
        </is>
      </c>
    </row>
    <row r="3029">
      <c r="A3029" t="n">
        <v>14060413</v>
      </c>
      <c r="B3029" t="n">
        <v>46572</v>
      </c>
      <c r="C3029" t="inlineStr">
        <is>
          <t>1406/04/13</t>
        </is>
      </c>
    </row>
    <row r="3030">
      <c r="A3030" t="n">
        <v>14060414</v>
      </c>
      <c r="B3030" t="n">
        <v>46573</v>
      </c>
      <c r="C3030" t="inlineStr">
        <is>
          <t>1406/04/14</t>
        </is>
      </c>
    </row>
    <row r="3031">
      <c r="A3031" t="n">
        <v>14060415</v>
      </c>
      <c r="B3031" t="n">
        <v>46574</v>
      </c>
      <c r="C3031" t="inlineStr">
        <is>
          <t>1406/04/15</t>
        </is>
      </c>
    </row>
    <row r="3032">
      <c r="A3032" t="n">
        <v>14060416</v>
      </c>
      <c r="B3032" t="n">
        <v>46575</v>
      </c>
      <c r="C3032" t="inlineStr">
        <is>
          <t>1406/04/16</t>
        </is>
      </c>
    </row>
    <row r="3033">
      <c r="A3033" t="n">
        <v>14060417</v>
      </c>
      <c r="B3033" t="n">
        <v>46576</v>
      </c>
      <c r="C3033" t="inlineStr">
        <is>
          <t>1406/04/17</t>
        </is>
      </c>
    </row>
    <row r="3034">
      <c r="A3034" t="n">
        <v>14060418</v>
      </c>
      <c r="B3034" t="n">
        <v>46577</v>
      </c>
      <c r="C3034" t="inlineStr">
        <is>
          <t>1406/04/18</t>
        </is>
      </c>
    </row>
    <row r="3035">
      <c r="A3035" t="n">
        <v>14060419</v>
      </c>
      <c r="B3035" t="n">
        <v>46578</v>
      </c>
      <c r="C3035" t="inlineStr">
        <is>
          <t>1406/04/19</t>
        </is>
      </c>
    </row>
    <row r="3036">
      <c r="A3036" t="n">
        <v>14060420</v>
      </c>
      <c r="B3036" t="n">
        <v>46579</v>
      </c>
      <c r="C3036" t="inlineStr">
        <is>
          <t>1406/04/20</t>
        </is>
      </c>
    </row>
    <row r="3037">
      <c r="A3037" t="n">
        <v>14060421</v>
      </c>
      <c r="B3037" t="n">
        <v>46580</v>
      </c>
      <c r="C3037" t="inlineStr">
        <is>
          <t>1406/04/21</t>
        </is>
      </c>
    </row>
    <row r="3038">
      <c r="A3038" t="n">
        <v>14060422</v>
      </c>
      <c r="B3038" t="n">
        <v>46581</v>
      </c>
      <c r="C3038" t="inlineStr">
        <is>
          <t>1406/04/22</t>
        </is>
      </c>
    </row>
    <row r="3039">
      <c r="A3039" t="n">
        <v>14060423</v>
      </c>
      <c r="B3039" t="n">
        <v>46582</v>
      </c>
      <c r="C3039" t="inlineStr">
        <is>
          <t>1406/04/23</t>
        </is>
      </c>
    </row>
    <row r="3040">
      <c r="A3040" t="n">
        <v>14060424</v>
      </c>
      <c r="B3040" t="n">
        <v>46583</v>
      </c>
      <c r="C3040" t="inlineStr">
        <is>
          <t>1406/04/24</t>
        </is>
      </c>
    </row>
    <row r="3041">
      <c r="A3041" t="n">
        <v>14060425</v>
      </c>
      <c r="B3041" t="n">
        <v>46584</v>
      </c>
      <c r="C3041" t="inlineStr">
        <is>
          <t>1406/04/25</t>
        </is>
      </c>
    </row>
    <row r="3042">
      <c r="A3042" t="n">
        <v>14060426</v>
      </c>
      <c r="B3042" t="n">
        <v>46585</v>
      </c>
      <c r="C3042" t="inlineStr">
        <is>
          <t>1406/04/26</t>
        </is>
      </c>
    </row>
    <row r="3043">
      <c r="A3043" t="n">
        <v>14060427</v>
      </c>
      <c r="B3043" t="n">
        <v>46586</v>
      </c>
      <c r="C3043" t="inlineStr">
        <is>
          <t>1406/04/27</t>
        </is>
      </c>
    </row>
    <row r="3044">
      <c r="A3044" t="n">
        <v>14060428</v>
      </c>
      <c r="B3044" t="n">
        <v>46587</v>
      </c>
      <c r="C3044" t="inlineStr">
        <is>
          <t>1406/04/28</t>
        </is>
      </c>
    </row>
    <row r="3045">
      <c r="A3045" t="n">
        <v>14060429</v>
      </c>
      <c r="B3045" t="n">
        <v>46588</v>
      </c>
      <c r="C3045" t="inlineStr">
        <is>
          <t>1406/04/29</t>
        </is>
      </c>
    </row>
    <row r="3046">
      <c r="A3046" t="n">
        <v>14060430</v>
      </c>
      <c r="B3046" t="n">
        <v>46589</v>
      </c>
      <c r="C3046" t="inlineStr">
        <is>
          <t>1406/04/30</t>
        </is>
      </c>
    </row>
    <row r="3047">
      <c r="A3047" t="n">
        <v>14060431</v>
      </c>
      <c r="B3047" t="n">
        <v>46590</v>
      </c>
      <c r="C3047" t="inlineStr">
        <is>
          <t>1406/04/31</t>
        </is>
      </c>
    </row>
    <row r="3048">
      <c r="A3048" t="n">
        <v>14060501</v>
      </c>
      <c r="B3048" t="n">
        <v>46591</v>
      </c>
      <c r="C3048" t="inlineStr">
        <is>
          <t>1406/05/01</t>
        </is>
      </c>
    </row>
    <row r="3049">
      <c r="A3049" t="n">
        <v>14060502</v>
      </c>
      <c r="B3049" t="n">
        <v>46592</v>
      </c>
      <c r="C3049" t="inlineStr">
        <is>
          <t>1406/05/02</t>
        </is>
      </c>
    </row>
    <row r="3050">
      <c r="A3050" t="n">
        <v>14060503</v>
      </c>
      <c r="B3050" t="n">
        <v>46593</v>
      </c>
      <c r="C3050" t="inlineStr">
        <is>
          <t>1406/05/03</t>
        </is>
      </c>
    </row>
    <row r="3051">
      <c r="A3051" t="n">
        <v>14060504</v>
      </c>
      <c r="B3051" t="n">
        <v>46594</v>
      </c>
      <c r="C3051" t="inlineStr">
        <is>
          <t>1406/05/04</t>
        </is>
      </c>
    </row>
    <row r="3052">
      <c r="A3052" t="n">
        <v>14060505</v>
      </c>
      <c r="B3052" t="n">
        <v>46595</v>
      </c>
      <c r="C3052" t="inlineStr">
        <is>
          <t>1406/05/05</t>
        </is>
      </c>
    </row>
    <row r="3053">
      <c r="A3053" t="n">
        <v>14060506</v>
      </c>
      <c r="B3053" t="n">
        <v>46596</v>
      </c>
      <c r="C3053" t="inlineStr">
        <is>
          <t>1406/05/06</t>
        </is>
      </c>
    </row>
    <row r="3054">
      <c r="A3054" t="n">
        <v>14060507</v>
      </c>
      <c r="B3054" t="n">
        <v>46597</v>
      </c>
      <c r="C3054" t="inlineStr">
        <is>
          <t>1406/05/07</t>
        </is>
      </c>
    </row>
    <row r="3055">
      <c r="A3055" t="n">
        <v>14060508</v>
      </c>
      <c r="B3055" t="n">
        <v>46598</v>
      </c>
      <c r="C3055" t="inlineStr">
        <is>
          <t>1406/05/08</t>
        </is>
      </c>
    </row>
    <row r="3056">
      <c r="A3056" t="n">
        <v>14060509</v>
      </c>
      <c r="B3056" t="n">
        <v>46599</v>
      </c>
      <c r="C3056" t="inlineStr">
        <is>
          <t>1406/05/09</t>
        </is>
      </c>
    </row>
    <row r="3057">
      <c r="A3057" t="n">
        <v>14060510</v>
      </c>
      <c r="B3057" t="n">
        <v>46600</v>
      </c>
      <c r="C3057" t="inlineStr">
        <is>
          <t>1406/05/10</t>
        </is>
      </c>
    </row>
    <row r="3058">
      <c r="A3058" t="n">
        <v>14060511</v>
      </c>
      <c r="B3058" t="n">
        <v>46601</v>
      </c>
      <c r="C3058" t="inlineStr">
        <is>
          <t>1406/05/11</t>
        </is>
      </c>
    </row>
    <row r="3059">
      <c r="A3059" t="n">
        <v>14060512</v>
      </c>
      <c r="B3059" t="n">
        <v>46602</v>
      </c>
      <c r="C3059" t="inlineStr">
        <is>
          <t>1406/05/12</t>
        </is>
      </c>
    </row>
    <row r="3060">
      <c r="A3060" t="n">
        <v>14060513</v>
      </c>
      <c r="B3060" t="n">
        <v>46603</v>
      </c>
      <c r="C3060" t="inlineStr">
        <is>
          <t>1406/05/13</t>
        </is>
      </c>
    </row>
    <row r="3061">
      <c r="A3061" t="n">
        <v>14060514</v>
      </c>
      <c r="B3061" t="n">
        <v>46604</v>
      </c>
      <c r="C3061" t="inlineStr">
        <is>
          <t>1406/05/14</t>
        </is>
      </c>
    </row>
    <row r="3062">
      <c r="A3062" t="n">
        <v>14060515</v>
      </c>
      <c r="B3062" t="n">
        <v>46605</v>
      </c>
      <c r="C3062" t="inlineStr">
        <is>
          <t>1406/05/15</t>
        </is>
      </c>
    </row>
    <row r="3063">
      <c r="A3063" t="n">
        <v>14060516</v>
      </c>
      <c r="B3063" t="n">
        <v>46606</v>
      </c>
      <c r="C3063" t="inlineStr">
        <is>
          <t>1406/05/16</t>
        </is>
      </c>
    </row>
    <row r="3064">
      <c r="A3064" t="n">
        <v>14060517</v>
      </c>
      <c r="B3064" t="n">
        <v>46607</v>
      </c>
      <c r="C3064" t="inlineStr">
        <is>
          <t>1406/05/17</t>
        </is>
      </c>
    </row>
    <row r="3065">
      <c r="A3065" t="n">
        <v>14060518</v>
      </c>
      <c r="B3065" t="n">
        <v>46608</v>
      </c>
      <c r="C3065" t="inlineStr">
        <is>
          <t>1406/05/18</t>
        </is>
      </c>
    </row>
    <row r="3066">
      <c r="A3066" t="n">
        <v>14060519</v>
      </c>
      <c r="B3066" t="n">
        <v>46609</v>
      </c>
      <c r="C3066" t="inlineStr">
        <is>
          <t>1406/05/19</t>
        </is>
      </c>
    </row>
    <row r="3067">
      <c r="A3067" t="n">
        <v>14060520</v>
      </c>
      <c r="B3067" t="n">
        <v>46610</v>
      </c>
      <c r="C3067" t="inlineStr">
        <is>
          <t>1406/05/20</t>
        </is>
      </c>
    </row>
    <row r="3068">
      <c r="A3068" t="n">
        <v>14060521</v>
      </c>
      <c r="B3068" t="n">
        <v>46611</v>
      </c>
      <c r="C3068" t="inlineStr">
        <is>
          <t>1406/05/21</t>
        </is>
      </c>
    </row>
    <row r="3069">
      <c r="A3069" t="n">
        <v>14060522</v>
      </c>
      <c r="B3069" t="n">
        <v>46612</v>
      </c>
      <c r="C3069" t="inlineStr">
        <is>
          <t>1406/05/22</t>
        </is>
      </c>
    </row>
    <row r="3070">
      <c r="A3070" t="n">
        <v>14060523</v>
      </c>
      <c r="B3070" t="n">
        <v>46613</v>
      </c>
      <c r="C3070" t="inlineStr">
        <is>
          <t>1406/05/23</t>
        </is>
      </c>
    </row>
    <row r="3071">
      <c r="A3071" t="n">
        <v>14060524</v>
      </c>
      <c r="B3071" t="n">
        <v>46614</v>
      </c>
      <c r="C3071" t="inlineStr">
        <is>
          <t>1406/05/24</t>
        </is>
      </c>
    </row>
    <row r="3072">
      <c r="A3072" t="n">
        <v>14060525</v>
      </c>
      <c r="B3072" t="n">
        <v>46615</v>
      </c>
      <c r="C3072" t="inlineStr">
        <is>
          <t>1406/05/25</t>
        </is>
      </c>
    </row>
    <row r="3073">
      <c r="A3073" t="n">
        <v>14060526</v>
      </c>
      <c r="B3073" t="n">
        <v>46616</v>
      </c>
      <c r="C3073" t="inlineStr">
        <is>
          <t>1406/05/26</t>
        </is>
      </c>
    </row>
    <row r="3074">
      <c r="A3074" t="n">
        <v>14060527</v>
      </c>
      <c r="B3074" t="n">
        <v>46617</v>
      </c>
      <c r="C3074" t="inlineStr">
        <is>
          <t>1406/05/27</t>
        </is>
      </c>
    </row>
    <row r="3075">
      <c r="A3075" t="n">
        <v>14060528</v>
      </c>
      <c r="B3075" t="n">
        <v>46618</v>
      </c>
      <c r="C3075" t="inlineStr">
        <is>
          <t>1406/05/28</t>
        </is>
      </c>
    </row>
    <row r="3076">
      <c r="A3076" t="n">
        <v>14060529</v>
      </c>
      <c r="B3076" t="n">
        <v>46619</v>
      </c>
      <c r="C3076" t="inlineStr">
        <is>
          <t>1406/05/29</t>
        </is>
      </c>
    </row>
    <row r="3077">
      <c r="A3077" t="n">
        <v>14060530</v>
      </c>
      <c r="B3077" t="n">
        <v>46620</v>
      </c>
      <c r="C3077" t="inlineStr">
        <is>
          <t>1406/05/30</t>
        </is>
      </c>
    </row>
    <row r="3078">
      <c r="A3078" t="n">
        <v>14060531</v>
      </c>
      <c r="B3078" t="n">
        <v>46621</v>
      </c>
      <c r="C3078" t="inlineStr">
        <is>
          <t>1406/05/31</t>
        </is>
      </c>
    </row>
    <row r="3079">
      <c r="A3079" t="n">
        <v>14060601</v>
      </c>
      <c r="B3079" t="n">
        <v>46622</v>
      </c>
      <c r="C3079" t="inlineStr">
        <is>
          <t>1406/06/01</t>
        </is>
      </c>
    </row>
    <row r="3080">
      <c r="A3080" t="n">
        <v>14060602</v>
      </c>
      <c r="B3080" t="n">
        <v>46623</v>
      </c>
      <c r="C3080" t="inlineStr">
        <is>
          <t>1406/06/02</t>
        </is>
      </c>
    </row>
    <row r="3081">
      <c r="A3081" t="n">
        <v>14060603</v>
      </c>
      <c r="B3081" t="n">
        <v>46624</v>
      </c>
      <c r="C3081" t="inlineStr">
        <is>
          <t>1406/06/03</t>
        </is>
      </c>
    </row>
    <row r="3082">
      <c r="A3082" t="n">
        <v>14060604</v>
      </c>
      <c r="B3082" t="n">
        <v>46625</v>
      </c>
      <c r="C3082" t="inlineStr">
        <is>
          <t>1406/06/04</t>
        </is>
      </c>
    </row>
    <row r="3083">
      <c r="A3083" t="n">
        <v>14060605</v>
      </c>
      <c r="B3083" t="n">
        <v>46626</v>
      </c>
      <c r="C3083" t="inlineStr">
        <is>
          <t>1406/06/05</t>
        </is>
      </c>
    </row>
    <row r="3084">
      <c r="A3084" t="n">
        <v>14060606</v>
      </c>
      <c r="B3084" t="n">
        <v>46627</v>
      </c>
      <c r="C3084" t="inlineStr">
        <is>
          <t>1406/06/06</t>
        </is>
      </c>
    </row>
    <row r="3085">
      <c r="A3085" t="n">
        <v>14060607</v>
      </c>
      <c r="B3085" t="n">
        <v>46628</v>
      </c>
      <c r="C3085" t="inlineStr">
        <is>
          <t>1406/06/07</t>
        </is>
      </c>
    </row>
    <row r="3086">
      <c r="A3086" t="n">
        <v>14060608</v>
      </c>
      <c r="B3086" t="n">
        <v>46629</v>
      </c>
      <c r="C3086" t="inlineStr">
        <is>
          <t>1406/06/08</t>
        </is>
      </c>
    </row>
    <row r="3087">
      <c r="A3087" t="n">
        <v>14060609</v>
      </c>
      <c r="B3087" t="n">
        <v>46630</v>
      </c>
      <c r="C3087" t="inlineStr">
        <is>
          <t>1406/06/09</t>
        </is>
      </c>
    </row>
    <row r="3088">
      <c r="A3088" t="n">
        <v>14060610</v>
      </c>
      <c r="B3088" t="n">
        <v>46631</v>
      </c>
      <c r="C3088" t="inlineStr">
        <is>
          <t>1406/06/10</t>
        </is>
      </c>
    </row>
    <row r="3089">
      <c r="A3089" t="n">
        <v>14060611</v>
      </c>
      <c r="B3089" t="n">
        <v>46632</v>
      </c>
      <c r="C3089" t="inlineStr">
        <is>
          <t>1406/06/11</t>
        </is>
      </c>
    </row>
    <row r="3090">
      <c r="A3090" t="n">
        <v>14060612</v>
      </c>
      <c r="B3090" t="n">
        <v>46633</v>
      </c>
      <c r="C3090" t="inlineStr">
        <is>
          <t>1406/06/12</t>
        </is>
      </c>
    </row>
    <row r="3091">
      <c r="A3091" t="n">
        <v>14060613</v>
      </c>
      <c r="B3091" t="n">
        <v>46634</v>
      </c>
      <c r="C3091" t="inlineStr">
        <is>
          <t>1406/06/13</t>
        </is>
      </c>
    </row>
    <row r="3092">
      <c r="A3092" t="n">
        <v>14060614</v>
      </c>
      <c r="B3092" t="n">
        <v>46635</v>
      </c>
      <c r="C3092" t="inlineStr">
        <is>
          <t>1406/06/14</t>
        </is>
      </c>
    </row>
    <row r="3093">
      <c r="A3093" t="n">
        <v>14060615</v>
      </c>
      <c r="B3093" t="n">
        <v>46636</v>
      </c>
      <c r="C3093" t="inlineStr">
        <is>
          <t>1406/06/15</t>
        </is>
      </c>
    </row>
    <row r="3094">
      <c r="A3094" t="n">
        <v>14060616</v>
      </c>
      <c r="B3094" t="n">
        <v>46637</v>
      </c>
      <c r="C3094" t="inlineStr">
        <is>
          <t>1406/06/16</t>
        </is>
      </c>
    </row>
    <row r="3095">
      <c r="A3095" t="n">
        <v>14060617</v>
      </c>
      <c r="B3095" t="n">
        <v>46638</v>
      </c>
      <c r="C3095" t="inlineStr">
        <is>
          <t>1406/06/17</t>
        </is>
      </c>
    </row>
    <row r="3096">
      <c r="A3096" t="n">
        <v>14060618</v>
      </c>
      <c r="B3096" t="n">
        <v>46639</v>
      </c>
      <c r="C3096" t="inlineStr">
        <is>
          <t>1406/06/18</t>
        </is>
      </c>
    </row>
    <row r="3097">
      <c r="A3097" t="n">
        <v>14060619</v>
      </c>
      <c r="B3097" t="n">
        <v>46640</v>
      </c>
      <c r="C3097" t="inlineStr">
        <is>
          <t>1406/06/19</t>
        </is>
      </c>
    </row>
    <row r="3098">
      <c r="A3098" t="n">
        <v>14060620</v>
      </c>
      <c r="B3098" t="n">
        <v>46641</v>
      </c>
      <c r="C3098" t="inlineStr">
        <is>
          <t>1406/06/20</t>
        </is>
      </c>
    </row>
    <row r="3099">
      <c r="A3099" t="n">
        <v>14060621</v>
      </c>
      <c r="B3099" t="n">
        <v>46642</v>
      </c>
      <c r="C3099" t="inlineStr">
        <is>
          <t>1406/06/21</t>
        </is>
      </c>
    </row>
    <row r="3100">
      <c r="A3100" t="n">
        <v>14060622</v>
      </c>
      <c r="B3100" t="n">
        <v>46643</v>
      </c>
      <c r="C3100" t="inlineStr">
        <is>
          <t>1406/06/22</t>
        </is>
      </c>
    </row>
    <row r="3101">
      <c r="A3101" t="n">
        <v>14060623</v>
      </c>
      <c r="B3101" t="n">
        <v>46644</v>
      </c>
      <c r="C3101" t="inlineStr">
        <is>
          <t>1406/06/23</t>
        </is>
      </c>
    </row>
    <row r="3102">
      <c r="A3102" t="n">
        <v>14060624</v>
      </c>
      <c r="B3102" t="n">
        <v>46645</v>
      </c>
      <c r="C3102" t="inlineStr">
        <is>
          <t>1406/06/24</t>
        </is>
      </c>
    </row>
    <row r="3103">
      <c r="A3103" t="n">
        <v>14060625</v>
      </c>
      <c r="B3103" t="n">
        <v>46646</v>
      </c>
      <c r="C3103" t="inlineStr">
        <is>
          <t>1406/06/25</t>
        </is>
      </c>
    </row>
    <row r="3104">
      <c r="A3104" t="n">
        <v>14060626</v>
      </c>
      <c r="B3104" t="n">
        <v>46647</v>
      </c>
      <c r="C3104" t="inlineStr">
        <is>
          <t>1406/06/26</t>
        </is>
      </c>
    </row>
    <row r="3105">
      <c r="A3105" t="n">
        <v>14060627</v>
      </c>
      <c r="B3105" t="n">
        <v>46648</v>
      </c>
      <c r="C3105" t="inlineStr">
        <is>
          <t>1406/06/27</t>
        </is>
      </c>
    </row>
    <row r="3106">
      <c r="A3106" t="n">
        <v>14060628</v>
      </c>
      <c r="B3106" t="n">
        <v>46649</v>
      </c>
      <c r="C3106" t="inlineStr">
        <is>
          <t>1406/06/28</t>
        </is>
      </c>
    </row>
    <row r="3107">
      <c r="A3107" t="n">
        <v>14060629</v>
      </c>
      <c r="B3107" t="n">
        <v>46650</v>
      </c>
      <c r="C3107" t="inlineStr">
        <is>
          <t>1406/06/29</t>
        </is>
      </c>
    </row>
    <row r="3108">
      <c r="A3108" t="n">
        <v>14060630</v>
      </c>
      <c r="B3108" t="n">
        <v>46651</v>
      </c>
      <c r="C3108" t="inlineStr">
        <is>
          <t>1406/06/30</t>
        </is>
      </c>
    </row>
    <row r="3109">
      <c r="A3109" t="n">
        <v>14060631</v>
      </c>
      <c r="B3109" t="n">
        <v>46652</v>
      </c>
      <c r="C3109" t="inlineStr">
        <is>
          <t>1406/06/31</t>
        </is>
      </c>
    </row>
    <row r="3110">
      <c r="A3110" t="n">
        <v>14060701</v>
      </c>
      <c r="B3110" t="n">
        <v>46653</v>
      </c>
      <c r="C3110" t="inlineStr">
        <is>
          <t>1406/07/01</t>
        </is>
      </c>
    </row>
    <row r="3111">
      <c r="A3111" t="n">
        <v>14060702</v>
      </c>
      <c r="B3111" t="n">
        <v>46654</v>
      </c>
      <c r="C3111" t="inlineStr">
        <is>
          <t>1406/07/02</t>
        </is>
      </c>
    </row>
    <row r="3112">
      <c r="A3112" t="n">
        <v>14060703</v>
      </c>
      <c r="B3112" t="n">
        <v>46655</v>
      </c>
      <c r="C3112" t="inlineStr">
        <is>
          <t>1406/07/03</t>
        </is>
      </c>
    </row>
    <row r="3113">
      <c r="A3113" t="n">
        <v>14060704</v>
      </c>
      <c r="B3113" t="n">
        <v>46656</v>
      </c>
      <c r="C3113" t="inlineStr">
        <is>
          <t>1406/07/04</t>
        </is>
      </c>
    </row>
    <row r="3114">
      <c r="A3114" t="n">
        <v>14060705</v>
      </c>
      <c r="B3114" t="n">
        <v>46657</v>
      </c>
      <c r="C3114" t="inlineStr">
        <is>
          <t>1406/07/05</t>
        </is>
      </c>
    </row>
    <row r="3115">
      <c r="A3115" t="n">
        <v>14060706</v>
      </c>
      <c r="B3115" t="n">
        <v>46658</v>
      </c>
      <c r="C3115" t="inlineStr">
        <is>
          <t>1406/07/06</t>
        </is>
      </c>
    </row>
    <row r="3116">
      <c r="A3116" t="n">
        <v>14060707</v>
      </c>
      <c r="B3116" t="n">
        <v>46659</v>
      </c>
      <c r="C3116" t="inlineStr">
        <is>
          <t>1406/07/07</t>
        </is>
      </c>
    </row>
    <row r="3117">
      <c r="A3117" t="n">
        <v>14060708</v>
      </c>
      <c r="B3117" t="n">
        <v>46660</v>
      </c>
      <c r="C3117" t="inlineStr">
        <is>
          <t>1406/07/08</t>
        </is>
      </c>
    </row>
    <row r="3118">
      <c r="A3118" t="n">
        <v>14060709</v>
      </c>
      <c r="B3118" t="n">
        <v>46661</v>
      </c>
      <c r="C3118" t="inlineStr">
        <is>
          <t>1406/07/09</t>
        </is>
      </c>
    </row>
    <row r="3119">
      <c r="A3119" t="n">
        <v>14060710</v>
      </c>
      <c r="B3119" t="n">
        <v>46662</v>
      </c>
      <c r="C3119" t="inlineStr">
        <is>
          <t>1406/07/10</t>
        </is>
      </c>
    </row>
    <row r="3120">
      <c r="A3120" t="n">
        <v>14060711</v>
      </c>
      <c r="B3120" t="n">
        <v>46663</v>
      </c>
      <c r="C3120" t="inlineStr">
        <is>
          <t>1406/07/11</t>
        </is>
      </c>
    </row>
    <row r="3121">
      <c r="A3121" t="n">
        <v>14060712</v>
      </c>
      <c r="B3121" t="n">
        <v>46664</v>
      </c>
      <c r="C3121" t="inlineStr">
        <is>
          <t>1406/07/12</t>
        </is>
      </c>
    </row>
    <row r="3122">
      <c r="A3122" t="n">
        <v>14060713</v>
      </c>
      <c r="B3122" t="n">
        <v>46665</v>
      </c>
      <c r="C3122" t="inlineStr">
        <is>
          <t>1406/07/13</t>
        </is>
      </c>
    </row>
    <row r="3123">
      <c r="A3123" t="n">
        <v>14060714</v>
      </c>
      <c r="B3123" t="n">
        <v>46666</v>
      </c>
      <c r="C3123" t="inlineStr">
        <is>
          <t>1406/07/14</t>
        </is>
      </c>
    </row>
    <row r="3124">
      <c r="A3124" t="n">
        <v>14060715</v>
      </c>
      <c r="B3124" t="n">
        <v>46667</v>
      </c>
      <c r="C3124" t="inlineStr">
        <is>
          <t>1406/07/15</t>
        </is>
      </c>
    </row>
    <row r="3125">
      <c r="A3125" t="n">
        <v>14060716</v>
      </c>
      <c r="B3125" t="n">
        <v>46668</v>
      </c>
      <c r="C3125" t="inlineStr">
        <is>
          <t>1406/07/16</t>
        </is>
      </c>
    </row>
    <row r="3126">
      <c r="A3126" t="n">
        <v>14060717</v>
      </c>
      <c r="B3126" t="n">
        <v>46669</v>
      </c>
      <c r="C3126" t="inlineStr">
        <is>
          <t>1406/07/17</t>
        </is>
      </c>
    </row>
    <row r="3127">
      <c r="A3127" t="n">
        <v>14060718</v>
      </c>
      <c r="B3127" t="n">
        <v>46670</v>
      </c>
      <c r="C3127" t="inlineStr">
        <is>
          <t>1406/07/18</t>
        </is>
      </c>
    </row>
    <row r="3128">
      <c r="A3128" t="n">
        <v>14060719</v>
      </c>
      <c r="B3128" t="n">
        <v>46671</v>
      </c>
      <c r="C3128" t="inlineStr">
        <is>
          <t>1406/07/19</t>
        </is>
      </c>
    </row>
    <row r="3129">
      <c r="A3129" t="n">
        <v>14060720</v>
      </c>
      <c r="B3129" t="n">
        <v>46672</v>
      </c>
      <c r="C3129" t="inlineStr">
        <is>
          <t>1406/07/20</t>
        </is>
      </c>
    </row>
    <row r="3130">
      <c r="A3130" t="n">
        <v>14060721</v>
      </c>
      <c r="B3130" t="n">
        <v>46673</v>
      </c>
      <c r="C3130" t="inlineStr">
        <is>
          <t>1406/07/21</t>
        </is>
      </c>
    </row>
    <row r="3131">
      <c r="A3131" t="n">
        <v>14060722</v>
      </c>
      <c r="B3131" t="n">
        <v>46674</v>
      </c>
      <c r="C3131" t="inlineStr">
        <is>
          <t>1406/07/22</t>
        </is>
      </c>
    </row>
    <row r="3132">
      <c r="A3132" t="n">
        <v>14060723</v>
      </c>
      <c r="B3132" t="n">
        <v>46675</v>
      </c>
      <c r="C3132" t="inlineStr">
        <is>
          <t>1406/07/23</t>
        </is>
      </c>
    </row>
    <row r="3133">
      <c r="A3133" t="n">
        <v>14060724</v>
      </c>
      <c r="B3133" t="n">
        <v>46676</v>
      </c>
      <c r="C3133" t="inlineStr">
        <is>
          <t>1406/07/24</t>
        </is>
      </c>
    </row>
    <row r="3134">
      <c r="A3134" t="n">
        <v>14060725</v>
      </c>
      <c r="B3134" t="n">
        <v>46677</v>
      </c>
      <c r="C3134" t="inlineStr">
        <is>
          <t>1406/07/25</t>
        </is>
      </c>
    </row>
    <row r="3135">
      <c r="A3135" t="n">
        <v>14060726</v>
      </c>
      <c r="B3135" t="n">
        <v>46678</v>
      </c>
      <c r="C3135" t="inlineStr">
        <is>
          <t>1406/07/26</t>
        </is>
      </c>
    </row>
    <row r="3136">
      <c r="A3136" t="n">
        <v>14060727</v>
      </c>
      <c r="B3136" t="n">
        <v>46679</v>
      </c>
      <c r="C3136" t="inlineStr">
        <is>
          <t>1406/07/27</t>
        </is>
      </c>
    </row>
    <row r="3137">
      <c r="A3137" t="n">
        <v>14060728</v>
      </c>
      <c r="B3137" t="n">
        <v>46680</v>
      </c>
      <c r="C3137" t="inlineStr">
        <is>
          <t>1406/07/28</t>
        </is>
      </c>
    </row>
    <row r="3138">
      <c r="A3138" t="n">
        <v>14060729</v>
      </c>
      <c r="B3138" t="n">
        <v>46681</v>
      </c>
      <c r="C3138" t="inlineStr">
        <is>
          <t>1406/07/29</t>
        </is>
      </c>
    </row>
    <row r="3139">
      <c r="A3139" t="n">
        <v>14060730</v>
      </c>
      <c r="B3139" t="n">
        <v>46682</v>
      </c>
      <c r="C3139" t="inlineStr">
        <is>
          <t>1406/07/30</t>
        </is>
      </c>
    </row>
    <row r="3140">
      <c r="A3140" t="n">
        <v>14060801</v>
      </c>
      <c r="B3140" t="n">
        <v>46683</v>
      </c>
      <c r="C3140" t="inlineStr">
        <is>
          <t>1406/08/01</t>
        </is>
      </c>
    </row>
    <row r="3141">
      <c r="A3141" t="n">
        <v>14060802</v>
      </c>
      <c r="B3141" t="n">
        <v>46684</v>
      </c>
      <c r="C3141" t="inlineStr">
        <is>
          <t>1406/08/02</t>
        </is>
      </c>
    </row>
    <row r="3142">
      <c r="A3142" t="n">
        <v>14060803</v>
      </c>
      <c r="B3142" t="n">
        <v>46685</v>
      </c>
      <c r="C3142" t="inlineStr">
        <is>
          <t>1406/08/03</t>
        </is>
      </c>
    </row>
    <row r="3143">
      <c r="A3143" t="n">
        <v>14060804</v>
      </c>
      <c r="B3143" t="n">
        <v>46686</v>
      </c>
      <c r="C3143" t="inlineStr">
        <is>
          <t>1406/08/04</t>
        </is>
      </c>
    </row>
    <row r="3144">
      <c r="A3144" t="n">
        <v>14060805</v>
      </c>
      <c r="B3144" t="n">
        <v>46687</v>
      </c>
      <c r="C3144" t="inlineStr">
        <is>
          <t>1406/08/05</t>
        </is>
      </c>
    </row>
    <row r="3145">
      <c r="A3145" t="n">
        <v>14060806</v>
      </c>
      <c r="B3145" t="n">
        <v>46688</v>
      </c>
      <c r="C3145" t="inlineStr">
        <is>
          <t>1406/08/06</t>
        </is>
      </c>
    </row>
    <row r="3146">
      <c r="A3146" t="n">
        <v>14060807</v>
      </c>
      <c r="B3146" t="n">
        <v>46689</v>
      </c>
      <c r="C3146" t="inlineStr">
        <is>
          <t>1406/08/07</t>
        </is>
      </c>
    </row>
    <row r="3147">
      <c r="A3147" t="n">
        <v>14060808</v>
      </c>
      <c r="B3147" t="n">
        <v>46690</v>
      </c>
      <c r="C3147" t="inlineStr">
        <is>
          <t>1406/08/08</t>
        </is>
      </c>
    </row>
    <row r="3148">
      <c r="A3148" t="n">
        <v>14060809</v>
      </c>
      <c r="B3148" t="n">
        <v>46691</v>
      </c>
      <c r="C3148" t="inlineStr">
        <is>
          <t>1406/08/09</t>
        </is>
      </c>
    </row>
    <row r="3149">
      <c r="A3149" t="n">
        <v>14060810</v>
      </c>
      <c r="B3149" t="n">
        <v>46692</v>
      </c>
      <c r="C3149" t="inlineStr">
        <is>
          <t>1406/08/10</t>
        </is>
      </c>
    </row>
    <row r="3150">
      <c r="A3150" t="n">
        <v>14060811</v>
      </c>
      <c r="B3150" t="n">
        <v>46693</v>
      </c>
      <c r="C3150" t="inlineStr">
        <is>
          <t>1406/08/11</t>
        </is>
      </c>
    </row>
    <row r="3151">
      <c r="A3151" t="n">
        <v>14060812</v>
      </c>
      <c r="B3151" t="n">
        <v>46694</v>
      </c>
      <c r="C3151" t="inlineStr">
        <is>
          <t>1406/08/12</t>
        </is>
      </c>
    </row>
    <row r="3152">
      <c r="A3152" t="n">
        <v>14060813</v>
      </c>
      <c r="B3152" t="n">
        <v>46695</v>
      </c>
      <c r="C3152" t="inlineStr">
        <is>
          <t>1406/08/13</t>
        </is>
      </c>
    </row>
    <row r="3153">
      <c r="A3153" t="n">
        <v>14060814</v>
      </c>
      <c r="B3153" t="n">
        <v>46696</v>
      </c>
      <c r="C3153" t="inlineStr">
        <is>
          <t>1406/08/14</t>
        </is>
      </c>
    </row>
    <row r="3154">
      <c r="A3154" t="n">
        <v>14060815</v>
      </c>
      <c r="B3154" t="n">
        <v>46697</v>
      </c>
      <c r="C3154" t="inlineStr">
        <is>
          <t>1406/08/15</t>
        </is>
      </c>
    </row>
    <row r="3155">
      <c r="A3155" t="n">
        <v>14060816</v>
      </c>
      <c r="B3155" t="n">
        <v>46698</v>
      </c>
      <c r="C3155" t="inlineStr">
        <is>
          <t>1406/08/16</t>
        </is>
      </c>
    </row>
    <row r="3156">
      <c r="A3156" t="n">
        <v>14060817</v>
      </c>
      <c r="B3156" t="n">
        <v>46699</v>
      </c>
      <c r="C3156" t="inlineStr">
        <is>
          <t>1406/08/17</t>
        </is>
      </c>
    </row>
    <row r="3157">
      <c r="A3157" t="n">
        <v>14060818</v>
      </c>
      <c r="B3157" t="n">
        <v>46700</v>
      </c>
      <c r="C3157" t="inlineStr">
        <is>
          <t>1406/08/18</t>
        </is>
      </c>
    </row>
    <row r="3158">
      <c r="A3158" t="n">
        <v>14060819</v>
      </c>
      <c r="B3158" t="n">
        <v>46701</v>
      </c>
      <c r="C3158" t="inlineStr">
        <is>
          <t>1406/08/19</t>
        </is>
      </c>
    </row>
    <row r="3159">
      <c r="A3159" t="n">
        <v>14060820</v>
      </c>
      <c r="B3159" t="n">
        <v>46702</v>
      </c>
      <c r="C3159" t="inlineStr">
        <is>
          <t>1406/08/20</t>
        </is>
      </c>
    </row>
    <row r="3160">
      <c r="A3160" t="n">
        <v>14060821</v>
      </c>
      <c r="B3160" t="n">
        <v>46703</v>
      </c>
      <c r="C3160" t="inlineStr">
        <is>
          <t>1406/08/21</t>
        </is>
      </c>
    </row>
    <row r="3161">
      <c r="A3161" t="n">
        <v>14060822</v>
      </c>
      <c r="B3161" t="n">
        <v>46704</v>
      </c>
      <c r="C3161" t="inlineStr">
        <is>
          <t>1406/08/22</t>
        </is>
      </c>
    </row>
    <row r="3162">
      <c r="A3162" t="n">
        <v>14060823</v>
      </c>
      <c r="B3162" t="n">
        <v>46705</v>
      </c>
      <c r="C3162" t="inlineStr">
        <is>
          <t>1406/08/23</t>
        </is>
      </c>
    </row>
    <row r="3163">
      <c r="A3163" t="n">
        <v>14060824</v>
      </c>
      <c r="B3163" t="n">
        <v>46706</v>
      </c>
      <c r="C3163" t="inlineStr">
        <is>
          <t>1406/08/24</t>
        </is>
      </c>
    </row>
    <row r="3164">
      <c r="A3164" t="n">
        <v>14060825</v>
      </c>
      <c r="B3164" t="n">
        <v>46707</v>
      </c>
      <c r="C3164" t="inlineStr">
        <is>
          <t>1406/08/25</t>
        </is>
      </c>
    </row>
    <row r="3165">
      <c r="A3165" t="n">
        <v>14060826</v>
      </c>
      <c r="B3165" t="n">
        <v>46708</v>
      </c>
      <c r="C3165" t="inlineStr">
        <is>
          <t>1406/08/26</t>
        </is>
      </c>
    </row>
    <row r="3166">
      <c r="A3166" t="n">
        <v>14060827</v>
      </c>
      <c r="B3166" t="n">
        <v>46709</v>
      </c>
      <c r="C3166" t="inlineStr">
        <is>
          <t>1406/08/27</t>
        </is>
      </c>
    </row>
    <row r="3167">
      <c r="A3167" t="n">
        <v>14060828</v>
      </c>
      <c r="B3167" t="n">
        <v>46710</v>
      </c>
      <c r="C3167" t="inlineStr">
        <is>
          <t>1406/08/28</t>
        </is>
      </c>
    </row>
    <row r="3168">
      <c r="A3168" t="n">
        <v>14060829</v>
      </c>
      <c r="B3168" t="n">
        <v>46711</v>
      </c>
      <c r="C3168" t="inlineStr">
        <is>
          <t>1406/08/29</t>
        </is>
      </c>
    </row>
    <row r="3169">
      <c r="A3169" t="n">
        <v>14060830</v>
      </c>
      <c r="B3169" t="n">
        <v>46712</v>
      </c>
      <c r="C3169" t="inlineStr">
        <is>
          <t>1406/08/30</t>
        </is>
      </c>
    </row>
    <row r="3170">
      <c r="A3170" t="n">
        <v>14060901</v>
      </c>
      <c r="B3170" t="n">
        <v>46713</v>
      </c>
      <c r="C3170" t="inlineStr">
        <is>
          <t>1406/09/01</t>
        </is>
      </c>
    </row>
    <row r="3171">
      <c r="A3171" t="n">
        <v>14060902</v>
      </c>
      <c r="B3171" t="n">
        <v>46714</v>
      </c>
      <c r="C3171" t="inlineStr">
        <is>
          <t>1406/09/02</t>
        </is>
      </c>
    </row>
    <row r="3172">
      <c r="A3172" t="n">
        <v>14060903</v>
      </c>
      <c r="B3172" t="n">
        <v>46715</v>
      </c>
      <c r="C3172" t="inlineStr">
        <is>
          <t>1406/09/03</t>
        </is>
      </c>
    </row>
    <row r="3173">
      <c r="A3173" t="n">
        <v>14060904</v>
      </c>
      <c r="B3173" t="n">
        <v>46716</v>
      </c>
      <c r="C3173" t="inlineStr">
        <is>
          <t>1406/09/04</t>
        </is>
      </c>
    </row>
    <row r="3174">
      <c r="A3174" t="n">
        <v>14060905</v>
      </c>
      <c r="B3174" t="n">
        <v>46717</v>
      </c>
      <c r="C3174" t="inlineStr">
        <is>
          <t>1406/09/05</t>
        </is>
      </c>
    </row>
    <row r="3175">
      <c r="A3175" t="n">
        <v>14060906</v>
      </c>
      <c r="B3175" t="n">
        <v>46718</v>
      </c>
      <c r="C3175" t="inlineStr">
        <is>
          <t>1406/09/06</t>
        </is>
      </c>
    </row>
    <row r="3176">
      <c r="A3176" t="n">
        <v>14060907</v>
      </c>
      <c r="B3176" t="n">
        <v>46719</v>
      </c>
      <c r="C3176" t="inlineStr">
        <is>
          <t>1406/09/07</t>
        </is>
      </c>
    </row>
    <row r="3177">
      <c r="A3177" t="n">
        <v>14060908</v>
      </c>
      <c r="B3177" t="n">
        <v>46720</v>
      </c>
      <c r="C3177" t="inlineStr">
        <is>
          <t>1406/09/08</t>
        </is>
      </c>
    </row>
    <row r="3178">
      <c r="A3178" t="n">
        <v>14060909</v>
      </c>
      <c r="B3178" t="n">
        <v>46721</v>
      </c>
      <c r="C3178" t="inlineStr">
        <is>
          <t>1406/09/09</t>
        </is>
      </c>
    </row>
    <row r="3179">
      <c r="A3179" t="n">
        <v>14060910</v>
      </c>
      <c r="B3179" t="n">
        <v>46722</v>
      </c>
      <c r="C3179" t="inlineStr">
        <is>
          <t>1406/09/10</t>
        </is>
      </c>
    </row>
    <row r="3180">
      <c r="A3180" t="n">
        <v>14060911</v>
      </c>
      <c r="B3180" t="n">
        <v>46723</v>
      </c>
      <c r="C3180" t="inlineStr">
        <is>
          <t>1406/09/11</t>
        </is>
      </c>
    </row>
    <row r="3181">
      <c r="A3181" t="n">
        <v>14060912</v>
      </c>
      <c r="B3181" t="n">
        <v>46724</v>
      </c>
      <c r="C3181" t="inlineStr">
        <is>
          <t>1406/09/12</t>
        </is>
      </c>
    </row>
    <row r="3182">
      <c r="A3182" t="n">
        <v>14060913</v>
      </c>
      <c r="B3182" t="n">
        <v>46725</v>
      </c>
      <c r="C3182" t="inlineStr">
        <is>
          <t>1406/09/13</t>
        </is>
      </c>
    </row>
    <row r="3183">
      <c r="A3183" t="n">
        <v>14060914</v>
      </c>
      <c r="B3183" t="n">
        <v>46726</v>
      </c>
      <c r="C3183" t="inlineStr">
        <is>
          <t>1406/09/14</t>
        </is>
      </c>
    </row>
    <row r="3184">
      <c r="A3184" t="n">
        <v>14060915</v>
      </c>
      <c r="B3184" t="n">
        <v>46727</v>
      </c>
      <c r="C3184" t="inlineStr">
        <is>
          <t>1406/09/15</t>
        </is>
      </c>
    </row>
    <row r="3185">
      <c r="A3185" t="n">
        <v>14060916</v>
      </c>
      <c r="B3185" t="n">
        <v>46728</v>
      </c>
      <c r="C3185" t="inlineStr">
        <is>
          <t>1406/09/16</t>
        </is>
      </c>
    </row>
    <row r="3186">
      <c r="A3186" t="n">
        <v>14060917</v>
      </c>
      <c r="B3186" t="n">
        <v>46729</v>
      </c>
      <c r="C3186" t="inlineStr">
        <is>
          <t>1406/09/17</t>
        </is>
      </c>
    </row>
    <row r="3187">
      <c r="A3187" t="n">
        <v>14060918</v>
      </c>
      <c r="B3187" t="n">
        <v>46730</v>
      </c>
      <c r="C3187" t="inlineStr">
        <is>
          <t>1406/09/18</t>
        </is>
      </c>
    </row>
    <row r="3188">
      <c r="A3188" t="n">
        <v>14060919</v>
      </c>
      <c r="B3188" t="n">
        <v>46731</v>
      </c>
      <c r="C3188" t="inlineStr">
        <is>
          <t>1406/09/19</t>
        </is>
      </c>
    </row>
    <row r="3189">
      <c r="A3189" t="n">
        <v>14060920</v>
      </c>
      <c r="B3189" t="n">
        <v>46732</v>
      </c>
      <c r="C3189" t="inlineStr">
        <is>
          <t>1406/09/20</t>
        </is>
      </c>
    </row>
    <row r="3190">
      <c r="A3190" t="n">
        <v>14060921</v>
      </c>
      <c r="B3190" t="n">
        <v>46733</v>
      </c>
      <c r="C3190" t="inlineStr">
        <is>
          <t>1406/09/21</t>
        </is>
      </c>
    </row>
    <row r="3191">
      <c r="A3191" t="n">
        <v>14060922</v>
      </c>
      <c r="B3191" t="n">
        <v>46734</v>
      </c>
      <c r="C3191" t="inlineStr">
        <is>
          <t>1406/09/22</t>
        </is>
      </c>
    </row>
    <row r="3192">
      <c r="A3192" t="n">
        <v>14060923</v>
      </c>
      <c r="B3192" t="n">
        <v>46735</v>
      </c>
      <c r="C3192" t="inlineStr">
        <is>
          <t>1406/09/23</t>
        </is>
      </c>
    </row>
    <row r="3193">
      <c r="A3193" t="n">
        <v>14060924</v>
      </c>
      <c r="B3193" t="n">
        <v>46736</v>
      </c>
      <c r="C3193" t="inlineStr">
        <is>
          <t>1406/09/24</t>
        </is>
      </c>
    </row>
    <row r="3194">
      <c r="A3194" t="n">
        <v>14060925</v>
      </c>
      <c r="B3194" t="n">
        <v>46737</v>
      </c>
      <c r="C3194" t="inlineStr">
        <is>
          <t>1406/09/25</t>
        </is>
      </c>
    </row>
    <row r="3195">
      <c r="A3195" t="n">
        <v>14060926</v>
      </c>
      <c r="B3195" t="n">
        <v>46738</v>
      </c>
      <c r="C3195" t="inlineStr">
        <is>
          <t>1406/09/26</t>
        </is>
      </c>
    </row>
    <row r="3196">
      <c r="A3196" t="n">
        <v>14060927</v>
      </c>
      <c r="B3196" t="n">
        <v>46739</v>
      </c>
      <c r="C3196" t="inlineStr">
        <is>
          <t>1406/09/27</t>
        </is>
      </c>
    </row>
    <row r="3197">
      <c r="A3197" t="n">
        <v>14060928</v>
      </c>
      <c r="B3197" t="n">
        <v>46740</v>
      </c>
      <c r="C3197" t="inlineStr">
        <is>
          <t>1406/09/28</t>
        </is>
      </c>
    </row>
    <row r="3198">
      <c r="A3198" t="n">
        <v>14060929</v>
      </c>
      <c r="B3198" t="n">
        <v>46741</v>
      </c>
      <c r="C3198" t="inlineStr">
        <is>
          <t>1406/09/29</t>
        </is>
      </c>
    </row>
    <row r="3199">
      <c r="A3199" t="n">
        <v>14060930</v>
      </c>
      <c r="B3199" t="n">
        <v>46742</v>
      </c>
      <c r="C3199" t="inlineStr">
        <is>
          <t>1406/09/30</t>
        </is>
      </c>
    </row>
    <row r="3200">
      <c r="A3200" t="n">
        <v>14061001</v>
      </c>
      <c r="B3200" t="n">
        <v>46743</v>
      </c>
      <c r="C3200" t="inlineStr">
        <is>
          <t>1406/10/01</t>
        </is>
      </c>
    </row>
    <row r="3201">
      <c r="A3201" t="n">
        <v>14061002</v>
      </c>
      <c r="B3201" t="n">
        <v>46744</v>
      </c>
      <c r="C3201" t="inlineStr">
        <is>
          <t>1406/10/02</t>
        </is>
      </c>
    </row>
    <row r="3202">
      <c r="A3202" t="n">
        <v>14061003</v>
      </c>
      <c r="B3202" t="n">
        <v>46745</v>
      </c>
      <c r="C3202" t="inlineStr">
        <is>
          <t>1406/10/03</t>
        </is>
      </c>
    </row>
    <row r="3203">
      <c r="A3203" t="n">
        <v>14061004</v>
      </c>
      <c r="B3203" t="n">
        <v>46746</v>
      </c>
      <c r="C3203" t="inlineStr">
        <is>
          <t>1406/10/04</t>
        </is>
      </c>
    </row>
    <row r="3204">
      <c r="A3204" t="n">
        <v>14061005</v>
      </c>
      <c r="B3204" t="n">
        <v>46747</v>
      </c>
      <c r="C3204" t="inlineStr">
        <is>
          <t>1406/10/05</t>
        </is>
      </c>
    </row>
    <row r="3205">
      <c r="A3205" t="n">
        <v>14061006</v>
      </c>
      <c r="B3205" t="n">
        <v>46748</v>
      </c>
      <c r="C3205" t="inlineStr">
        <is>
          <t>1406/10/06</t>
        </is>
      </c>
    </row>
    <row r="3206">
      <c r="A3206" t="n">
        <v>14061007</v>
      </c>
      <c r="B3206" t="n">
        <v>46749</v>
      </c>
      <c r="C3206" t="inlineStr">
        <is>
          <t>1406/10/07</t>
        </is>
      </c>
    </row>
    <row r="3207">
      <c r="A3207" t="n">
        <v>14061008</v>
      </c>
      <c r="B3207" t="n">
        <v>46750</v>
      </c>
      <c r="C3207" t="inlineStr">
        <is>
          <t>1406/10/08</t>
        </is>
      </c>
    </row>
    <row r="3208">
      <c r="A3208" t="n">
        <v>14061009</v>
      </c>
      <c r="B3208" t="n">
        <v>46751</v>
      </c>
      <c r="C3208" t="inlineStr">
        <is>
          <t>1406/10/09</t>
        </is>
      </c>
    </row>
    <row r="3209">
      <c r="A3209" t="n">
        <v>14061010</v>
      </c>
      <c r="B3209" t="n">
        <v>46752</v>
      </c>
      <c r="C3209" t="inlineStr">
        <is>
          <t>1406/10/10</t>
        </is>
      </c>
    </row>
    <row r="3210">
      <c r="A3210" t="n">
        <v>14061011</v>
      </c>
      <c r="B3210" t="n">
        <v>46753</v>
      </c>
      <c r="C3210" t="inlineStr">
        <is>
          <t>1406/10/11</t>
        </is>
      </c>
    </row>
    <row r="3211">
      <c r="A3211" t="n">
        <v>14061012</v>
      </c>
      <c r="B3211" t="n">
        <v>46754</v>
      </c>
      <c r="C3211" t="inlineStr">
        <is>
          <t>1406/10/12</t>
        </is>
      </c>
    </row>
    <row r="3212">
      <c r="A3212" t="n">
        <v>14061013</v>
      </c>
      <c r="B3212" t="n">
        <v>46755</v>
      </c>
      <c r="C3212" t="inlineStr">
        <is>
          <t>1406/10/13</t>
        </is>
      </c>
    </row>
    <row r="3213">
      <c r="A3213" t="n">
        <v>14061014</v>
      </c>
      <c r="B3213" t="n">
        <v>46756</v>
      </c>
      <c r="C3213" t="inlineStr">
        <is>
          <t>1406/10/14</t>
        </is>
      </c>
    </row>
    <row r="3214">
      <c r="A3214" t="n">
        <v>14061015</v>
      </c>
      <c r="B3214" t="n">
        <v>46757</v>
      </c>
      <c r="C3214" t="inlineStr">
        <is>
          <t>1406/10/15</t>
        </is>
      </c>
    </row>
    <row r="3215">
      <c r="A3215" t="n">
        <v>14061016</v>
      </c>
      <c r="B3215" t="n">
        <v>46758</v>
      </c>
      <c r="C3215" t="inlineStr">
        <is>
          <t>1406/10/16</t>
        </is>
      </c>
    </row>
    <row r="3216">
      <c r="A3216" t="n">
        <v>14061017</v>
      </c>
      <c r="B3216" t="n">
        <v>46759</v>
      </c>
      <c r="C3216" t="inlineStr">
        <is>
          <t>1406/10/17</t>
        </is>
      </c>
    </row>
    <row r="3217">
      <c r="A3217" t="n">
        <v>14061018</v>
      </c>
      <c r="B3217" t="n">
        <v>46760</v>
      </c>
      <c r="C3217" t="inlineStr">
        <is>
          <t>1406/10/18</t>
        </is>
      </c>
    </row>
    <row r="3218">
      <c r="A3218" t="n">
        <v>14061019</v>
      </c>
      <c r="B3218" t="n">
        <v>46761</v>
      </c>
      <c r="C3218" t="inlineStr">
        <is>
          <t>1406/10/19</t>
        </is>
      </c>
    </row>
    <row r="3219">
      <c r="A3219" t="n">
        <v>14061020</v>
      </c>
      <c r="B3219" t="n">
        <v>46762</v>
      </c>
      <c r="C3219" t="inlineStr">
        <is>
          <t>1406/10/20</t>
        </is>
      </c>
    </row>
    <row r="3220">
      <c r="A3220" t="n">
        <v>14061021</v>
      </c>
      <c r="B3220" t="n">
        <v>46763</v>
      </c>
      <c r="C3220" t="inlineStr">
        <is>
          <t>1406/10/21</t>
        </is>
      </c>
    </row>
    <row r="3221">
      <c r="A3221" t="n">
        <v>14061022</v>
      </c>
      <c r="B3221" t="n">
        <v>46764</v>
      </c>
      <c r="C3221" t="inlineStr">
        <is>
          <t>1406/10/22</t>
        </is>
      </c>
    </row>
    <row r="3222">
      <c r="A3222" t="n">
        <v>14061023</v>
      </c>
      <c r="B3222" t="n">
        <v>46765</v>
      </c>
      <c r="C3222" t="inlineStr">
        <is>
          <t>1406/10/23</t>
        </is>
      </c>
    </row>
    <row r="3223">
      <c r="A3223" t="n">
        <v>14061024</v>
      </c>
      <c r="B3223" t="n">
        <v>46766</v>
      </c>
      <c r="C3223" t="inlineStr">
        <is>
          <t>1406/10/24</t>
        </is>
      </c>
    </row>
    <row r="3224">
      <c r="A3224" t="n">
        <v>14061025</v>
      </c>
      <c r="B3224" t="n">
        <v>46767</v>
      </c>
      <c r="C3224" t="inlineStr">
        <is>
          <t>1406/10/25</t>
        </is>
      </c>
    </row>
    <row r="3225">
      <c r="A3225" t="n">
        <v>14061026</v>
      </c>
      <c r="B3225" t="n">
        <v>46768</v>
      </c>
      <c r="C3225" t="inlineStr">
        <is>
          <t>1406/10/26</t>
        </is>
      </c>
    </row>
    <row r="3226">
      <c r="A3226" t="n">
        <v>14061027</v>
      </c>
      <c r="B3226" t="n">
        <v>46769</v>
      </c>
      <c r="C3226" t="inlineStr">
        <is>
          <t>1406/10/27</t>
        </is>
      </c>
    </row>
    <row r="3227">
      <c r="A3227" t="n">
        <v>14061028</v>
      </c>
      <c r="B3227" t="n">
        <v>46770</v>
      </c>
      <c r="C3227" t="inlineStr">
        <is>
          <t>1406/10/28</t>
        </is>
      </c>
    </row>
    <row r="3228">
      <c r="A3228" t="n">
        <v>14061029</v>
      </c>
      <c r="B3228" t="n">
        <v>46771</v>
      </c>
      <c r="C3228" t="inlineStr">
        <is>
          <t>1406/10/29</t>
        </is>
      </c>
    </row>
    <row r="3229">
      <c r="A3229" t="n">
        <v>14061030</v>
      </c>
      <c r="B3229" t="n">
        <v>46772</v>
      </c>
      <c r="C3229" t="inlineStr">
        <is>
          <t>1406/10/30</t>
        </is>
      </c>
    </row>
    <row r="3230">
      <c r="A3230" t="n">
        <v>14061101</v>
      </c>
      <c r="B3230" t="n">
        <v>46773</v>
      </c>
      <c r="C3230" t="inlineStr">
        <is>
          <t>1406/11/01</t>
        </is>
      </c>
    </row>
    <row r="3231">
      <c r="A3231" t="n">
        <v>14061102</v>
      </c>
      <c r="B3231" t="n">
        <v>46774</v>
      </c>
      <c r="C3231" t="inlineStr">
        <is>
          <t>1406/11/02</t>
        </is>
      </c>
    </row>
    <row r="3232">
      <c r="A3232" t="n">
        <v>14061103</v>
      </c>
      <c r="B3232" t="n">
        <v>46775</v>
      </c>
      <c r="C3232" t="inlineStr">
        <is>
          <t>1406/11/03</t>
        </is>
      </c>
    </row>
    <row r="3233">
      <c r="A3233" t="n">
        <v>14061104</v>
      </c>
      <c r="B3233" t="n">
        <v>46776</v>
      </c>
      <c r="C3233" t="inlineStr">
        <is>
          <t>1406/11/04</t>
        </is>
      </c>
    </row>
    <row r="3234">
      <c r="A3234" t="n">
        <v>14061105</v>
      </c>
      <c r="B3234" t="n">
        <v>46777</v>
      </c>
      <c r="C3234" t="inlineStr">
        <is>
          <t>1406/11/05</t>
        </is>
      </c>
    </row>
    <row r="3235">
      <c r="A3235" t="n">
        <v>14061106</v>
      </c>
      <c r="B3235" t="n">
        <v>46778</v>
      </c>
      <c r="C3235" t="inlineStr">
        <is>
          <t>1406/11/06</t>
        </is>
      </c>
    </row>
    <row r="3236">
      <c r="A3236" t="n">
        <v>14061107</v>
      </c>
      <c r="B3236" t="n">
        <v>46779</v>
      </c>
      <c r="C3236" t="inlineStr">
        <is>
          <t>1406/11/07</t>
        </is>
      </c>
    </row>
    <row r="3237">
      <c r="A3237" t="n">
        <v>14061108</v>
      </c>
      <c r="B3237" t="n">
        <v>46780</v>
      </c>
      <c r="C3237" t="inlineStr">
        <is>
          <t>1406/11/08</t>
        </is>
      </c>
    </row>
    <row r="3238">
      <c r="A3238" t="n">
        <v>14061109</v>
      </c>
      <c r="B3238" t="n">
        <v>46781</v>
      </c>
      <c r="C3238" t="inlineStr">
        <is>
          <t>1406/11/09</t>
        </is>
      </c>
    </row>
    <row r="3239">
      <c r="A3239" t="n">
        <v>14061110</v>
      </c>
      <c r="B3239" t="n">
        <v>46782</v>
      </c>
      <c r="C3239" t="inlineStr">
        <is>
          <t>1406/11/10</t>
        </is>
      </c>
    </row>
    <row r="3240">
      <c r="A3240" t="n">
        <v>14061111</v>
      </c>
      <c r="B3240" t="n">
        <v>46783</v>
      </c>
      <c r="C3240" t="inlineStr">
        <is>
          <t>1406/11/11</t>
        </is>
      </c>
    </row>
    <row r="3241">
      <c r="A3241" t="n">
        <v>14061112</v>
      </c>
      <c r="B3241" t="n">
        <v>46784</v>
      </c>
      <c r="C3241" t="inlineStr">
        <is>
          <t>1406/11/12</t>
        </is>
      </c>
    </row>
    <row r="3242">
      <c r="A3242" t="n">
        <v>14061113</v>
      </c>
      <c r="B3242" t="n">
        <v>46785</v>
      </c>
      <c r="C3242" t="inlineStr">
        <is>
          <t>1406/11/13</t>
        </is>
      </c>
    </row>
    <row r="3243">
      <c r="A3243" t="n">
        <v>14061114</v>
      </c>
      <c r="B3243" t="n">
        <v>46786</v>
      </c>
      <c r="C3243" t="inlineStr">
        <is>
          <t>1406/11/14</t>
        </is>
      </c>
    </row>
    <row r="3244">
      <c r="A3244" t="n">
        <v>14061115</v>
      </c>
      <c r="B3244" t="n">
        <v>46787</v>
      </c>
      <c r="C3244" t="inlineStr">
        <is>
          <t>1406/11/15</t>
        </is>
      </c>
    </row>
    <row r="3245">
      <c r="A3245" t="n">
        <v>14061116</v>
      </c>
      <c r="B3245" t="n">
        <v>46788</v>
      </c>
      <c r="C3245" t="inlineStr">
        <is>
          <t>1406/11/16</t>
        </is>
      </c>
    </row>
    <row r="3246">
      <c r="A3246" t="n">
        <v>14061117</v>
      </c>
      <c r="B3246" t="n">
        <v>46789</v>
      </c>
      <c r="C3246" t="inlineStr">
        <is>
          <t>1406/11/17</t>
        </is>
      </c>
    </row>
    <row r="3247">
      <c r="A3247" t="n">
        <v>14061118</v>
      </c>
      <c r="B3247" t="n">
        <v>46790</v>
      </c>
      <c r="C3247" t="inlineStr">
        <is>
          <t>1406/11/18</t>
        </is>
      </c>
    </row>
    <row r="3248">
      <c r="A3248" t="n">
        <v>14061119</v>
      </c>
      <c r="B3248" t="n">
        <v>46791</v>
      </c>
      <c r="C3248" t="inlineStr">
        <is>
          <t>1406/11/19</t>
        </is>
      </c>
    </row>
    <row r="3249">
      <c r="A3249" t="n">
        <v>14061120</v>
      </c>
      <c r="B3249" t="n">
        <v>46792</v>
      </c>
      <c r="C3249" t="inlineStr">
        <is>
          <t>1406/11/20</t>
        </is>
      </c>
    </row>
    <row r="3250">
      <c r="A3250" t="n">
        <v>14061121</v>
      </c>
      <c r="B3250" t="n">
        <v>46793</v>
      </c>
      <c r="C3250" t="inlineStr">
        <is>
          <t>1406/11/21</t>
        </is>
      </c>
    </row>
    <row r="3251">
      <c r="A3251" t="n">
        <v>14061122</v>
      </c>
      <c r="B3251" t="n">
        <v>46794</v>
      </c>
      <c r="C3251" t="inlineStr">
        <is>
          <t>1406/11/22</t>
        </is>
      </c>
    </row>
    <row r="3252">
      <c r="A3252" t="n">
        <v>14061123</v>
      </c>
      <c r="B3252" t="n">
        <v>46795</v>
      </c>
      <c r="C3252" t="inlineStr">
        <is>
          <t>1406/11/23</t>
        </is>
      </c>
    </row>
    <row r="3253">
      <c r="A3253" t="n">
        <v>14061124</v>
      </c>
      <c r="B3253" t="n">
        <v>46796</v>
      </c>
      <c r="C3253" t="inlineStr">
        <is>
          <t>1406/11/24</t>
        </is>
      </c>
    </row>
    <row r="3254">
      <c r="A3254" t="n">
        <v>14061125</v>
      </c>
      <c r="B3254" t="n">
        <v>46797</v>
      </c>
      <c r="C3254" t="inlineStr">
        <is>
          <t>1406/11/25</t>
        </is>
      </c>
    </row>
    <row r="3255">
      <c r="A3255" t="n">
        <v>14061126</v>
      </c>
      <c r="B3255" t="n">
        <v>46798</v>
      </c>
      <c r="C3255" t="inlineStr">
        <is>
          <t>1406/11/26</t>
        </is>
      </c>
    </row>
    <row r="3256">
      <c r="A3256" t="n">
        <v>14061127</v>
      </c>
      <c r="B3256" t="n">
        <v>46799</v>
      </c>
      <c r="C3256" t="inlineStr">
        <is>
          <t>1406/11/27</t>
        </is>
      </c>
    </row>
    <row r="3257">
      <c r="A3257" t="n">
        <v>14061128</v>
      </c>
      <c r="B3257" t="n">
        <v>46800</v>
      </c>
      <c r="C3257" t="inlineStr">
        <is>
          <t>1406/11/28</t>
        </is>
      </c>
    </row>
    <row r="3258">
      <c r="A3258" t="n">
        <v>14061129</v>
      </c>
      <c r="B3258" t="n">
        <v>46801</v>
      </c>
      <c r="C3258" t="inlineStr">
        <is>
          <t>1406/11/29</t>
        </is>
      </c>
    </row>
    <row r="3259">
      <c r="A3259" t="n">
        <v>14061130</v>
      </c>
      <c r="B3259" t="n">
        <v>46802</v>
      </c>
      <c r="C3259" t="inlineStr">
        <is>
          <t>1406/11/30</t>
        </is>
      </c>
    </row>
    <row r="3260">
      <c r="A3260" t="n">
        <v>14061201</v>
      </c>
      <c r="B3260" t="n">
        <v>46803</v>
      </c>
      <c r="C3260" t="inlineStr">
        <is>
          <t>1406/12/01</t>
        </is>
      </c>
    </row>
    <row r="3261">
      <c r="A3261" t="n">
        <v>14061202</v>
      </c>
      <c r="B3261" t="n">
        <v>46804</v>
      </c>
      <c r="C3261" t="inlineStr">
        <is>
          <t>1406/12/02</t>
        </is>
      </c>
    </row>
    <row r="3262">
      <c r="A3262" t="n">
        <v>14061203</v>
      </c>
      <c r="B3262" t="n">
        <v>46805</v>
      </c>
      <c r="C3262" t="inlineStr">
        <is>
          <t>1406/12/03</t>
        </is>
      </c>
    </row>
    <row r="3263">
      <c r="A3263" t="n">
        <v>14061204</v>
      </c>
      <c r="B3263" t="n">
        <v>46806</v>
      </c>
      <c r="C3263" t="inlineStr">
        <is>
          <t>1406/12/04</t>
        </is>
      </c>
    </row>
    <row r="3264">
      <c r="A3264" t="n">
        <v>14061205</v>
      </c>
      <c r="B3264" t="n">
        <v>46807</v>
      </c>
      <c r="C3264" t="inlineStr">
        <is>
          <t>1406/12/05</t>
        </is>
      </c>
    </row>
    <row r="3265">
      <c r="A3265" t="n">
        <v>14061206</v>
      </c>
      <c r="B3265" t="n">
        <v>46808</v>
      </c>
      <c r="C3265" t="inlineStr">
        <is>
          <t>1406/12/06</t>
        </is>
      </c>
    </row>
    <row r="3266">
      <c r="A3266" t="n">
        <v>14061207</v>
      </c>
      <c r="B3266" t="n">
        <v>46809</v>
      </c>
      <c r="C3266" t="inlineStr">
        <is>
          <t>1406/12/07</t>
        </is>
      </c>
    </row>
    <row r="3267">
      <c r="A3267" t="n">
        <v>14061208</v>
      </c>
      <c r="B3267" t="n">
        <v>46810</v>
      </c>
      <c r="C3267" t="inlineStr">
        <is>
          <t>1406/12/08</t>
        </is>
      </c>
    </row>
    <row r="3268">
      <c r="A3268" t="n">
        <v>14061209</v>
      </c>
      <c r="B3268" t="n">
        <v>46811</v>
      </c>
      <c r="C3268" t="inlineStr">
        <is>
          <t>1406/12/09</t>
        </is>
      </c>
    </row>
    <row r="3269">
      <c r="A3269" t="n">
        <v>14061210</v>
      </c>
      <c r="B3269" t="n">
        <v>46812</v>
      </c>
      <c r="C3269" t="inlineStr">
        <is>
          <t>1406/12/10</t>
        </is>
      </c>
    </row>
    <row r="3270">
      <c r="A3270" t="n">
        <v>14061211</v>
      </c>
      <c r="B3270" t="n">
        <v>46813</v>
      </c>
      <c r="C3270" t="inlineStr">
        <is>
          <t>1406/12/11</t>
        </is>
      </c>
    </row>
    <row r="3271">
      <c r="A3271" t="n">
        <v>14061212</v>
      </c>
      <c r="B3271" t="n">
        <v>46814</v>
      </c>
      <c r="C3271" t="inlineStr">
        <is>
          <t>1406/12/12</t>
        </is>
      </c>
    </row>
    <row r="3272">
      <c r="A3272" t="n">
        <v>14061213</v>
      </c>
      <c r="B3272" t="n">
        <v>46815</v>
      </c>
      <c r="C3272" t="inlineStr">
        <is>
          <t>1406/12/13</t>
        </is>
      </c>
    </row>
    <row r="3273">
      <c r="A3273" t="n">
        <v>14061214</v>
      </c>
      <c r="B3273" t="n">
        <v>46816</v>
      </c>
      <c r="C3273" t="inlineStr">
        <is>
          <t>1406/12/14</t>
        </is>
      </c>
    </row>
    <row r="3274">
      <c r="A3274" t="n">
        <v>14061215</v>
      </c>
      <c r="B3274" t="n">
        <v>46817</v>
      </c>
      <c r="C3274" t="inlineStr">
        <is>
          <t>1406/12/15</t>
        </is>
      </c>
    </row>
    <row r="3275">
      <c r="A3275" t="n">
        <v>14061216</v>
      </c>
      <c r="B3275" t="n">
        <v>46818</v>
      </c>
      <c r="C3275" t="inlineStr">
        <is>
          <t>1406/12/16</t>
        </is>
      </c>
    </row>
    <row r="3276">
      <c r="A3276" t="n">
        <v>14061217</v>
      </c>
      <c r="B3276" t="n">
        <v>46819</v>
      </c>
      <c r="C3276" t="inlineStr">
        <is>
          <t>1406/12/17</t>
        </is>
      </c>
    </row>
    <row r="3277">
      <c r="A3277" t="n">
        <v>14061218</v>
      </c>
      <c r="B3277" t="n">
        <v>46820</v>
      </c>
      <c r="C3277" t="inlineStr">
        <is>
          <t>1406/12/18</t>
        </is>
      </c>
    </row>
    <row r="3278">
      <c r="A3278" t="n">
        <v>14061219</v>
      </c>
      <c r="B3278" t="n">
        <v>46821</v>
      </c>
      <c r="C3278" t="inlineStr">
        <is>
          <t>1406/12/19</t>
        </is>
      </c>
    </row>
    <row r="3279">
      <c r="A3279" t="n">
        <v>14061220</v>
      </c>
      <c r="B3279" t="n">
        <v>46822</v>
      </c>
      <c r="C3279" t="inlineStr">
        <is>
          <t>1406/12/20</t>
        </is>
      </c>
    </row>
    <row r="3280">
      <c r="A3280" t="n">
        <v>14061221</v>
      </c>
      <c r="B3280" t="n">
        <v>46823</v>
      </c>
      <c r="C3280" t="inlineStr">
        <is>
          <t>1406/12/21</t>
        </is>
      </c>
    </row>
    <row r="3281">
      <c r="A3281" t="n">
        <v>14061222</v>
      </c>
      <c r="B3281" t="n">
        <v>46824</v>
      </c>
      <c r="C3281" t="inlineStr">
        <is>
          <t>1406/12/22</t>
        </is>
      </c>
    </row>
    <row r="3282">
      <c r="A3282" t="n">
        <v>14061223</v>
      </c>
      <c r="B3282" t="n">
        <v>46825</v>
      </c>
      <c r="C3282" t="inlineStr">
        <is>
          <t>1406/12/23</t>
        </is>
      </c>
    </row>
    <row r="3283">
      <c r="A3283" t="n">
        <v>14061224</v>
      </c>
      <c r="B3283" t="n">
        <v>46826</v>
      </c>
      <c r="C3283" t="inlineStr">
        <is>
          <t>1406/12/24</t>
        </is>
      </c>
    </row>
    <row r="3284">
      <c r="A3284" t="n">
        <v>14061225</v>
      </c>
      <c r="B3284" t="n">
        <v>46827</v>
      </c>
      <c r="C3284" t="inlineStr">
        <is>
          <t>1406/12/25</t>
        </is>
      </c>
    </row>
    <row r="3285">
      <c r="A3285" t="n">
        <v>14061226</v>
      </c>
      <c r="B3285" t="n">
        <v>46828</v>
      </c>
      <c r="C3285" t="inlineStr">
        <is>
          <t>1406/12/26</t>
        </is>
      </c>
    </row>
    <row r="3286">
      <c r="A3286" t="n">
        <v>14061227</v>
      </c>
      <c r="B3286" t="n">
        <v>46829</v>
      </c>
      <c r="C3286" t="inlineStr">
        <is>
          <t>1406/12/27</t>
        </is>
      </c>
    </row>
    <row r="3287">
      <c r="A3287" t="n">
        <v>14061228</v>
      </c>
      <c r="B3287" t="n">
        <v>46830</v>
      </c>
      <c r="C3287" t="inlineStr">
        <is>
          <t>1406/12/28</t>
        </is>
      </c>
    </row>
    <row r="3288">
      <c r="A3288" t="n">
        <v>14061229</v>
      </c>
      <c r="B3288" t="n">
        <v>46831</v>
      </c>
      <c r="C3288" t="inlineStr">
        <is>
          <t>1406/12/29</t>
        </is>
      </c>
    </row>
    <row r="3289">
      <c r="A3289" t="n">
        <v>14070101</v>
      </c>
      <c r="B3289" t="n">
        <v>46832</v>
      </c>
      <c r="C3289" t="inlineStr">
        <is>
          <t>1407/01/01</t>
        </is>
      </c>
    </row>
    <row r="3290">
      <c r="A3290" t="n">
        <v>14070102</v>
      </c>
      <c r="B3290" t="n">
        <v>46833</v>
      </c>
      <c r="C3290" t="inlineStr">
        <is>
          <t>1407/01/02</t>
        </is>
      </c>
    </row>
    <row r="3291">
      <c r="A3291" t="n">
        <v>14070103</v>
      </c>
      <c r="B3291" t="n">
        <v>46834</v>
      </c>
      <c r="C3291" t="inlineStr">
        <is>
          <t>1407/01/03</t>
        </is>
      </c>
    </row>
    <row r="3292">
      <c r="A3292" t="n">
        <v>14070104</v>
      </c>
      <c r="B3292" t="n">
        <v>46835</v>
      </c>
      <c r="C3292" t="inlineStr">
        <is>
          <t>1407/01/04</t>
        </is>
      </c>
    </row>
    <row r="3293">
      <c r="A3293" t="n">
        <v>14070105</v>
      </c>
      <c r="B3293" t="n">
        <v>46836</v>
      </c>
      <c r="C3293" t="inlineStr">
        <is>
          <t>1407/01/05</t>
        </is>
      </c>
    </row>
    <row r="3294">
      <c r="A3294" t="n">
        <v>14070106</v>
      </c>
      <c r="B3294" t="n">
        <v>46837</v>
      </c>
      <c r="C3294" t="inlineStr">
        <is>
          <t>1407/01/06</t>
        </is>
      </c>
    </row>
    <row r="3295">
      <c r="A3295" t="n">
        <v>14070107</v>
      </c>
      <c r="B3295" t="n">
        <v>46838</v>
      </c>
      <c r="C3295" t="inlineStr">
        <is>
          <t>1407/01/07</t>
        </is>
      </c>
    </row>
    <row r="3296">
      <c r="A3296" t="n">
        <v>14070108</v>
      </c>
      <c r="B3296" t="n">
        <v>46839</v>
      </c>
      <c r="C3296" t="inlineStr">
        <is>
          <t>1407/01/08</t>
        </is>
      </c>
    </row>
    <row r="3297">
      <c r="A3297" t="n">
        <v>14070109</v>
      </c>
      <c r="B3297" t="n">
        <v>46840</v>
      </c>
      <c r="C3297" t="inlineStr">
        <is>
          <t>1407/01/09</t>
        </is>
      </c>
    </row>
    <row r="3298">
      <c r="A3298" t="n">
        <v>14070110</v>
      </c>
      <c r="B3298" t="n">
        <v>46841</v>
      </c>
      <c r="C3298" t="inlineStr">
        <is>
          <t>1407/01/10</t>
        </is>
      </c>
    </row>
    <row r="3299">
      <c r="A3299" t="n">
        <v>14070111</v>
      </c>
      <c r="B3299" t="n">
        <v>46842</v>
      </c>
      <c r="C3299" t="inlineStr">
        <is>
          <t>1407/01/11</t>
        </is>
      </c>
    </row>
    <row r="3300">
      <c r="A3300" t="n">
        <v>14070112</v>
      </c>
      <c r="B3300" t="n">
        <v>46843</v>
      </c>
      <c r="C3300" t="inlineStr">
        <is>
          <t>1407/01/12</t>
        </is>
      </c>
    </row>
    <row r="3301">
      <c r="A3301" t="n">
        <v>14070113</v>
      </c>
      <c r="B3301" t="n">
        <v>46844</v>
      </c>
      <c r="C3301" t="inlineStr">
        <is>
          <t>1407/01/13</t>
        </is>
      </c>
    </row>
    <row r="3302">
      <c r="A3302" t="n">
        <v>14070114</v>
      </c>
      <c r="B3302" t="n">
        <v>46845</v>
      </c>
      <c r="C3302" t="inlineStr">
        <is>
          <t>1407/01/14</t>
        </is>
      </c>
    </row>
    <row r="3303">
      <c r="A3303" t="n">
        <v>14070115</v>
      </c>
      <c r="B3303" t="n">
        <v>46846</v>
      </c>
      <c r="C3303" t="inlineStr">
        <is>
          <t>1407/01/15</t>
        </is>
      </c>
    </row>
    <row r="3304">
      <c r="A3304" t="n">
        <v>14070116</v>
      </c>
      <c r="B3304" t="n">
        <v>46847</v>
      </c>
      <c r="C3304" t="inlineStr">
        <is>
          <t>1407/01/16</t>
        </is>
      </c>
    </row>
    <row r="3305">
      <c r="A3305" t="n">
        <v>14070117</v>
      </c>
      <c r="B3305" t="n">
        <v>46848</v>
      </c>
      <c r="C3305" t="inlineStr">
        <is>
          <t>1407/01/17</t>
        </is>
      </c>
    </row>
    <row r="3306">
      <c r="A3306" t="n">
        <v>14070118</v>
      </c>
      <c r="B3306" t="n">
        <v>46849</v>
      </c>
      <c r="C3306" t="inlineStr">
        <is>
          <t>1407/01/18</t>
        </is>
      </c>
    </row>
    <row r="3307">
      <c r="A3307" t="n">
        <v>14070119</v>
      </c>
      <c r="B3307" t="n">
        <v>46850</v>
      </c>
      <c r="C3307" t="inlineStr">
        <is>
          <t>1407/01/19</t>
        </is>
      </c>
    </row>
    <row r="3308">
      <c r="A3308" t="n">
        <v>14070120</v>
      </c>
      <c r="B3308" t="n">
        <v>46851</v>
      </c>
      <c r="C3308" t="inlineStr">
        <is>
          <t>1407/01/20</t>
        </is>
      </c>
    </row>
    <row r="3309">
      <c r="A3309" t="n">
        <v>14070121</v>
      </c>
      <c r="B3309" t="n">
        <v>46852</v>
      </c>
      <c r="C3309" t="inlineStr">
        <is>
          <t>1407/01/21</t>
        </is>
      </c>
    </row>
    <row r="3310">
      <c r="A3310" t="n">
        <v>14070122</v>
      </c>
      <c r="B3310" t="n">
        <v>46853</v>
      </c>
      <c r="C3310" t="inlineStr">
        <is>
          <t>1407/01/22</t>
        </is>
      </c>
    </row>
    <row r="3311">
      <c r="A3311" t="n">
        <v>14070123</v>
      </c>
      <c r="B3311" t="n">
        <v>46854</v>
      </c>
      <c r="C3311" t="inlineStr">
        <is>
          <t>1407/01/23</t>
        </is>
      </c>
    </row>
    <row r="3312">
      <c r="A3312" t="n">
        <v>14070124</v>
      </c>
      <c r="B3312" t="n">
        <v>46855</v>
      </c>
      <c r="C3312" t="inlineStr">
        <is>
          <t>1407/01/24</t>
        </is>
      </c>
    </row>
    <row r="3313">
      <c r="A3313" t="n">
        <v>14070125</v>
      </c>
      <c r="B3313" t="n">
        <v>46856</v>
      </c>
      <c r="C3313" t="inlineStr">
        <is>
          <t>1407/01/25</t>
        </is>
      </c>
    </row>
    <row r="3314">
      <c r="A3314" t="n">
        <v>14070126</v>
      </c>
      <c r="B3314" t="n">
        <v>46857</v>
      </c>
      <c r="C3314" t="inlineStr">
        <is>
          <t>1407/01/26</t>
        </is>
      </c>
    </row>
    <row r="3315">
      <c r="A3315" t="n">
        <v>14070127</v>
      </c>
      <c r="B3315" t="n">
        <v>46858</v>
      </c>
      <c r="C3315" t="inlineStr">
        <is>
          <t>1407/01/27</t>
        </is>
      </c>
    </row>
    <row r="3316">
      <c r="A3316" t="n">
        <v>14070128</v>
      </c>
      <c r="B3316" t="n">
        <v>46859</v>
      </c>
      <c r="C3316" t="inlineStr">
        <is>
          <t>1407/01/28</t>
        </is>
      </c>
    </row>
    <row r="3317">
      <c r="A3317" t="n">
        <v>14070129</v>
      </c>
      <c r="B3317" t="n">
        <v>46860</v>
      </c>
      <c r="C3317" t="inlineStr">
        <is>
          <t>1407/01/29</t>
        </is>
      </c>
    </row>
    <row r="3318">
      <c r="A3318" t="n">
        <v>14070130</v>
      </c>
      <c r="B3318" t="n">
        <v>46861</v>
      </c>
      <c r="C3318" t="inlineStr">
        <is>
          <t>1407/01/30</t>
        </is>
      </c>
    </row>
    <row r="3319">
      <c r="A3319" t="n">
        <v>14070131</v>
      </c>
      <c r="B3319" t="n">
        <v>46862</v>
      </c>
      <c r="C3319" t="inlineStr">
        <is>
          <t>1407/01/31</t>
        </is>
      </c>
    </row>
    <row r="3320">
      <c r="A3320" t="n">
        <v>14070201</v>
      </c>
      <c r="B3320" t="n">
        <v>46863</v>
      </c>
      <c r="C3320" t="inlineStr">
        <is>
          <t>1407/02/01</t>
        </is>
      </c>
    </row>
    <row r="3321">
      <c r="A3321" t="n">
        <v>14070202</v>
      </c>
      <c r="B3321" t="n">
        <v>46864</v>
      </c>
      <c r="C3321" t="inlineStr">
        <is>
          <t>1407/02/02</t>
        </is>
      </c>
    </row>
    <row r="3322">
      <c r="A3322" t="n">
        <v>14070203</v>
      </c>
      <c r="B3322" t="n">
        <v>46865</v>
      </c>
      <c r="C3322" t="inlineStr">
        <is>
          <t>1407/02/03</t>
        </is>
      </c>
    </row>
    <row r="3323">
      <c r="A3323" t="n">
        <v>14070204</v>
      </c>
      <c r="B3323" t="n">
        <v>46866</v>
      </c>
      <c r="C3323" t="inlineStr">
        <is>
          <t>1407/02/04</t>
        </is>
      </c>
    </row>
    <row r="3324">
      <c r="A3324" t="n">
        <v>14070205</v>
      </c>
      <c r="B3324" t="n">
        <v>46867</v>
      </c>
      <c r="C3324" t="inlineStr">
        <is>
          <t>1407/02/05</t>
        </is>
      </c>
    </row>
    <row r="3325">
      <c r="A3325" t="n">
        <v>14070206</v>
      </c>
      <c r="B3325" t="n">
        <v>46868</v>
      </c>
      <c r="C3325" t="inlineStr">
        <is>
          <t>1407/02/06</t>
        </is>
      </c>
    </row>
    <row r="3326">
      <c r="A3326" t="n">
        <v>14070207</v>
      </c>
      <c r="B3326" t="n">
        <v>46869</v>
      </c>
      <c r="C3326" t="inlineStr">
        <is>
          <t>1407/02/07</t>
        </is>
      </c>
    </row>
    <row r="3327">
      <c r="A3327" t="n">
        <v>14070208</v>
      </c>
      <c r="B3327" t="n">
        <v>46870</v>
      </c>
      <c r="C3327" t="inlineStr">
        <is>
          <t>1407/02/08</t>
        </is>
      </c>
    </row>
    <row r="3328">
      <c r="A3328" t="n">
        <v>14070209</v>
      </c>
      <c r="B3328" t="n">
        <v>46871</v>
      </c>
      <c r="C3328" t="inlineStr">
        <is>
          <t>1407/02/09</t>
        </is>
      </c>
    </row>
    <row r="3329">
      <c r="A3329" t="n">
        <v>14070210</v>
      </c>
      <c r="B3329" t="n">
        <v>46872</v>
      </c>
      <c r="C3329" t="inlineStr">
        <is>
          <t>1407/02/10</t>
        </is>
      </c>
    </row>
    <row r="3330">
      <c r="A3330" t="n">
        <v>14070211</v>
      </c>
      <c r="B3330" t="n">
        <v>46873</v>
      </c>
      <c r="C3330" t="inlineStr">
        <is>
          <t>1407/02/11</t>
        </is>
      </c>
    </row>
    <row r="3331">
      <c r="A3331" t="n">
        <v>14070212</v>
      </c>
      <c r="B3331" t="n">
        <v>46874</v>
      </c>
      <c r="C3331" t="inlineStr">
        <is>
          <t>1407/02/12</t>
        </is>
      </c>
    </row>
    <row r="3332">
      <c r="A3332" t="n">
        <v>14070213</v>
      </c>
      <c r="B3332" t="n">
        <v>46875</v>
      </c>
      <c r="C3332" t="inlineStr">
        <is>
          <t>1407/02/13</t>
        </is>
      </c>
    </row>
    <row r="3333">
      <c r="A3333" t="n">
        <v>14070214</v>
      </c>
      <c r="B3333" t="n">
        <v>46876</v>
      </c>
      <c r="C3333" t="inlineStr">
        <is>
          <t>1407/02/14</t>
        </is>
      </c>
    </row>
    <row r="3334">
      <c r="A3334" t="n">
        <v>14070215</v>
      </c>
      <c r="B3334" t="n">
        <v>46877</v>
      </c>
      <c r="C3334" t="inlineStr">
        <is>
          <t>1407/02/15</t>
        </is>
      </c>
    </row>
    <row r="3335">
      <c r="A3335" t="n">
        <v>14070216</v>
      </c>
      <c r="B3335" t="n">
        <v>46878</v>
      </c>
      <c r="C3335" t="inlineStr">
        <is>
          <t>1407/02/16</t>
        </is>
      </c>
    </row>
    <row r="3336">
      <c r="A3336" t="n">
        <v>14070217</v>
      </c>
      <c r="B3336" t="n">
        <v>46879</v>
      </c>
      <c r="C3336" t="inlineStr">
        <is>
          <t>1407/02/17</t>
        </is>
      </c>
    </row>
    <row r="3337">
      <c r="A3337" t="n">
        <v>14070218</v>
      </c>
      <c r="B3337" t="n">
        <v>46880</v>
      </c>
      <c r="C3337" t="inlineStr">
        <is>
          <t>1407/02/18</t>
        </is>
      </c>
    </row>
    <row r="3338">
      <c r="A3338" t="n">
        <v>14070219</v>
      </c>
      <c r="B3338" t="n">
        <v>46881</v>
      </c>
      <c r="C3338" t="inlineStr">
        <is>
          <t>1407/02/19</t>
        </is>
      </c>
    </row>
    <row r="3339">
      <c r="A3339" t="n">
        <v>14070220</v>
      </c>
      <c r="B3339" t="n">
        <v>46882</v>
      </c>
      <c r="C3339" t="inlineStr">
        <is>
          <t>1407/02/20</t>
        </is>
      </c>
    </row>
    <row r="3340">
      <c r="A3340" t="n">
        <v>14070221</v>
      </c>
      <c r="B3340" t="n">
        <v>46883</v>
      </c>
      <c r="C3340" t="inlineStr">
        <is>
          <t>1407/02/21</t>
        </is>
      </c>
    </row>
    <row r="3341">
      <c r="A3341" t="n">
        <v>14070222</v>
      </c>
      <c r="B3341" t="n">
        <v>46884</v>
      </c>
      <c r="C3341" t="inlineStr">
        <is>
          <t>1407/02/22</t>
        </is>
      </c>
    </row>
    <row r="3342">
      <c r="A3342" t="n">
        <v>14070223</v>
      </c>
      <c r="B3342" t="n">
        <v>46885</v>
      </c>
      <c r="C3342" t="inlineStr">
        <is>
          <t>1407/02/23</t>
        </is>
      </c>
    </row>
    <row r="3343">
      <c r="A3343" t="n">
        <v>14070224</v>
      </c>
      <c r="B3343" t="n">
        <v>46886</v>
      </c>
      <c r="C3343" t="inlineStr">
        <is>
          <t>1407/02/24</t>
        </is>
      </c>
    </row>
    <row r="3344">
      <c r="A3344" t="n">
        <v>14070225</v>
      </c>
      <c r="B3344" t="n">
        <v>46887</v>
      </c>
      <c r="C3344" t="inlineStr">
        <is>
          <t>1407/02/25</t>
        </is>
      </c>
    </row>
    <row r="3345">
      <c r="A3345" t="n">
        <v>14070226</v>
      </c>
      <c r="B3345" t="n">
        <v>46888</v>
      </c>
      <c r="C3345" t="inlineStr">
        <is>
          <t>1407/02/26</t>
        </is>
      </c>
    </row>
    <row r="3346">
      <c r="A3346" t="n">
        <v>14070227</v>
      </c>
      <c r="B3346" t="n">
        <v>46889</v>
      </c>
      <c r="C3346" t="inlineStr">
        <is>
          <t>1407/02/27</t>
        </is>
      </c>
    </row>
    <row r="3347">
      <c r="A3347" t="n">
        <v>14070228</v>
      </c>
      <c r="B3347" t="n">
        <v>46890</v>
      </c>
      <c r="C3347" t="inlineStr">
        <is>
          <t>1407/02/28</t>
        </is>
      </c>
    </row>
    <row r="3348">
      <c r="A3348" t="n">
        <v>14070229</v>
      </c>
      <c r="B3348" t="n">
        <v>46891</v>
      </c>
      <c r="C3348" t="inlineStr">
        <is>
          <t>1407/02/29</t>
        </is>
      </c>
    </row>
    <row r="3349">
      <c r="A3349" t="n">
        <v>14070230</v>
      </c>
      <c r="B3349" t="n">
        <v>46892</v>
      </c>
      <c r="C3349" t="inlineStr">
        <is>
          <t>1407/02/30</t>
        </is>
      </c>
    </row>
    <row r="3350">
      <c r="A3350" t="n">
        <v>14070231</v>
      </c>
      <c r="B3350" t="n">
        <v>46893</v>
      </c>
      <c r="C3350" t="inlineStr">
        <is>
          <t>1407/02/31</t>
        </is>
      </c>
    </row>
    <row r="3351">
      <c r="A3351" t="n">
        <v>14070301</v>
      </c>
      <c r="B3351" t="n">
        <v>46894</v>
      </c>
      <c r="C3351" t="inlineStr">
        <is>
          <t>1407/03/01</t>
        </is>
      </c>
    </row>
    <row r="3352">
      <c r="A3352" t="n">
        <v>14070302</v>
      </c>
      <c r="B3352" t="n">
        <v>46895</v>
      </c>
      <c r="C3352" t="inlineStr">
        <is>
          <t>1407/03/02</t>
        </is>
      </c>
    </row>
    <row r="3353">
      <c r="A3353" t="n">
        <v>14070303</v>
      </c>
      <c r="B3353" t="n">
        <v>46896</v>
      </c>
      <c r="C3353" t="inlineStr">
        <is>
          <t>1407/03/03</t>
        </is>
      </c>
    </row>
    <row r="3354">
      <c r="A3354" t="n">
        <v>14070304</v>
      </c>
      <c r="B3354" t="n">
        <v>46897</v>
      </c>
      <c r="C3354" t="inlineStr">
        <is>
          <t>1407/03/04</t>
        </is>
      </c>
    </row>
    <row r="3355">
      <c r="A3355" t="n">
        <v>14070305</v>
      </c>
      <c r="B3355" t="n">
        <v>46898</v>
      </c>
      <c r="C3355" t="inlineStr">
        <is>
          <t>1407/03/05</t>
        </is>
      </c>
    </row>
    <row r="3356">
      <c r="A3356" t="n">
        <v>14070306</v>
      </c>
      <c r="B3356" t="n">
        <v>46899</v>
      </c>
      <c r="C3356" t="inlineStr">
        <is>
          <t>1407/03/06</t>
        </is>
      </c>
    </row>
    <row r="3357">
      <c r="A3357" t="n">
        <v>14070307</v>
      </c>
      <c r="B3357" t="n">
        <v>46900</v>
      </c>
      <c r="C3357" t="inlineStr">
        <is>
          <t>1407/03/07</t>
        </is>
      </c>
    </row>
    <row r="3358">
      <c r="A3358" t="n">
        <v>14070308</v>
      </c>
      <c r="B3358" t="n">
        <v>46901</v>
      </c>
      <c r="C3358" t="inlineStr">
        <is>
          <t>1407/03/08</t>
        </is>
      </c>
    </row>
    <row r="3359">
      <c r="A3359" t="n">
        <v>14070309</v>
      </c>
      <c r="B3359" t="n">
        <v>46902</v>
      </c>
      <c r="C3359" t="inlineStr">
        <is>
          <t>1407/03/09</t>
        </is>
      </c>
    </row>
    <row r="3360">
      <c r="A3360" t="n">
        <v>14070310</v>
      </c>
      <c r="B3360" t="n">
        <v>46903</v>
      </c>
      <c r="C3360" t="inlineStr">
        <is>
          <t>1407/03/10</t>
        </is>
      </c>
    </row>
    <row r="3361">
      <c r="A3361" t="n">
        <v>14070311</v>
      </c>
      <c r="B3361" t="n">
        <v>46904</v>
      </c>
      <c r="C3361" t="inlineStr">
        <is>
          <t>1407/03/11</t>
        </is>
      </c>
    </row>
    <row r="3362">
      <c r="A3362" t="n">
        <v>14070312</v>
      </c>
      <c r="B3362" t="n">
        <v>46905</v>
      </c>
      <c r="C3362" t="inlineStr">
        <is>
          <t>1407/03/12</t>
        </is>
      </c>
    </row>
    <row r="3363">
      <c r="A3363" t="n">
        <v>14070313</v>
      </c>
      <c r="B3363" t="n">
        <v>46906</v>
      </c>
      <c r="C3363" t="inlineStr">
        <is>
          <t>1407/03/13</t>
        </is>
      </c>
    </row>
    <row r="3364">
      <c r="A3364" t="n">
        <v>14070314</v>
      </c>
      <c r="B3364" t="n">
        <v>46907</v>
      </c>
      <c r="C3364" t="inlineStr">
        <is>
          <t>1407/03/14</t>
        </is>
      </c>
    </row>
    <row r="3365">
      <c r="A3365" t="n">
        <v>14070315</v>
      </c>
      <c r="B3365" t="n">
        <v>46908</v>
      </c>
      <c r="C3365" t="inlineStr">
        <is>
          <t>1407/03/15</t>
        </is>
      </c>
    </row>
    <row r="3366">
      <c r="A3366" t="n">
        <v>14070316</v>
      </c>
      <c r="B3366" t="n">
        <v>46909</v>
      </c>
      <c r="C3366" t="inlineStr">
        <is>
          <t>1407/03/16</t>
        </is>
      </c>
    </row>
    <row r="3367">
      <c r="A3367" t="n">
        <v>14070317</v>
      </c>
      <c r="B3367" t="n">
        <v>46910</v>
      </c>
      <c r="C3367" t="inlineStr">
        <is>
          <t>1407/03/17</t>
        </is>
      </c>
    </row>
    <row r="3368">
      <c r="A3368" t="n">
        <v>14070318</v>
      </c>
      <c r="B3368" t="n">
        <v>46911</v>
      </c>
      <c r="C3368" t="inlineStr">
        <is>
          <t>1407/03/18</t>
        </is>
      </c>
    </row>
    <row r="3369">
      <c r="A3369" t="n">
        <v>14070319</v>
      </c>
      <c r="B3369" t="n">
        <v>46912</v>
      </c>
      <c r="C3369" t="inlineStr">
        <is>
          <t>1407/03/19</t>
        </is>
      </c>
    </row>
    <row r="3370">
      <c r="A3370" t="n">
        <v>14070320</v>
      </c>
      <c r="B3370" t="n">
        <v>46913</v>
      </c>
      <c r="C3370" t="inlineStr">
        <is>
          <t>1407/03/20</t>
        </is>
      </c>
    </row>
    <row r="3371">
      <c r="A3371" t="n">
        <v>14070321</v>
      </c>
      <c r="B3371" t="n">
        <v>46914</v>
      </c>
      <c r="C3371" t="inlineStr">
        <is>
          <t>1407/03/21</t>
        </is>
      </c>
    </row>
    <row r="3372">
      <c r="A3372" t="n">
        <v>14070322</v>
      </c>
      <c r="B3372" t="n">
        <v>46915</v>
      </c>
      <c r="C3372" t="inlineStr">
        <is>
          <t>1407/03/22</t>
        </is>
      </c>
    </row>
    <row r="3373">
      <c r="A3373" t="n">
        <v>14070323</v>
      </c>
      <c r="B3373" t="n">
        <v>46916</v>
      </c>
      <c r="C3373" t="inlineStr">
        <is>
          <t>1407/03/23</t>
        </is>
      </c>
    </row>
    <row r="3374">
      <c r="A3374" t="n">
        <v>14070324</v>
      </c>
      <c r="B3374" t="n">
        <v>46917</v>
      </c>
      <c r="C3374" t="inlineStr">
        <is>
          <t>1407/03/24</t>
        </is>
      </c>
    </row>
    <row r="3375">
      <c r="A3375" t="n">
        <v>14070325</v>
      </c>
      <c r="B3375" t="n">
        <v>46918</v>
      </c>
      <c r="C3375" t="inlineStr">
        <is>
          <t>1407/03/25</t>
        </is>
      </c>
    </row>
    <row r="3376">
      <c r="A3376" t="n">
        <v>14070326</v>
      </c>
      <c r="B3376" t="n">
        <v>46919</v>
      </c>
      <c r="C3376" t="inlineStr">
        <is>
          <t>1407/03/26</t>
        </is>
      </c>
    </row>
    <row r="3377">
      <c r="A3377" t="n">
        <v>14070327</v>
      </c>
      <c r="B3377" t="n">
        <v>46920</v>
      </c>
      <c r="C3377" t="inlineStr">
        <is>
          <t>1407/03/27</t>
        </is>
      </c>
    </row>
    <row r="3378">
      <c r="A3378" t="n">
        <v>14070328</v>
      </c>
      <c r="B3378" t="n">
        <v>46921</v>
      </c>
      <c r="C3378" t="inlineStr">
        <is>
          <t>1407/03/28</t>
        </is>
      </c>
    </row>
    <row r="3379">
      <c r="A3379" t="n">
        <v>14070329</v>
      </c>
      <c r="B3379" t="n">
        <v>46922</v>
      </c>
      <c r="C3379" t="inlineStr">
        <is>
          <t>1407/03/29</t>
        </is>
      </c>
    </row>
    <row r="3380">
      <c r="A3380" t="n">
        <v>14070330</v>
      </c>
      <c r="B3380" t="n">
        <v>46923</v>
      </c>
      <c r="C3380" t="inlineStr">
        <is>
          <t>1407/03/30</t>
        </is>
      </c>
    </row>
    <row r="3381">
      <c r="A3381" t="n">
        <v>14070331</v>
      </c>
      <c r="B3381" t="n">
        <v>46924</v>
      </c>
      <c r="C3381" t="inlineStr">
        <is>
          <t>1407/03/31</t>
        </is>
      </c>
    </row>
    <row r="3382">
      <c r="A3382" t="n">
        <v>14070401</v>
      </c>
      <c r="B3382" t="n">
        <v>46925</v>
      </c>
      <c r="C3382" t="inlineStr">
        <is>
          <t>1407/04/01</t>
        </is>
      </c>
    </row>
    <row r="3383">
      <c r="A3383" t="n">
        <v>14070402</v>
      </c>
      <c r="B3383" t="n">
        <v>46926</v>
      </c>
      <c r="C3383" t="inlineStr">
        <is>
          <t>1407/04/02</t>
        </is>
      </c>
    </row>
    <row r="3384">
      <c r="A3384" t="n">
        <v>14070403</v>
      </c>
      <c r="B3384" t="n">
        <v>46927</v>
      </c>
      <c r="C3384" t="inlineStr">
        <is>
          <t>1407/04/03</t>
        </is>
      </c>
    </row>
    <row r="3385">
      <c r="A3385" t="n">
        <v>14070404</v>
      </c>
      <c r="B3385" t="n">
        <v>46928</v>
      </c>
      <c r="C3385" t="inlineStr">
        <is>
          <t>1407/04/04</t>
        </is>
      </c>
    </row>
    <row r="3386">
      <c r="A3386" t="n">
        <v>14070405</v>
      </c>
      <c r="B3386" t="n">
        <v>46929</v>
      </c>
      <c r="C3386" t="inlineStr">
        <is>
          <t>1407/04/05</t>
        </is>
      </c>
    </row>
    <row r="3387">
      <c r="A3387" t="n">
        <v>14070406</v>
      </c>
      <c r="B3387" t="n">
        <v>46930</v>
      </c>
      <c r="C3387" t="inlineStr">
        <is>
          <t>1407/04/06</t>
        </is>
      </c>
    </row>
    <row r="3388">
      <c r="A3388" t="n">
        <v>14070407</v>
      </c>
      <c r="B3388" t="n">
        <v>46931</v>
      </c>
      <c r="C3388" t="inlineStr">
        <is>
          <t>1407/04/07</t>
        </is>
      </c>
    </row>
    <row r="3389">
      <c r="A3389" t="n">
        <v>14070408</v>
      </c>
      <c r="B3389" t="n">
        <v>46932</v>
      </c>
      <c r="C3389" t="inlineStr">
        <is>
          <t>1407/04/08</t>
        </is>
      </c>
    </row>
    <row r="3390">
      <c r="A3390" t="n">
        <v>14070409</v>
      </c>
      <c r="B3390" t="n">
        <v>46933</v>
      </c>
      <c r="C3390" t="inlineStr">
        <is>
          <t>1407/04/09</t>
        </is>
      </c>
    </row>
    <row r="3391">
      <c r="A3391" t="n">
        <v>14070410</v>
      </c>
      <c r="B3391" t="n">
        <v>46934</v>
      </c>
      <c r="C3391" t="inlineStr">
        <is>
          <t>1407/04/10</t>
        </is>
      </c>
    </row>
    <row r="3392">
      <c r="A3392" t="n">
        <v>14070411</v>
      </c>
      <c r="B3392" t="n">
        <v>46935</v>
      </c>
      <c r="C3392" t="inlineStr">
        <is>
          <t>1407/04/11</t>
        </is>
      </c>
    </row>
    <row r="3393">
      <c r="A3393" t="n">
        <v>14070412</v>
      </c>
      <c r="B3393" t="n">
        <v>46936</v>
      </c>
      <c r="C3393" t="inlineStr">
        <is>
          <t>1407/04/12</t>
        </is>
      </c>
    </row>
    <row r="3394">
      <c r="A3394" t="n">
        <v>14070413</v>
      </c>
      <c r="B3394" t="n">
        <v>46937</v>
      </c>
      <c r="C3394" t="inlineStr">
        <is>
          <t>1407/04/13</t>
        </is>
      </c>
    </row>
    <row r="3395">
      <c r="A3395" t="n">
        <v>14070414</v>
      </c>
      <c r="B3395" t="n">
        <v>46938</v>
      </c>
      <c r="C3395" t="inlineStr">
        <is>
          <t>1407/04/14</t>
        </is>
      </c>
    </row>
    <row r="3396">
      <c r="A3396" t="n">
        <v>14070415</v>
      </c>
      <c r="B3396" t="n">
        <v>46939</v>
      </c>
      <c r="C3396" t="inlineStr">
        <is>
          <t>1407/04/15</t>
        </is>
      </c>
    </row>
    <row r="3397">
      <c r="A3397" t="n">
        <v>14070416</v>
      </c>
      <c r="B3397" t="n">
        <v>46940</v>
      </c>
      <c r="C3397" t="inlineStr">
        <is>
          <t>1407/04/16</t>
        </is>
      </c>
    </row>
    <row r="3398">
      <c r="A3398" t="n">
        <v>14070417</v>
      </c>
      <c r="B3398" t="n">
        <v>46941</v>
      </c>
      <c r="C3398" t="inlineStr">
        <is>
          <t>1407/04/17</t>
        </is>
      </c>
    </row>
    <row r="3399">
      <c r="A3399" t="n">
        <v>14070418</v>
      </c>
      <c r="B3399" t="n">
        <v>46942</v>
      </c>
      <c r="C3399" t="inlineStr">
        <is>
          <t>1407/04/18</t>
        </is>
      </c>
    </row>
    <row r="3400">
      <c r="A3400" t="n">
        <v>14070419</v>
      </c>
      <c r="B3400" t="n">
        <v>46943</v>
      </c>
      <c r="C3400" t="inlineStr">
        <is>
          <t>1407/04/19</t>
        </is>
      </c>
    </row>
    <row r="3401">
      <c r="A3401" t="n">
        <v>14070420</v>
      </c>
      <c r="B3401" t="n">
        <v>46944</v>
      </c>
      <c r="C3401" t="inlineStr">
        <is>
          <t>1407/04/20</t>
        </is>
      </c>
    </row>
    <row r="3402">
      <c r="A3402" t="n">
        <v>14070421</v>
      </c>
      <c r="B3402" t="n">
        <v>46945</v>
      </c>
      <c r="C3402" t="inlineStr">
        <is>
          <t>1407/04/21</t>
        </is>
      </c>
    </row>
    <row r="3403">
      <c r="A3403" t="n">
        <v>14070422</v>
      </c>
      <c r="B3403" t="n">
        <v>46946</v>
      </c>
      <c r="C3403" t="inlineStr">
        <is>
          <t>1407/04/22</t>
        </is>
      </c>
    </row>
    <row r="3404">
      <c r="A3404" t="n">
        <v>14070423</v>
      </c>
      <c r="B3404" t="n">
        <v>46947</v>
      </c>
      <c r="C3404" t="inlineStr">
        <is>
          <t>1407/04/23</t>
        </is>
      </c>
    </row>
    <row r="3405">
      <c r="A3405" t="n">
        <v>14070424</v>
      </c>
      <c r="B3405" t="n">
        <v>46948</v>
      </c>
      <c r="C3405" t="inlineStr">
        <is>
          <t>1407/04/24</t>
        </is>
      </c>
    </row>
    <row r="3406">
      <c r="A3406" t="n">
        <v>14070425</v>
      </c>
      <c r="B3406" t="n">
        <v>46949</v>
      </c>
      <c r="C3406" t="inlineStr">
        <is>
          <t>1407/04/25</t>
        </is>
      </c>
    </row>
    <row r="3407">
      <c r="A3407" t="n">
        <v>14070426</v>
      </c>
      <c r="B3407" t="n">
        <v>46950</v>
      </c>
      <c r="C3407" t="inlineStr">
        <is>
          <t>1407/04/26</t>
        </is>
      </c>
    </row>
    <row r="3408">
      <c r="A3408" t="n">
        <v>14070427</v>
      </c>
      <c r="B3408" t="n">
        <v>46951</v>
      </c>
      <c r="C3408" t="inlineStr">
        <is>
          <t>1407/04/27</t>
        </is>
      </c>
    </row>
    <row r="3409">
      <c r="A3409" t="n">
        <v>14070428</v>
      </c>
      <c r="B3409" t="n">
        <v>46952</v>
      </c>
      <c r="C3409" t="inlineStr">
        <is>
          <t>1407/04/28</t>
        </is>
      </c>
    </row>
    <row r="3410">
      <c r="A3410" t="n">
        <v>14070429</v>
      </c>
      <c r="B3410" t="n">
        <v>46953</v>
      </c>
      <c r="C3410" t="inlineStr">
        <is>
          <t>1407/04/29</t>
        </is>
      </c>
    </row>
    <row r="3411">
      <c r="A3411" t="n">
        <v>14070430</v>
      </c>
      <c r="B3411" t="n">
        <v>46954</v>
      </c>
      <c r="C3411" t="inlineStr">
        <is>
          <t>1407/04/30</t>
        </is>
      </c>
    </row>
    <row r="3412">
      <c r="A3412" t="n">
        <v>14070431</v>
      </c>
      <c r="B3412" t="n">
        <v>46955</v>
      </c>
      <c r="C3412" t="inlineStr">
        <is>
          <t>1407/04/31</t>
        </is>
      </c>
    </row>
    <row r="3413">
      <c r="A3413" t="n">
        <v>14070501</v>
      </c>
      <c r="B3413" t="n">
        <v>46956</v>
      </c>
      <c r="C3413" t="inlineStr">
        <is>
          <t>1407/05/01</t>
        </is>
      </c>
    </row>
    <row r="3414">
      <c r="A3414" t="n">
        <v>14070502</v>
      </c>
      <c r="B3414" t="n">
        <v>46957</v>
      </c>
      <c r="C3414" t="inlineStr">
        <is>
          <t>1407/05/02</t>
        </is>
      </c>
    </row>
    <row r="3415">
      <c r="A3415" t="n">
        <v>14070503</v>
      </c>
      <c r="B3415" t="n">
        <v>46958</v>
      </c>
      <c r="C3415" t="inlineStr">
        <is>
          <t>1407/05/03</t>
        </is>
      </c>
    </row>
    <row r="3416">
      <c r="A3416" t="n">
        <v>14070504</v>
      </c>
      <c r="B3416" t="n">
        <v>46959</v>
      </c>
      <c r="C3416" t="inlineStr">
        <is>
          <t>1407/05/04</t>
        </is>
      </c>
    </row>
    <row r="3417">
      <c r="A3417" t="n">
        <v>14070505</v>
      </c>
      <c r="B3417" t="n">
        <v>46960</v>
      </c>
      <c r="C3417" t="inlineStr">
        <is>
          <t>1407/05/05</t>
        </is>
      </c>
    </row>
    <row r="3418">
      <c r="A3418" t="n">
        <v>14070506</v>
      </c>
      <c r="B3418" t="n">
        <v>46961</v>
      </c>
      <c r="C3418" t="inlineStr">
        <is>
          <t>1407/05/06</t>
        </is>
      </c>
    </row>
    <row r="3419">
      <c r="A3419" t="n">
        <v>14070507</v>
      </c>
      <c r="B3419" t="n">
        <v>46962</v>
      </c>
      <c r="C3419" t="inlineStr">
        <is>
          <t>1407/05/07</t>
        </is>
      </c>
    </row>
    <row r="3420">
      <c r="A3420" t="n">
        <v>14070508</v>
      </c>
      <c r="B3420" t="n">
        <v>46963</v>
      </c>
      <c r="C3420" t="inlineStr">
        <is>
          <t>1407/05/08</t>
        </is>
      </c>
    </row>
    <row r="3421">
      <c r="A3421" t="n">
        <v>14070509</v>
      </c>
      <c r="B3421" t="n">
        <v>46964</v>
      </c>
      <c r="C3421" t="inlineStr">
        <is>
          <t>1407/05/09</t>
        </is>
      </c>
    </row>
    <row r="3422">
      <c r="A3422" t="n">
        <v>14070510</v>
      </c>
      <c r="B3422" t="n">
        <v>46965</v>
      </c>
      <c r="C3422" t="inlineStr">
        <is>
          <t>1407/05/10</t>
        </is>
      </c>
    </row>
    <row r="3423">
      <c r="A3423" t="n">
        <v>14070511</v>
      </c>
      <c r="B3423" t="n">
        <v>46966</v>
      </c>
      <c r="C3423" t="inlineStr">
        <is>
          <t>1407/05/11</t>
        </is>
      </c>
    </row>
    <row r="3424">
      <c r="A3424" t="n">
        <v>14070512</v>
      </c>
      <c r="B3424" t="n">
        <v>46967</v>
      </c>
      <c r="C3424" t="inlineStr">
        <is>
          <t>1407/05/12</t>
        </is>
      </c>
    </row>
    <row r="3425">
      <c r="A3425" t="n">
        <v>14070513</v>
      </c>
      <c r="B3425" t="n">
        <v>46968</v>
      </c>
      <c r="C3425" t="inlineStr">
        <is>
          <t>1407/05/13</t>
        </is>
      </c>
    </row>
    <row r="3426">
      <c r="A3426" t="n">
        <v>14070514</v>
      </c>
      <c r="B3426" t="n">
        <v>46969</v>
      </c>
      <c r="C3426" t="inlineStr">
        <is>
          <t>1407/05/14</t>
        </is>
      </c>
    </row>
    <row r="3427">
      <c r="A3427" t="n">
        <v>14070515</v>
      </c>
      <c r="B3427" t="n">
        <v>46970</v>
      </c>
      <c r="C3427" t="inlineStr">
        <is>
          <t>1407/05/15</t>
        </is>
      </c>
    </row>
    <row r="3428">
      <c r="A3428" t="n">
        <v>14070516</v>
      </c>
      <c r="B3428" t="n">
        <v>46971</v>
      </c>
      <c r="C3428" t="inlineStr">
        <is>
          <t>1407/05/16</t>
        </is>
      </c>
    </row>
    <row r="3429">
      <c r="A3429" t="n">
        <v>14070517</v>
      </c>
      <c r="B3429" t="n">
        <v>46972</v>
      </c>
      <c r="C3429" t="inlineStr">
        <is>
          <t>1407/05/17</t>
        </is>
      </c>
    </row>
    <row r="3430">
      <c r="A3430" t="n">
        <v>14070518</v>
      </c>
      <c r="B3430" t="n">
        <v>46973</v>
      </c>
      <c r="C3430" t="inlineStr">
        <is>
          <t>1407/05/18</t>
        </is>
      </c>
    </row>
    <row r="3431">
      <c r="A3431" t="n">
        <v>14070519</v>
      </c>
      <c r="B3431" t="n">
        <v>46974</v>
      </c>
      <c r="C3431" t="inlineStr">
        <is>
          <t>1407/05/19</t>
        </is>
      </c>
    </row>
    <row r="3432">
      <c r="A3432" t="n">
        <v>14070520</v>
      </c>
      <c r="B3432" t="n">
        <v>46975</v>
      </c>
      <c r="C3432" t="inlineStr">
        <is>
          <t>1407/05/20</t>
        </is>
      </c>
    </row>
    <row r="3433">
      <c r="A3433" t="n">
        <v>14070521</v>
      </c>
      <c r="B3433" t="n">
        <v>46976</v>
      </c>
      <c r="C3433" t="inlineStr">
        <is>
          <t>1407/05/21</t>
        </is>
      </c>
    </row>
    <row r="3434">
      <c r="A3434" t="n">
        <v>14070522</v>
      </c>
      <c r="B3434" t="n">
        <v>46977</v>
      </c>
      <c r="C3434" t="inlineStr">
        <is>
          <t>1407/05/22</t>
        </is>
      </c>
    </row>
    <row r="3435">
      <c r="A3435" t="n">
        <v>14070523</v>
      </c>
      <c r="B3435" t="n">
        <v>46978</v>
      </c>
      <c r="C3435" t="inlineStr">
        <is>
          <t>1407/05/23</t>
        </is>
      </c>
    </row>
    <row r="3436">
      <c r="A3436" t="n">
        <v>14070524</v>
      </c>
      <c r="B3436" t="n">
        <v>46979</v>
      </c>
      <c r="C3436" t="inlineStr">
        <is>
          <t>1407/05/24</t>
        </is>
      </c>
    </row>
    <row r="3437">
      <c r="A3437" t="n">
        <v>14070525</v>
      </c>
      <c r="B3437" t="n">
        <v>46980</v>
      </c>
      <c r="C3437" t="inlineStr">
        <is>
          <t>1407/05/25</t>
        </is>
      </c>
    </row>
    <row r="3438">
      <c r="A3438" t="n">
        <v>14070526</v>
      </c>
      <c r="B3438" t="n">
        <v>46981</v>
      </c>
      <c r="C3438" t="inlineStr">
        <is>
          <t>1407/05/26</t>
        </is>
      </c>
    </row>
    <row r="3439">
      <c r="A3439" t="n">
        <v>14070527</v>
      </c>
      <c r="B3439" t="n">
        <v>46982</v>
      </c>
      <c r="C3439" t="inlineStr">
        <is>
          <t>1407/05/27</t>
        </is>
      </c>
    </row>
    <row r="3440">
      <c r="A3440" t="n">
        <v>14070528</v>
      </c>
      <c r="B3440" t="n">
        <v>46983</v>
      </c>
      <c r="C3440" t="inlineStr">
        <is>
          <t>1407/05/28</t>
        </is>
      </c>
    </row>
    <row r="3441">
      <c r="A3441" t="n">
        <v>14070529</v>
      </c>
      <c r="B3441" t="n">
        <v>46984</v>
      </c>
      <c r="C3441" t="inlineStr">
        <is>
          <t>1407/05/29</t>
        </is>
      </c>
    </row>
    <row r="3442">
      <c r="A3442" t="n">
        <v>14070530</v>
      </c>
      <c r="B3442" t="n">
        <v>46985</v>
      </c>
      <c r="C3442" t="inlineStr">
        <is>
          <t>1407/05/30</t>
        </is>
      </c>
    </row>
    <row r="3443">
      <c r="A3443" t="n">
        <v>14070531</v>
      </c>
      <c r="B3443" t="n">
        <v>46986</v>
      </c>
      <c r="C3443" t="inlineStr">
        <is>
          <t>1407/05/31</t>
        </is>
      </c>
    </row>
    <row r="3444">
      <c r="A3444" t="n">
        <v>14070601</v>
      </c>
      <c r="B3444" t="n">
        <v>46987</v>
      </c>
      <c r="C3444" t="inlineStr">
        <is>
          <t>1407/06/01</t>
        </is>
      </c>
    </row>
    <row r="3445">
      <c r="A3445" t="n">
        <v>14070602</v>
      </c>
      <c r="B3445" t="n">
        <v>46988</v>
      </c>
      <c r="C3445" t="inlineStr">
        <is>
          <t>1407/06/02</t>
        </is>
      </c>
    </row>
    <row r="3446">
      <c r="A3446" t="n">
        <v>14070603</v>
      </c>
      <c r="B3446" t="n">
        <v>46989</v>
      </c>
      <c r="C3446" t="inlineStr">
        <is>
          <t>1407/06/03</t>
        </is>
      </c>
    </row>
    <row r="3447">
      <c r="A3447" t="n">
        <v>14070604</v>
      </c>
      <c r="B3447" t="n">
        <v>46990</v>
      </c>
      <c r="C3447" t="inlineStr">
        <is>
          <t>1407/06/04</t>
        </is>
      </c>
    </row>
    <row r="3448">
      <c r="A3448" t="n">
        <v>14070605</v>
      </c>
      <c r="B3448" t="n">
        <v>46991</v>
      </c>
      <c r="C3448" t="inlineStr">
        <is>
          <t>1407/06/05</t>
        </is>
      </c>
    </row>
    <row r="3449">
      <c r="A3449" t="n">
        <v>14070606</v>
      </c>
      <c r="B3449" t="n">
        <v>46992</v>
      </c>
      <c r="C3449" t="inlineStr">
        <is>
          <t>1407/06/06</t>
        </is>
      </c>
    </row>
    <row r="3450">
      <c r="A3450" t="n">
        <v>14070607</v>
      </c>
      <c r="B3450" t="n">
        <v>46993</v>
      </c>
      <c r="C3450" t="inlineStr">
        <is>
          <t>1407/06/07</t>
        </is>
      </c>
    </row>
    <row r="3451">
      <c r="A3451" t="n">
        <v>14070608</v>
      </c>
      <c r="B3451" t="n">
        <v>46994</v>
      </c>
      <c r="C3451" t="inlineStr">
        <is>
          <t>1407/06/08</t>
        </is>
      </c>
    </row>
    <row r="3452">
      <c r="A3452" t="n">
        <v>14070609</v>
      </c>
      <c r="B3452" t="n">
        <v>46995</v>
      </c>
      <c r="C3452" t="inlineStr">
        <is>
          <t>1407/06/09</t>
        </is>
      </c>
    </row>
    <row r="3453">
      <c r="A3453" t="n">
        <v>14070610</v>
      </c>
      <c r="B3453" t="n">
        <v>46996</v>
      </c>
      <c r="C3453" t="inlineStr">
        <is>
          <t>1407/06/10</t>
        </is>
      </c>
    </row>
    <row r="3454">
      <c r="A3454" t="n">
        <v>14070611</v>
      </c>
      <c r="B3454" t="n">
        <v>46997</v>
      </c>
      <c r="C3454" t="inlineStr">
        <is>
          <t>1407/06/11</t>
        </is>
      </c>
    </row>
    <row r="3455">
      <c r="A3455" t="n">
        <v>14070612</v>
      </c>
      <c r="B3455" t="n">
        <v>46998</v>
      </c>
      <c r="C3455" t="inlineStr">
        <is>
          <t>1407/06/12</t>
        </is>
      </c>
    </row>
    <row r="3456">
      <c r="A3456" t="n">
        <v>14070613</v>
      </c>
      <c r="B3456" t="n">
        <v>46999</v>
      </c>
      <c r="C3456" t="inlineStr">
        <is>
          <t>1407/06/13</t>
        </is>
      </c>
    </row>
    <row r="3457">
      <c r="A3457" t="n">
        <v>14070614</v>
      </c>
      <c r="B3457" t="n">
        <v>47000</v>
      </c>
      <c r="C3457" t="inlineStr">
        <is>
          <t>1407/06/14</t>
        </is>
      </c>
    </row>
    <row r="3458">
      <c r="A3458" t="n">
        <v>14070615</v>
      </c>
      <c r="B3458" t="n">
        <v>47001</v>
      </c>
      <c r="C3458" t="inlineStr">
        <is>
          <t>1407/06/15</t>
        </is>
      </c>
    </row>
    <row r="3459">
      <c r="A3459" t="n">
        <v>14070616</v>
      </c>
      <c r="B3459" t="n">
        <v>47002</v>
      </c>
      <c r="C3459" t="inlineStr">
        <is>
          <t>1407/06/16</t>
        </is>
      </c>
    </row>
    <row r="3460">
      <c r="A3460" t="n">
        <v>14070617</v>
      </c>
      <c r="B3460" t="n">
        <v>47003</v>
      </c>
      <c r="C3460" t="inlineStr">
        <is>
          <t>1407/06/17</t>
        </is>
      </c>
    </row>
    <row r="3461">
      <c r="A3461" t="n">
        <v>14070618</v>
      </c>
      <c r="B3461" t="n">
        <v>47004</v>
      </c>
      <c r="C3461" t="inlineStr">
        <is>
          <t>1407/06/18</t>
        </is>
      </c>
    </row>
    <row r="3462">
      <c r="A3462" t="n">
        <v>14070619</v>
      </c>
      <c r="B3462" t="n">
        <v>47005</v>
      </c>
      <c r="C3462" t="inlineStr">
        <is>
          <t>1407/06/19</t>
        </is>
      </c>
    </row>
    <row r="3463">
      <c r="A3463" t="n">
        <v>14070620</v>
      </c>
      <c r="B3463" t="n">
        <v>47006</v>
      </c>
      <c r="C3463" t="inlineStr">
        <is>
          <t>1407/06/20</t>
        </is>
      </c>
    </row>
    <row r="3464">
      <c r="A3464" t="n">
        <v>14070621</v>
      </c>
      <c r="B3464" t="n">
        <v>47007</v>
      </c>
      <c r="C3464" t="inlineStr">
        <is>
          <t>1407/06/21</t>
        </is>
      </c>
    </row>
    <row r="3465">
      <c r="A3465" t="n">
        <v>14070622</v>
      </c>
      <c r="B3465" t="n">
        <v>47008</v>
      </c>
      <c r="C3465" t="inlineStr">
        <is>
          <t>1407/06/22</t>
        </is>
      </c>
    </row>
    <row r="3466">
      <c r="A3466" t="n">
        <v>14070623</v>
      </c>
      <c r="B3466" t="n">
        <v>47009</v>
      </c>
      <c r="C3466" t="inlineStr">
        <is>
          <t>1407/06/23</t>
        </is>
      </c>
    </row>
    <row r="3467">
      <c r="A3467" t="n">
        <v>14070624</v>
      </c>
      <c r="B3467" t="n">
        <v>47010</v>
      </c>
      <c r="C3467" t="inlineStr">
        <is>
          <t>1407/06/24</t>
        </is>
      </c>
    </row>
    <row r="3468">
      <c r="A3468" t="n">
        <v>14070625</v>
      </c>
      <c r="B3468" t="n">
        <v>47011</v>
      </c>
      <c r="C3468" t="inlineStr">
        <is>
          <t>1407/06/25</t>
        </is>
      </c>
    </row>
    <row r="3469">
      <c r="A3469" t="n">
        <v>14070626</v>
      </c>
      <c r="B3469" t="n">
        <v>47012</v>
      </c>
      <c r="C3469" t="inlineStr">
        <is>
          <t>1407/06/26</t>
        </is>
      </c>
    </row>
    <row r="3470">
      <c r="A3470" t="n">
        <v>14070627</v>
      </c>
      <c r="B3470" t="n">
        <v>47013</v>
      </c>
      <c r="C3470" t="inlineStr">
        <is>
          <t>1407/06/27</t>
        </is>
      </c>
    </row>
    <row r="3471">
      <c r="A3471" t="n">
        <v>14070628</v>
      </c>
      <c r="B3471" t="n">
        <v>47014</v>
      </c>
      <c r="C3471" t="inlineStr">
        <is>
          <t>1407/06/28</t>
        </is>
      </c>
    </row>
    <row r="3472">
      <c r="A3472" t="n">
        <v>14070629</v>
      </c>
      <c r="B3472" t="n">
        <v>47015</v>
      </c>
      <c r="C3472" t="inlineStr">
        <is>
          <t>1407/06/29</t>
        </is>
      </c>
    </row>
    <row r="3473">
      <c r="A3473" t="n">
        <v>14070630</v>
      </c>
      <c r="B3473" t="n">
        <v>47016</v>
      </c>
      <c r="C3473" t="inlineStr">
        <is>
          <t>1407/06/30</t>
        </is>
      </c>
    </row>
    <row r="3474">
      <c r="A3474" t="n">
        <v>14070631</v>
      </c>
      <c r="B3474" t="n">
        <v>47017</v>
      </c>
      <c r="C3474" t="inlineStr">
        <is>
          <t>1407/06/31</t>
        </is>
      </c>
    </row>
    <row r="3475">
      <c r="A3475" t="n">
        <v>14070701</v>
      </c>
      <c r="B3475" t="n">
        <v>47018</v>
      </c>
      <c r="C3475" t="inlineStr">
        <is>
          <t>1407/07/01</t>
        </is>
      </c>
    </row>
    <row r="3476">
      <c r="A3476" t="n">
        <v>14070702</v>
      </c>
      <c r="B3476" t="n">
        <v>47019</v>
      </c>
      <c r="C3476" t="inlineStr">
        <is>
          <t>1407/07/02</t>
        </is>
      </c>
    </row>
    <row r="3477">
      <c r="A3477" t="n">
        <v>14070703</v>
      </c>
      <c r="B3477" t="n">
        <v>47020</v>
      </c>
      <c r="C3477" t="inlineStr">
        <is>
          <t>1407/07/03</t>
        </is>
      </c>
    </row>
    <row r="3478">
      <c r="A3478" t="n">
        <v>14070704</v>
      </c>
      <c r="B3478" t="n">
        <v>47021</v>
      </c>
      <c r="C3478" t="inlineStr">
        <is>
          <t>1407/07/04</t>
        </is>
      </c>
    </row>
    <row r="3479">
      <c r="A3479" t="n">
        <v>14070705</v>
      </c>
      <c r="B3479" t="n">
        <v>47022</v>
      </c>
      <c r="C3479" t="inlineStr">
        <is>
          <t>1407/07/05</t>
        </is>
      </c>
    </row>
    <row r="3480">
      <c r="A3480" t="n">
        <v>14070706</v>
      </c>
      <c r="B3480" t="n">
        <v>47023</v>
      </c>
      <c r="C3480" t="inlineStr">
        <is>
          <t>1407/07/06</t>
        </is>
      </c>
    </row>
    <row r="3481">
      <c r="A3481" t="n">
        <v>14070707</v>
      </c>
      <c r="B3481" t="n">
        <v>47024</v>
      </c>
      <c r="C3481" t="inlineStr">
        <is>
          <t>1407/07/07</t>
        </is>
      </c>
    </row>
    <row r="3482">
      <c r="A3482" t="n">
        <v>14070708</v>
      </c>
      <c r="B3482" t="n">
        <v>47025</v>
      </c>
      <c r="C3482" t="inlineStr">
        <is>
          <t>1407/07/08</t>
        </is>
      </c>
    </row>
    <row r="3483">
      <c r="A3483" t="n">
        <v>14070709</v>
      </c>
      <c r="B3483" t="n">
        <v>47026</v>
      </c>
      <c r="C3483" t="inlineStr">
        <is>
          <t>1407/07/09</t>
        </is>
      </c>
    </row>
    <row r="3484">
      <c r="A3484" t="n">
        <v>14070710</v>
      </c>
      <c r="B3484" t="n">
        <v>47027</v>
      </c>
      <c r="C3484" t="inlineStr">
        <is>
          <t>1407/07/10</t>
        </is>
      </c>
    </row>
    <row r="3485">
      <c r="A3485" t="n">
        <v>14070711</v>
      </c>
      <c r="B3485" t="n">
        <v>47028</v>
      </c>
      <c r="C3485" t="inlineStr">
        <is>
          <t>1407/07/11</t>
        </is>
      </c>
    </row>
    <row r="3486">
      <c r="A3486" t="n">
        <v>14070712</v>
      </c>
      <c r="B3486" t="n">
        <v>47029</v>
      </c>
      <c r="C3486" t="inlineStr">
        <is>
          <t>1407/07/12</t>
        </is>
      </c>
    </row>
    <row r="3487">
      <c r="A3487" t="n">
        <v>14070713</v>
      </c>
      <c r="B3487" t="n">
        <v>47030</v>
      </c>
      <c r="C3487" t="inlineStr">
        <is>
          <t>1407/07/13</t>
        </is>
      </c>
    </row>
    <row r="3488">
      <c r="A3488" t="n">
        <v>14070714</v>
      </c>
      <c r="B3488" t="n">
        <v>47031</v>
      </c>
      <c r="C3488" t="inlineStr">
        <is>
          <t>1407/07/14</t>
        </is>
      </c>
    </row>
    <row r="3489">
      <c r="A3489" t="n">
        <v>14070715</v>
      </c>
      <c r="B3489" t="n">
        <v>47032</v>
      </c>
      <c r="C3489" t="inlineStr">
        <is>
          <t>1407/07/15</t>
        </is>
      </c>
    </row>
    <row r="3490">
      <c r="A3490" t="n">
        <v>14070716</v>
      </c>
      <c r="B3490" t="n">
        <v>47033</v>
      </c>
      <c r="C3490" t="inlineStr">
        <is>
          <t>1407/07/16</t>
        </is>
      </c>
    </row>
    <row r="3491">
      <c r="A3491" t="n">
        <v>14070717</v>
      </c>
      <c r="B3491" t="n">
        <v>47034</v>
      </c>
      <c r="C3491" t="inlineStr">
        <is>
          <t>1407/07/17</t>
        </is>
      </c>
    </row>
    <row r="3492">
      <c r="A3492" t="n">
        <v>14070718</v>
      </c>
      <c r="B3492" t="n">
        <v>47035</v>
      </c>
      <c r="C3492" t="inlineStr">
        <is>
          <t>1407/07/18</t>
        </is>
      </c>
    </row>
    <row r="3493">
      <c r="A3493" t="n">
        <v>14070719</v>
      </c>
      <c r="B3493" t="n">
        <v>47036</v>
      </c>
      <c r="C3493" t="inlineStr">
        <is>
          <t>1407/07/19</t>
        </is>
      </c>
    </row>
    <row r="3494">
      <c r="A3494" t="n">
        <v>14070720</v>
      </c>
      <c r="B3494" t="n">
        <v>47037</v>
      </c>
      <c r="C3494" t="inlineStr">
        <is>
          <t>1407/07/20</t>
        </is>
      </c>
    </row>
    <row r="3495">
      <c r="A3495" t="n">
        <v>14070721</v>
      </c>
      <c r="B3495" t="n">
        <v>47038</v>
      </c>
      <c r="C3495" t="inlineStr">
        <is>
          <t>1407/07/21</t>
        </is>
      </c>
    </row>
    <row r="3496">
      <c r="A3496" t="n">
        <v>14070722</v>
      </c>
      <c r="B3496" t="n">
        <v>47039</v>
      </c>
      <c r="C3496" t="inlineStr">
        <is>
          <t>1407/07/22</t>
        </is>
      </c>
    </row>
    <row r="3497">
      <c r="A3497" t="n">
        <v>14070723</v>
      </c>
      <c r="B3497" t="n">
        <v>47040</v>
      </c>
      <c r="C3497" t="inlineStr">
        <is>
          <t>1407/07/23</t>
        </is>
      </c>
    </row>
    <row r="3498">
      <c r="A3498" t="n">
        <v>14070724</v>
      </c>
      <c r="B3498" t="n">
        <v>47041</v>
      </c>
      <c r="C3498" t="inlineStr">
        <is>
          <t>1407/07/24</t>
        </is>
      </c>
    </row>
    <row r="3499">
      <c r="A3499" t="n">
        <v>14070725</v>
      </c>
      <c r="B3499" t="n">
        <v>47042</v>
      </c>
      <c r="C3499" t="inlineStr">
        <is>
          <t>1407/07/25</t>
        </is>
      </c>
    </row>
    <row r="3500">
      <c r="A3500" t="n">
        <v>14070726</v>
      </c>
      <c r="B3500" t="n">
        <v>47043</v>
      </c>
      <c r="C3500" t="inlineStr">
        <is>
          <t>1407/07/26</t>
        </is>
      </c>
    </row>
    <row r="3501">
      <c r="A3501" t="n">
        <v>14070727</v>
      </c>
      <c r="B3501" t="n">
        <v>47044</v>
      </c>
      <c r="C3501" t="inlineStr">
        <is>
          <t>1407/07/27</t>
        </is>
      </c>
    </row>
    <row r="3502">
      <c r="A3502" t="n">
        <v>14070728</v>
      </c>
      <c r="B3502" t="n">
        <v>47045</v>
      </c>
      <c r="C3502" t="inlineStr">
        <is>
          <t>1407/07/28</t>
        </is>
      </c>
    </row>
    <row r="3503">
      <c r="A3503" t="n">
        <v>14070729</v>
      </c>
      <c r="B3503" t="n">
        <v>47046</v>
      </c>
      <c r="C3503" t="inlineStr">
        <is>
          <t>1407/07/29</t>
        </is>
      </c>
    </row>
    <row r="3504">
      <c r="A3504" t="n">
        <v>14070730</v>
      </c>
      <c r="B3504" t="n">
        <v>47047</v>
      </c>
      <c r="C3504" t="inlineStr">
        <is>
          <t>1407/07/30</t>
        </is>
      </c>
    </row>
    <row r="3505">
      <c r="A3505" t="n">
        <v>14070801</v>
      </c>
      <c r="B3505" t="n">
        <v>47048</v>
      </c>
      <c r="C3505" t="inlineStr">
        <is>
          <t>1407/08/01</t>
        </is>
      </c>
    </row>
    <row r="3506">
      <c r="A3506" t="n">
        <v>14070802</v>
      </c>
      <c r="B3506" t="n">
        <v>47049</v>
      </c>
      <c r="C3506" t="inlineStr">
        <is>
          <t>1407/08/02</t>
        </is>
      </c>
    </row>
    <row r="3507">
      <c r="A3507" t="n">
        <v>14070803</v>
      </c>
      <c r="B3507" t="n">
        <v>47050</v>
      </c>
      <c r="C3507" t="inlineStr">
        <is>
          <t>1407/08/03</t>
        </is>
      </c>
    </row>
    <row r="3508">
      <c r="A3508" t="n">
        <v>14070804</v>
      </c>
      <c r="B3508" t="n">
        <v>47051</v>
      </c>
      <c r="C3508" t="inlineStr">
        <is>
          <t>1407/08/04</t>
        </is>
      </c>
    </row>
    <row r="3509">
      <c r="A3509" t="n">
        <v>14070805</v>
      </c>
      <c r="B3509" t="n">
        <v>47052</v>
      </c>
      <c r="C3509" t="inlineStr">
        <is>
          <t>1407/08/05</t>
        </is>
      </c>
    </row>
    <row r="3510">
      <c r="A3510" t="n">
        <v>14070806</v>
      </c>
      <c r="B3510" t="n">
        <v>47053</v>
      </c>
      <c r="C3510" t="inlineStr">
        <is>
          <t>1407/08/06</t>
        </is>
      </c>
    </row>
    <row r="3511">
      <c r="A3511" t="n">
        <v>14070807</v>
      </c>
      <c r="B3511" t="n">
        <v>47054</v>
      </c>
      <c r="C3511" t="inlineStr">
        <is>
          <t>1407/08/07</t>
        </is>
      </c>
    </row>
    <row r="3512">
      <c r="A3512" t="n">
        <v>14070808</v>
      </c>
      <c r="B3512" t="n">
        <v>47055</v>
      </c>
      <c r="C3512" t="inlineStr">
        <is>
          <t>1407/08/08</t>
        </is>
      </c>
    </row>
    <row r="3513">
      <c r="A3513" t="n">
        <v>14070809</v>
      </c>
      <c r="B3513" t="n">
        <v>47056</v>
      </c>
      <c r="C3513" t="inlineStr">
        <is>
          <t>1407/08/09</t>
        </is>
      </c>
    </row>
    <row r="3514">
      <c r="A3514" t="n">
        <v>14070810</v>
      </c>
      <c r="B3514" t="n">
        <v>47057</v>
      </c>
      <c r="C3514" t="inlineStr">
        <is>
          <t>1407/08/10</t>
        </is>
      </c>
    </row>
    <row r="3515">
      <c r="A3515" t="n">
        <v>14070811</v>
      </c>
      <c r="B3515" t="n">
        <v>47058</v>
      </c>
      <c r="C3515" t="inlineStr">
        <is>
          <t>1407/08/11</t>
        </is>
      </c>
    </row>
    <row r="3516">
      <c r="A3516" t="n">
        <v>14070812</v>
      </c>
      <c r="B3516" t="n">
        <v>47059</v>
      </c>
      <c r="C3516" t="inlineStr">
        <is>
          <t>1407/08/12</t>
        </is>
      </c>
    </row>
    <row r="3517">
      <c r="A3517" t="n">
        <v>14070813</v>
      </c>
      <c r="B3517" t="n">
        <v>47060</v>
      </c>
      <c r="C3517" t="inlineStr">
        <is>
          <t>1407/08/13</t>
        </is>
      </c>
    </row>
    <row r="3518">
      <c r="A3518" t="n">
        <v>14070814</v>
      </c>
      <c r="B3518" t="n">
        <v>47061</v>
      </c>
      <c r="C3518" t="inlineStr">
        <is>
          <t>1407/08/14</t>
        </is>
      </c>
    </row>
    <row r="3519">
      <c r="A3519" t="n">
        <v>14070815</v>
      </c>
      <c r="B3519" t="n">
        <v>47062</v>
      </c>
      <c r="C3519" t="inlineStr">
        <is>
          <t>1407/08/15</t>
        </is>
      </c>
    </row>
    <row r="3520">
      <c r="A3520" t="n">
        <v>14070816</v>
      </c>
      <c r="B3520" t="n">
        <v>47063</v>
      </c>
      <c r="C3520" t="inlineStr">
        <is>
          <t>1407/08/16</t>
        </is>
      </c>
    </row>
    <row r="3521">
      <c r="A3521" t="n">
        <v>14070817</v>
      </c>
      <c r="B3521" t="n">
        <v>47064</v>
      </c>
      <c r="C3521" t="inlineStr">
        <is>
          <t>1407/08/17</t>
        </is>
      </c>
    </row>
    <row r="3522">
      <c r="A3522" t="n">
        <v>14070818</v>
      </c>
      <c r="B3522" t="n">
        <v>47065</v>
      </c>
      <c r="C3522" t="inlineStr">
        <is>
          <t>1407/08/18</t>
        </is>
      </c>
    </row>
    <row r="3523">
      <c r="A3523" t="n">
        <v>14070819</v>
      </c>
      <c r="B3523" t="n">
        <v>47066</v>
      </c>
      <c r="C3523" t="inlineStr">
        <is>
          <t>1407/08/19</t>
        </is>
      </c>
    </row>
    <row r="3524">
      <c r="A3524" t="n">
        <v>14070820</v>
      </c>
      <c r="B3524" t="n">
        <v>47067</v>
      </c>
      <c r="C3524" t="inlineStr">
        <is>
          <t>1407/08/20</t>
        </is>
      </c>
    </row>
    <row r="3525">
      <c r="A3525" t="n">
        <v>14070821</v>
      </c>
      <c r="B3525" t="n">
        <v>47068</v>
      </c>
      <c r="C3525" t="inlineStr">
        <is>
          <t>1407/08/21</t>
        </is>
      </c>
    </row>
    <row r="3526">
      <c r="A3526" t="n">
        <v>14070822</v>
      </c>
      <c r="B3526" t="n">
        <v>47069</v>
      </c>
      <c r="C3526" t="inlineStr">
        <is>
          <t>1407/08/22</t>
        </is>
      </c>
    </row>
    <row r="3527">
      <c r="A3527" t="n">
        <v>14070823</v>
      </c>
      <c r="B3527" t="n">
        <v>47070</v>
      </c>
      <c r="C3527" t="inlineStr">
        <is>
          <t>1407/08/23</t>
        </is>
      </c>
    </row>
    <row r="3528">
      <c r="A3528" t="n">
        <v>14070824</v>
      </c>
      <c r="B3528" t="n">
        <v>47071</v>
      </c>
      <c r="C3528" t="inlineStr">
        <is>
          <t>1407/08/24</t>
        </is>
      </c>
    </row>
    <row r="3529">
      <c r="A3529" t="n">
        <v>14070825</v>
      </c>
      <c r="B3529" t="n">
        <v>47072</v>
      </c>
      <c r="C3529" t="inlineStr">
        <is>
          <t>1407/08/25</t>
        </is>
      </c>
    </row>
    <row r="3530">
      <c r="A3530" t="n">
        <v>14070826</v>
      </c>
      <c r="B3530" t="n">
        <v>47073</v>
      </c>
      <c r="C3530" t="inlineStr">
        <is>
          <t>1407/08/26</t>
        </is>
      </c>
    </row>
    <row r="3531">
      <c r="A3531" t="n">
        <v>14070827</v>
      </c>
      <c r="B3531" t="n">
        <v>47074</v>
      </c>
      <c r="C3531" t="inlineStr">
        <is>
          <t>1407/08/27</t>
        </is>
      </c>
    </row>
    <row r="3532">
      <c r="A3532" t="n">
        <v>14070828</v>
      </c>
      <c r="B3532" t="n">
        <v>47075</v>
      </c>
      <c r="C3532" t="inlineStr">
        <is>
          <t>1407/08/28</t>
        </is>
      </c>
    </row>
    <row r="3533">
      <c r="A3533" t="n">
        <v>14070829</v>
      </c>
      <c r="B3533" t="n">
        <v>47076</v>
      </c>
      <c r="C3533" t="inlineStr">
        <is>
          <t>1407/08/29</t>
        </is>
      </c>
    </row>
    <row r="3534">
      <c r="A3534" t="n">
        <v>14070830</v>
      </c>
      <c r="B3534" t="n">
        <v>47077</v>
      </c>
      <c r="C3534" t="inlineStr">
        <is>
          <t>1407/08/30</t>
        </is>
      </c>
    </row>
    <row r="3535">
      <c r="A3535" t="n">
        <v>14070901</v>
      </c>
      <c r="B3535" t="n">
        <v>47078</v>
      </c>
      <c r="C3535" t="inlineStr">
        <is>
          <t>1407/09/01</t>
        </is>
      </c>
    </row>
    <row r="3536">
      <c r="A3536" t="n">
        <v>14070902</v>
      </c>
      <c r="B3536" t="n">
        <v>47079</v>
      </c>
      <c r="C3536" t="inlineStr">
        <is>
          <t>1407/09/02</t>
        </is>
      </c>
    </row>
    <row r="3537">
      <c r="A3537" t="n">
        <v>14070903</v>
      </c>
      <c r="B3537" t="n">
        <v>47080</v>
      </c>
      <c r="C3537" t="inlineStr">
        <is>
          <t>1407/09/03</t>
        </is>
      </c>
    </row>
    <row r="3538">
      <c r="A3538" t="n">
        <v>14070904</v>
      </c>
      <c r="B3538" t="n">
        <v>47081</v>
      </c>
      <c r="C3538" t="inlineStr">
        <is>
          <t>1407/09/04</t>
        </is>
      </c>
    </row>
    <row r="3539">
      <c r="A3539" t="n">
        <v>14070905</v>
      </c>
      <c r="B3539" t="n">
        <v>47082</v>
      </c>
      <c r="C3539" t="inlineStr">
        <is>
          <t>1407/09/05</t>
        </is>
      </c>
    </row>
    <row r="3540">
      <c r="A3540" t="n">
        <v>14070906</v>
      </c>
      <c r="B3540" t="n">
        <v>47083</v>
      </c>
      <c r="C3540" t="inlineStr">
        <is>
          <t>1407/09/06</t>
        </is>
      </c>
    </row>
    <row r="3541">
      <c r="A3541" t="n">
        <v>14070907</v>
      </c>
      <c r="B3541" t="n">
        <v>47084</v>
      </c>
      <c r="C3541" t="inlineStr">
        <is>
          <t>1407/09/07</t>
        </is>
      </c>
    </row>
    <row r="3542">
      <c r="A3542" t="n">
        <v>14070908</v>
      </c>
      <c r="B3542" t="n">
        <v>47085</v>
      </c>
      <c r="C3542" t="inlineStr">
        <is>
          <t>1407/09/08</t>
        </is>
      </c>
    </row>
    <row r="3543">
      <c r="A3543" t="n">
        <v>14070909</v>
      </c>
      <c r="B3543" t="n">
        <v>47086</v>
      </c>
      <c r="C3543" t="inlineStr">
        <is>
          <t>1407/09/09</t>
        </is>
      </c>
    </row>
    <row r="3544">
      <c r="A3544" t="n">
        <v>14070910</v>
      </c>
      <c r="B3544" t="n">
        <v>47087</v>
      </c>
      <c r="C3544" t="inlineStr">
        <is>
          <t>1407/09/10</t>
        </is>
      </c>
    </row>
    <row r="3545">
      <c r="A3545" t="n">
        <v>14070911</v>
      </c>
      <c r="B3545" t="n">
        <v>47088</v>
      </c>
      <c r="C3545" t="inlineStr">
        <is>
          <t>1407/09/11</t>
        </is>
      </c>
    </row>
    <row r="3546">
      <c r="A3546" t="n">
        <v>14070912</v>
      </c>
      <c r="B3546" t="n">
        <v>47089</v>
      </c>
      <c r="C3546" t="inlineStr">
        <is>
          <t>1407/09/12</t>
        </is>
      </c>
    </row>
    <row r="3547">
      <c r="A3547" t="n">
        <v>14070913</v>
      </c>
      <c r="B3547" t="n">
        <v>47090</v>
      </c>
      <c r="C3547" t="inlineStr">
        <is>
          <t>1407/09/13</t>
        </is>
      </c>
    </row>
    <row r="3548">
      <c r="A3548" t="n">
        <v>14070914</v>
      </c>
      <c r="B3548" t="n">
        <v>47091</v>
      </c>
      <c r="C3548" t="inlineStr">
        <is>
          <t>1407/09/14</t>
        </is>
      </c>
    </row>
    <row r="3549">
      <c r="A3549" t="n">
        <v>14070915</v>
      </c>
      <c r="B3549" t="n">
        <v>47092</v>
      </c>
      <c r="C3549" t="inlineStr">
        <is>
          <t>1407/09/15</t>
        </is>
      </c>
    </row>
    <row r="3550">
      <c r="A3550" t="n">
        <v>14070916</v>
      </c>
      <c r="B3550" t="n">
        <v>47093</v>
      </c>
      <c r="C3550" t="inlineStr">
        <is>
          <t>1407/09/16</t>
        </is>
      </c>
    </row>
    <row r="3551">
      <c r="A3551" t="n">
        <v>14070917</v>
      </c>
      <c r="B3551" t="n">
        <v>47094</v>
      </c>
      <c r="C3551" t="inlineStr">
        <is>
          <t>1407/09/17</t>
        </is>
      </c>
    </row>
    <row r="3552">
      <c r="A3552" t="n">
        <v>14070918</v>
      </c>
      <c r="B3552" t="n">
        <v>47095</v>
      </c>
      <c r="C3552" t="inlineStr">
        <is>
          <t>1407/09/18</t>
        </is>
      </c>
    </row>
    <row r="3553">
      <c r="A3553" t="n">
        <v>14070919</v>
      </c>
      <c r="B3553" t="n">
        <v>47096</v>
      </c>
      <c r="C3553" t="inlineStr">
        <is>
          <t>1407/09/19</t>
        </is>
      </c>
    </row>
    <row r="3554">
      <c r="A3554" t="n">
        <v>14070920</v>
      </c>
      <c r="B3554" t="n">
        <v>47097</v>
      </c>
      <c r="C3554" t="inlineStr">
        <is>
          <t>1407/09/20</t>
        </is>
      </c>
    </row>
    <row r="3555">
      <c r="A3555" t="n">
        <v>14070921</v>
      </c>
      <c r="B3555" t="n">
        <v>47098</v>
      </c>
      <c r="C3555" t="inlineStr">
        <is>
          <t>1407/09/21</t>
        </is>
      </c>
    </row>
    <row r="3556">
      <c r="A3556" t="n">
        <v>14070922</v>
      </c>
      <c r="B3556" t="n">
        <v>47099</v>
      </c>
      <c r="C3556" t="inlineStr">
        <is>
          <t>1407/09/22</t>
        </is>
      </c>
    </row>
    <row r="3557">
      <c r="A3557" t="n">
        <v>14070923</v>
      </c>
      <c r="B3557" t="n">
        <v>47100</v>
      </c>
      <c r="C3557" t="inlineStr">
        <is>
          <t>1407/09/23</t>
        </is>
      </c>
    </row>
    <row r="3558">
      <c r="A3558" t="n">
        <v>14070924</v>
      </c>
      <c r="B3558" t="n">
        <v>47101</v>
      </c>
      <c r="C3558" t="inlineStr">
        <is>
          <t>1407/09/24</t>
        </is>
      </c>
    </row>
    <row r="3559">
      <c r="A3559" t="n">
        <v>14070925</v>
      </c>
      <c r="B3559" t="n">
        <v>47102</v>
      </c>
      <c r="C3559" t="inlineStr">
        <is>
          <t>1407/09/25</t>
        </is>
      </c>
    </row>
    <row r="3560">
      <c r="A3560" t="n">
        <v>14070926</v>
      </c>
      <c r="B3560" t="n">
        <v>47103</v>
      </c>
      <c r="C3560" t="inlineStr">
        <is>
          <t>1407/09/26</t>
        </is>
      </c>
    </row>
    <row r="3561">
      <c r="A3561" t="n">
        <v>14070927</v>
      </c>
      <c r="B3561" t="n">
        <v>47104</v>
      </c>
      <c r="C3561" t="inlineStr">
        <is>
          <t>1407/09/27</t>
        </is>
      </c>
    </row>
    <row r="3562">
      <c r="A3562" t="n">
        <v>14070928</v>
      </c>
      <c r="B3562" t="n">
        <v>47105</v>
      </c>
      <c r="C3562" t="inlineStr">
        <is>
          <t>1407/09/28</t>
        </is>
      </c>
    </row>
    <row r="3563">
      <c r="A3563" t="n">
        <v>14070929</v>
      </c>
      <c r="B3563" t="n">
        <v>47106</v>
      </c>
      <c r="C3563" t="inlineStr">
        <is>
          <t>1407/09/29</t>
        </is>
      </c>
    </row>
    <row r="3564">
      <c r="A3564" t="n">
        <v>14070930</v>
      </c>
      <c r="B3564" t="n">
        <v>47107</v>
      </c>
      <c r="C3564" t="inlineStr">
        <is>
          <t>1407/09/30</t>
        </is>
      </c>
    </row>
    <row r="3565">
      <c r="A3565" t="n">
        <v>14071001</v>
      </c>
      <c r="B3565" t="n">
        <v>47108</v>
      </c>
      <c r="C3565" t="inlineStr">
        <is>
          <t>1407/10/01</t>
        </is>
      </c>
    </row>
    <row r="3566">
      <c r="A3566" t="n">
        <v>14071002</v>
      </c>
      <c r="B3566" t="n">
        <v>47109</v>
      </c>
      <c r="C3566" t="inlineStr">
        <is>
          <t>1407/10/02</t>
        </is>
      </c>
    </row>
    <row r="3567">
      <c r="A3567" t="n">
        <v>14071003</v>
      </c>
      <c r="B3567" t="n">
        <v>47110</v>
      </c>
      <c r="C3567" t="inlineStr">
        <is>
          <t>1407/10/03</t>
        </is>
      </c>
    </row>
    <row r="3568">
      <c r="A3568" t="n">
        <v>14071004</v>
      </c>
      <c r="B3568" t="n">
        <v>47111</v>
      </c>
      <c r="C3568" t="inlineStr">
        <is>
          <t>1407/10/04</t>
        </is>
      </c>
    </row>
    <row r="3569">
      <c r="A3569" t="n">
        <v>14071005</v>
      </c>
      <c r="B3569" t="n">
        <v>47112</v>
      </c>
      <c r="C3569" t="inlineStr">
        <is>
          <t>1407/10/05</t>
        </is>
      </c>
    </row>
    <row r="3570">
      <c r="A3570" t="n">
        <v>14071006</v>
      </c>
      <c r="B3570" t="n">
        <v>47113</v>
      </c>
      <c r="C3570" t="inlineStr">
        <is>
          <t>1407/10/06</t>
        </is>
      </c>
    </row>
    <row r="3571">
      <c r="A3571" t="n">
        <v>14071007</v>
      </c>
      <c r="B3571" t="n">
        <v>47114</v>
      </c>
      <c r="C3571" t="inlineStr">
        <is>
          <t>1407/10/07</t>
        </is>
      </c>
    </row>
    <row r="3572">
      <c r="A3572" t="n">
        <v>14071008</v>
      </c>
      <c r="B3572" t="n">
        <v>47115</v>
      </c>
      <c r="C3572" t="inlineStr">
        <is>
          <t>1407/10/08</t>
        </is>
      </c>
    </row>
    <row r="3573">
      <c r="A3573" t="n">
        <v>14071009</v>
      </c>
      <c r="B3573" t="n">
        <v>47116</v>
      </c>
      <c r="C3573" t="inlineStr">
        <is>
          <t>1407/10/09</t>
        </is>
      </c>
    </row>
    <row r="3574">
      <c r="A3574" t="n">
        <v>14071010</v>
      </c>
      <c r="B3574" t="n">
        <v>47117</v>
      </c>
      <c r="C3574" t="inlineStr">
        <is>
          <t>1407/10/10</t>
        </is>
      </c>
    </row>
    <row r="3575">
      <c r="A3575" t="n">
        <v>14071011</v>
      </c>
      <c r="B3575" t="n">
        <v>47118</v>
      </c>
      <c r="C3575" t="inlineStr">
        <is>
          <t>1407/10/11</t>
        </is>
      </c>
    </row>
    <row r="3576">
      <c r="A3576" t="n">
        <v>14071012</v>
      </c>
      <c r="B3576" t="n">
        <v>47119</v>
      </c>
      <c r="C3576" t="inlineStr">
        <is>
          <t>1407/10/12</t>
        </is>
      </c>
    </row>
    <row r="3577">
      <c r="A3577" t="n">
        <v>14071013</v>
      </c>
      <c r="B3577" t="n">
        <v>47120</v>
      </c>
      <c r="C3577" t="inlineStr">
        <is>
          <t>1407/10/13</t>
        </is>
      </c>
    </row>
    <row r="3578">
      <c r="A3578" t="n">
        <v>14071014</v>
      </c>
      <c r="B3578" t="n">
        <v>47121</v>
      </c>
      <c r="C3578" t="inlineStr">
        <is>
          <t>1407/10/14</t>
        </is>
      </c>
    </row>
    <row r="3579">
      <c r="A3579" t="n">
        <v>14071015</v>
      </c>
      <c r="B3579" t="n">
        <v>47122</v>
      </c>
      <c r="C3579" t="inlineStr">
        <is>
          <t>1407/10/15</t>
        </is>
      </c>
    </row>
    <row r="3580">
      <c r="A3580" t="n">
        <v>14071016</v>
      </c>
      <c r="B3580" t="n">
        <v>47123</v>
      </c>
      <c r="C3580" t="inlineStr">
        <is>
          <t>1407/10/16</t>
        </is>
      </c>
    </row>
    <row r="3581">
      <c r="A3581" t="n">
        <v>14071017</v>
      </c>
      <c r="B3581" t="n">
        <v>47124</v>
      </c>
      <c r="C3581" t="inlineStr">
        <is>
          <t>1407/10/17</t>
        </is>
      </c>
    </row>
    <row r="3582">
      <c r="A3582" t="n">
        <v>14071018</v>
      </c>
      <c r="B3582" t="n">
        <v>47125</v>
      </c>
      <c r="C3582" t="inlineStr">
        <is>
          <t>1407/10/18</t>
        </is>
      </c>
    </row>
    <row r="3583">
      <c r="A3583" t="n">
        <v>14071019</v>
      </c>
      <c r="B3583" t="n">
        <v>47126</v>
      </c>
      <c r="C3583" t="inlineStr">
        <is>
          <t>1407/10/19</t>
        </is>
      </c>
    </row>
    <row r="3584">
      <c r="A3584" t="n">
        <v>14071020</v>
      </c>
      <c r="B3584" t="n">
        <v>47127</v>
      </c>
      <c r="C3584" t="inlineStr">
        <is>
          <t>1407/10/20</t>
        </is>
      </c>
    </row>
    <row r="3585">
      <c r="A3585" t="n">
        <v>14071021</v>
      </c>
      <c r="B3585" t="n">
        <v>47128</v>
      </c>
      <c r="C3585" t="inlineStr">
        <is>
          <t>1407/10/21</t>
        </is>
      </c>
    </row>
    <row r="3586">
      <c r="A3586" t="n">
        <v>14071022</v>
      </c>
      <c r="B3586" t="n">
        <v>47129</v>
      </c>
      <c r="C3586" t="inlineStr">
        <is>
          <t>1407/10/22</t>
        </is>
      </c>
    </row>
    <row r="3587">
      <c r="A3587" t="n">
        <v>14071023</v>
      </c>
      <c r="B3587" t="n">
        <v>47130</v>
      </c>
      <c r="C3587" t="inlineStr">
        <is>
          <t>1407/10/23</t>
        </is>
      </c>
    </row>
    <row r="3588">
      <c r="A3588" t="n">
        <v>14071024</v>
      </c>
      <c r="B3588" t="n">
        <v>47131</v>
      </c>
      <c r="C3588" t="inlineStr">
        <is>
          <t>1407/10/24</t>
        </is>
      </c>
    </row>
    <row r="3589">
      <c r="A3589" t="n">
        <v>14071025</v>
      </c>
      <c r="B3589" t="n">
        <v>47132</v>
      </c>
      <c r="C3589" t="inlineStr">
        <is>
          <t>1407/10/25</t>
        </is>
      </c>
    </row>
    <row r="3590">
      <c r="A3590" t="n">
        <v>14071026</v>
      </c>
      <c r="B3590" t="n">
        <v>47133</v>
      </c>
      <c r="C3590" t="inlineStr">
        <is>
          <t>1407/10/26</t>
        </is>
      </c>
    </row>
    <row r="3591">
      <c r="A3591" t="n">
        <v>14071027</v>
      </c>
      <c r="B3591" t="n">
        <v>47134</v>
      </c>
      <c r="C3591" t="inlineStr">
        <is>
          <t>1407/10/27</t>
        </is>
      </c>
    </row>
    <row r="3592">
      <c r="A3592" t="n">
        <v>14071028</v>
      </c>
      <c r="B3592" t="n">
        <v>47135</v>
      </c>
      <c r="C3592" t="inlineStr">
        <is>
          <t>1407/10/28</t>
        </is>
      </c>
    </row>
    <row r="3593">
      <c r="A3593" t="n">
        <v>14071029</v>
      </c>
      <c r="B3593" t="n">
        <v>47136</v>
      </c>
      <c r="C3593" t="inlineStr">
        <is>
          <t>1407/10/29</t>
        </is>
      </c>
    </row>
    <row r="3594">
      <c r="A3594" t="n">
        <v>14071030</v>
      </c>
      <c r="B3594" t="n">
        <v>47137</v>
      </c>
      <c r="C3594" t="inlineStr">
        <is>
          <t>1407/10/30</t>
        </is>
      </c>
    </row>
    <row r="3595">
      <c r="A3595" t="n">
        <v>14071101</v>
      </c>
      <c r="B3595" t="n">
        <v>47138</v>
      </c>
      <c r="C3595" t="inlineStr">
        <is>
          <t>1407/11/01</t>
        </is>
      </c>
    </row>
    <row r="3596">
      <c r="A3596" t="n">
        <v>14071102</v>
      </c>
      <c r="B3596" t="n">
        <v>47139</v>
      </c>
      <c r="C3596" t="inlineStr">
        <is>
          <t>1407/11/02</t>
        </is>
      </c>
    </row>
    <row r="3597">
      <c r="A3597" t="n">
        <v>14071103</v>
      </c>
      <c r="B3597" t="n">
        <v>47140</v>
      </c>
      <c r="C3597" t="inlineStr">
        <is>
          <t>1407/11/03</t>
        </is>
      </c>
    </row>
    <row r="3598">
      <c r="A3598" t="n">
        <v>14071104</v>
      </c>
      <c r="B3598" t="n">
        <v>47141</v>
      </c>
      <c r="C3598" t="inlineStr">
        <is>
          <t>1407/11/04</t>
        </is>
      </c>
    </row>
    <row r="3599">
      <c r="A3599" t="n">
        <v>14071105</v>
      </c>
      <c r="B3599" t="n">
        <v>47142</v>
      </c>
      <c r="C3599" t="inlineStr">
        <is>
          <t>1407/11/05</t>
        </is>
      </c>
    </row>
    <row r="3600">
      <c r="A3600" t="n">
        <v>14071106</v>
      </c>
      <c r="B3600" t="n">
        <v>47143</v>
      </c>
      <c r="C3600" t="inlineStr">
        <is>
          <t>1407/11/06</t>
        </is>
      </c>
    </row>
    <row r="3601">
      <c r="A3601" t="n">
        <v>14071107</v>
      </c>
      <c r="B3601" t="n">
        <v>47144</v>
      </c>
      <c r="C3601" t="inlineStr">
        <is>
          <t>1407/11/07</t>
        </is>
      </c>
    </row>
    <row r="3602">
      <c r="A3602" t="n">
        <v>14071108</v>
      </c>
      <c r="B3602" t="n">
        <v>47145</v>
      </c>
      <c r="C3602" t="inlineStr">
        <is>
          <t>1407/11/08</t>
        </is>
      </c>
    </row>
    <row r="3603">
      <c r="A3603" t="n">
        <v>14071109</v>
      </c>
      <c r="B3603" t="n">
        <v>47146</v>
      </c>
      <c r="C3603" t="inlineStr">
        <is>
          <t>1407/11/09</t>
        </is>
      </c>
    </row>
    <row r="3604">
      <c r="A3604" t="n">
        <v>14071110</v>
      </c>
      <c r="B3604" t="n">
        <v>47147</v>
      </c>
      <c r="C3604" t="inlineStr">
        <is>
          <t>1407/11/10</t>
        </is>
      </c>
    </row>
    <row r="3605">
      <c r="A3605" t="n">
        <v>14071111</v>
      </c>
      <c r="B3605" t="n">
        <v>47148</v>
      </c>
      <c r="C3605" t="inlineStr">
        <is>
          <t>1407/11/11</t>
        </is>
      </c>
    </row>
    <row r="3606">
      <c r="A3606" t="n">
        <v>14071112</v>
      </c>
      <c r="B3606" t="n">
        <v>47149</v>
      </c>
      <c r="C3606" t="inlineStr">
        <is>
          <t>1407/11/12</t>
        </is>
      </c>
    </row>
    <row r="3607">
      <c r="A3607" t="n">
        <v>14071113</v>
      </c>
      <c r="B3607" t="n">
        <v>47150</v>
      </c>
      <c r="C3607" t="inlineStr">
        <is>
          <t>1407/11/13</t>
        </is>
      </c>
    </row>
    <row r="3608">
      <c r="A3608" t="n">
        <v>14071114</v>
      </c>
      <c r="B3608" t="n">
        <v>47151</v>
      </c>
      <c r="C3608" t="inlineStr">
        <is>
          <t>1407/11/14</t>
        </is>
      </c>
    </row>
    <row r="3609">
      <c r="A3609" t="n">
        <v>14071115</v>
      </c>
      <c r="B3609" t="n">
        <v>47152</v>
      </c>
      <c r="C3609" t="inlineStr">
        <is>
          <t>1407/11/15</t>
        </is>
      </c>
    </row>
    <row r="3610">
      <c r="A3610" t="n">
        <v>14071116</v>
      </c>
      <c r="B3610" t="n">
        <v>47153</v>
      </c>
      <c r="C3610" t="inlineStr">
        <is>
          <t>1407/11/16</t>
        </is>
      </c>
    </row>
    <row r="3611">
      <c r="A3611" t="n">
        <v>14071117</v>
      </c>
      <c r="B3611" t="n">
        <v>47154</v>
      </c>
      <c r="C3611" t="inlineStr">
        <is>
          <t>1407/11/17</t>
        </is>
      </c>
    </row>
    <row r="3612">
      <c r="A3612" t="n">
        <v>14071118</v>
      </c>
      <c r="B3612" t="n">
        <v>47155</v>
      </c>
      <c r="C3612" t="inlineStr">
        <is>
          <t>1407/11/18</t>
        </is>
      </c>
    </row>
    <row r="3613">
      <c r="A3613" t="n">
        <v>14071119</v>
      </c>
      <c r="B3613" t="n">
        <v>47156</v>
      </c>
      <c r="C3613" t="inlineStr">
        <is>
          <t>1407/11/19</t>
        </is>
      </c>
    </row>
    <row r="3614">
      <c r="A3614" t="n">
        <v>14071120</v>
      </c>
      <c r="B3614" t="n">
        <v>47157</v>
      </c>
      <c r="C3614" t="inlineStr">
        <is>
          <t>1407/11/20</t>
        </is>
      </c>
    </row>
    <row r="3615">
      <c r="A3615" t="n">
        <v>14071121</v>
      </c>
      <c r="B3615" t="n">
        <v>47158</v>
      </c>
      <c r="C3615" t="inlineStr">
        <is>
          <t>1407/11/21</t>
        </is>
      </c>
    </row>
    <row r="3616">
      <c r="A3616" t="n">
        <v>14071122</v>
      </c>
      <c r="B3616" t="n">
        <v>47159</v>
      </c>
      <c r="C3616" t="inlineStr">
        <is>
          <t>1407/11/22</t>
        </is>
      </c>
    </row>
    <row r="3617">
      <c r="A3617" t="n">
        <v>14071123</v>
      </c>
      <c r="B3617" t="n">
        <v>47160</v>
      </c>
      <c r="C3617" t="inlineStr">
        <is>
          <t>1407/11/23</t>
        </is>
      </c>
    </row>
    <row r="3618">
      <c r="A3618" t="n">
        <v>14071124</v>
      </c>
      <c r="B3618" t="n">
        <v>47161</v>
      </c>
      <c r="C3618" t="inlineStr">
        <is>
          <t>1407/11/24</t>
        </is>
      </c>
    </row>
    <row r="3619">
      <c r="A3619" t="n">
        <v>14071125</v>
      </c>
      <c r="B3619" t="n">
        <v>47162</v>
      </c>
      <c r="C3619" t="inlineStr">
        <is>
          <t>1407/11/25</t>
        </is>
      </c>
    </row>
    <row r="3620">
      <c r="A3620" t="n">
        <v>14071126</v>
      </c>
      <c r="B3620" t="n">
        <v>47163</v>
      </c>
      <c r="C3620" t="inlineStr">
        <is>
          <t>1407/11/26</t>
        </is>
      </c>
    </row>
    <row r="3621">
      <c r="A3621" t="n">
        <v>14071127</v>
      </c>
      <c r="B3621" t="n">
        <v>47164</v>
      </c>
      <c r="C3621" t="inlineStr">
        <is>
          <t>1407/11/27</t>
        </is>
      </c>
    </row>
    <row r="3622">
      <c r="A3622" t="n">
        <v>14071128</v>
      </c>
      <c r="B3622" t="n">
        <v>47165</v>
      </c>
      <c r="C3622" t="inlineStr">
        <is>
          <t>1407/11/28</t>
        </is>
      </c>
    </row>
    <row r="3623">
      <c r="A3623" t="n">
        <v>14071129</v>
      </c>
      <c r="B3623" t="n">
        <v>47166</v>
      </c>
      <c r="C3623" t="inlineStr">
        <is>
          <t>1407/11/29</t>
        </is>
      </c>
    </row>
    <row r="3624">
      <c r="A3624" t="n">
        <v>14071130</v>
      </c>
      <c r="B3624" t="n">
        <v>47167</v>
      </c>
      <c r="C3624" t="inlineStr">
        <is>
          <t>1407/11/30</t>
        </is>
      </c>
    </row>
    <row r="3625">
      <c r="A3625" t="n">
        <v>14071201</v>
      </c>
      <c r="B3625" t="n">
        <v>47168</v>
      </c>
      <c r="C3625" t="inlineStr">
        <is>
          <t>1407/12/01</t>
        </is>
      </c>
    </row>
    <row r="3626">
      <c r="A3626" t="n">
        <v>14071202</v>
      </c>
      <c r="B3626" t="n">
        <v>47169</v>
      </c>
      <c r="C3626" t="inlineStr">
        <is>
          <t>1407/12/02</t>
        </is>
      </c>
    </row>
    <row r="3627">
      <c r="A3627" t="n">
        <v>14071203</v>
      </c>
      <c r="B3627" t="n">
        <v>47170</v>
      </c>
      <c r="C3627" t="inlineStr">
        <is>
          <t>1407/12/03</t>
        </is>
      </c>
    </row>
    <row r="3628">
      <c r="A3628" t="n">
        <v>14071204</v>
      </c>
      <c r="B3628" t="n">
        <v>47171</v>
      </c>
      <c r="C3628" t="inlineStr">
        <is>
          <t>1407/12/04</t>
        </is>
      </c>
    </row>
    <row r="3629">
      <c r="A3629" t="n">
        <v>14071205</v>
      </c>
      <c r="B3629" t="n">
        <v>47172</v>
      </c>
      <c r="C3629" t="inlineStr">
        <is>
          <t>1407/12/05</t>
        </is>
      </c>
    </row>
    <row r="3630">
      <c r="A3630" t="n">
        <v>14071206</v>
      </c>
      <c r="B3630" t="n">
        <v>47173</v>
      </c>
      <c r="C3630" t="inlineStr">
        <is>
          <t>1407/12/06</t>
        </is>
      </c>
    </row>
    <row r="3631">
      <c r="A3631" t="n">
        <v>14071207</v>
      </c>
      <c r="B3631" t="n">
        <v>47174</v>
      </c>
      <c r="C3631" t="inlineStr">
        <is>
          <t>1407/12/07</t>
        </is>
      </c>
    </row>
    <row r="3632">
      <c r="A3632" t="n">
        <v>14071208</v>
      </c>
      <c r="B3632" t="n">
        <v>47175</v>
      </c>
      <c r="C3632" t="inlineStr">
        <is>
          <t>1407/12/08</t>
        </is>
      </c>
    </row>
    <row r="3633">
      <c r="A3633" t="n">
        <v>14071209</v>
      </c>
      <c r="B3633" t="n">
        <v>47176</v>
      </c>
      <c r="C3633" t="inlineStr">
        <is>
          <t>1407/12/09</t>
        </is>
      </c>
    </row>
    <row r="3634">
      <c r="A3634" t="n">
        <v>14071210</v>
      </c>
      <c r="B3634" t="n">
        <v>47177</v>
      </c>
      <c r="C3634" t="inlineStr">
        <is>
          <t>1407/12/10</t>
        </is>
      </c>
    </row>
    <row r="3635">
      <c r="A3635" t="n">
        <v>14071211</v>
      </c>
      <c r="B3635" t="n">
        <v>47178</v>
      </c>
      <c r="C3635" t="inlineStr">
        <is>
          <t>1407/12/11</t>
        </is>
      </c>
    </row>
    <row r="3636">
      <c r="A3636" t="n">
        <v>14071212</v>
      </c>
      <c r="B3636" t="n">
        <v>47179</v>
      </c>
      <c r="C3636" t="inlineStr">
        <is>
          <t>1407/12/12</t>
        </is>
      </c>
    </row>
    <row r="3637">
      <c r="A3637" t="n">
        <v>14071213</v>
      </c>
      <c r="B3637" t="n">
        <v>47180</v>
      </c>
      <c r="C3637" t="inlineStr">
        <is>
          <t>1407/12/13</t>
        </is>
      </c>
    </row>
    <row r="3638">
      <c r="A3638" t="n">
        <v>14071214</v>
      </c>
      <c r="B3638" t="n">
        <v>47181</v>
      </c>
      <c r="C3638" t="inlineStr">
        <is>
          <t>1407/12/14</t>
        </is>
      </c>
    </row>
    <row r="3639">
      <c r="A3639" t="n">
        <v>14071215</v>
      </c>
      <c r="B3639" t="n">
        <v>47182</v>
      </c>
      <c r="C3639" t="inlineStr">
        <is>
          <t>1407/12/15</t>
        </is>
      </c>
    </row>
    <row r="3640">
      <c r="A3640" t="n">
        <v>14071216</v>
      </c>
      <c r="B3640" t="n">
        <v>47183</v>
      </c>
      <c r="C3640" t="inlineStr">
        <is>
          <t>1407/12/16</t>
        </is>
      </c>
    </row>
    <row r="3641">
      <c r="A3641" t="n">
        <v>14071217</v>
      </c>
      <c r="B3641" t="n">
        <v>47184</v>
      </c>
      <c r="C3641" t="inlineStr">
        <is>
          <t>1407/12/17</t>
        </is>
      </c>
    </row>
    <row r="3642">
      <c r="A3642" t="n">
        <v>14071218</v>
      </c>
      <c r="B3642" t="n">
        <v>47185</v>
      </c>
      <c r="C3642" t="inlineStr">
        <is>
          <t>1407/12/18</t>
        </is>
      </c>
    </row>
    <row r="3643">
      <c r="A3643" t="n">
        <v>14071219</v>
      </c>
      <c r="B3643" t="n">
        <v>47186</v>
      </c>
      <c r="C3643" t="inlineStr">
        <is>
          <t>1407/12/19</t>
        </is>
      </c>
    </row>
    <row r="3644">
      <c r="A3644" t="n">
        <v>14071220</v>
      </c>
      <c r="B3644" t="n">
        <v>47187</v>
      </c>
      <c r="C3644" t="inlineStr">
        <is>
          <t>1407/12/20</t>
        </is>
      </c>
    </row>
    <row r="3645">
      <c r="A3645" t="n">
        <v>14071221</v>
      </c>
      <c r="B3645" t="n">
        <v>47188</v>
      </c>
      <c r="C3645" t="inlineStr">
        <is>
          <t>1407/12/21</t>
        </is>
      </c>
    </row>
    <row r="3646">
      <c r="A3646" t="n">
        <v>14071222</v>
      </c>
      <c r="B3646" t="n">
        <v>47189</v>
      </c>
      <c r="C3646" t="inlineStr">
        <is>
          <t>1407/12/22</t>
        </is>
      </c>
    </row>
    <row r="3647">
      <c r="A3647" t="n">
        <v>14071223</v>
      </c>
      <c r="B3647" t="n">
        <v>47190</v>
      </c>
      <c r="C3647" t="inlineStr">
        <is>
          <t>1407/12/23</t>
        </is>
      </c>
    </row>
    <row r="3648">
      <c r="A3648" t="n">
        <v>14071224</v>
      </c>
      <c r="B3648" t="n">
        <v>47191</v>
      </c>
      <c r="C3648" t="inlineStr">
        <is>
          <t>1407/12/24</t>
        </is>
      </c>
    </row>
    <row r="3649">
      <c r="A3649" t="n">
        <v>14071225</v>
      </c>
      <c r="B3649" t="n">
        <v>47192</v>
      </c>
      <c r="C3649" t="inlineStr">
        <is>
          <t>1407/12/25</t>
        </is>
      </c>
    </row>
    <row r="3650">
      <c r="A3650" t="n">
        <v>14071226</v>
      </c>
      <c r="B3650" t="n">
        <v>47193</v>
      </c>
      <c r="C3650" t="inlineStr">
        <is>
          <t>1407/12/26</t>
        </is>
      </c>
    </row>
    <row r="3651">
      <c r="A3651" t="n">
        <v>14071227</v>
      </c>
      <c r="B3651" t="n">
        <v>47194</v>
      </c>
      <c r="C3651" t="inlineStr">
        <is>
          <t>1407/12/27</t>
        </is>
      </c>
    </row>
    <row r="3652">
      <c r="A3652" t="n">
        <v>14071228</v>
      </c>
      <c r="B3652" t="n">
        <v>47195</v>
      </c>
      <c r="C3652" t="inlineStr">
        <is>
          <t>1407/12/28</t>
        </is>
      </c>
    </row>
    <row r="3653">
      <c r="A3653" t="n">
        <v>14071229</v>
      </c>
      <c r="B3653" t="n">
        <v>47196</v>
      </c>
      <c r="C3653" t="inlineStr">
        <is>
          <t>1407/12/29</t>
        </is>
      </c>
    </row>
    <row r="3654">
      <c r="A3654" t="n">
        <v>14080101</v>
      </c>
      <c r="B3654" t="n">
        <v>47197</v>
      </c>
      <c r="C3654" t="inlineStr">
        <is>
          <t>1408/01/01</t>
        </is>
      </c>
    </row>
    <row r="3655">
      <c r="A3655" t="n">
        <v>14080102</v>
      </c>
      <c r="B3655" t="n">
        <v>47198</v>
      </c>
      <c r="C3655" t="inlineStr">
        <is>
          <t>1408/01/02</t>
        </is>
      </c>
    </row>
    <row r="3656">
      <c r="A3656" t="n">
        <v>14080103</v>
      </c>
      <c r="B3656" t="n">
        <v>47199</v>
      </c>
      <c r="C3656" t="inlineStr">
        <is>
          <t>1408/01/03</t>
        </is>
      </c>
    </row>
    <row r="3657">
      <c r="A3657" t="n">
        <v>14080104</v>
      </c>
      <c r="B3657" t="n">
        <v>47200</v>
      </c>
      <c r="C3657" t="inlineStr">
        <is>
          <t>1408/01/04</t>
        </is>
      </c>
    </row>
    <row r="3658">
      <c r="A3658" t="n">
        <v>14080105</v>
      </c>
      <c r="B3658" t="n">
        <v>47201</v>
      </c>
      <c r="C3658" t="inlineStr">
        <is>
          <t>1408/01/05</t>
        </is>
      </c>
    </row>
    <row r="3659">
      <c r="A3659" t="n">
        <v>14080106</v>
      </c>
      <c r="B3659" t="n">
        <v>47202</v>
      </c>
      <c r="C3659" t="inlineStr">
        <is>
          <t>1408/01/06</t>
        </is>
      </c>
    </row>
    <row r="3660">
      <c r="A3660" t="n">
        <v>14080107</v>
      </c>
      <c r="B3660" t="n">
        <v>47203</v>
      </c>
      <c r="C3660" t="inlineStr">
        <is>
          <t>1408/01/07</t>
        </is>
      </c>
    </row>
    <row r="3661">
      <c r="A3661" t="n">
        <v>14080108</v>
      </c>
      <c r="B3661" t="n">
        <v>47204</v>
      </c>
      <c r="C3661" t="inlineStr">
        <is>
          <t>1408/01/08</t>
        </is>
      </c>
    </row>
    <row r="3662">
      <c r="A3662" t="n">
        <v>14080109</v>
      </c>
      <c r="B3662" t="n">
        <v>47205</v>
      </c>
      <c r="C3662" t="inlineStr">
        <is>
          <t>1408/01/09</t>
        </is>
      </c>
    </row>
    <row r="3663">
      <c r="A3663" t="n">
        <v>14080110</v>
      </c>
      <c r="B3663" t="n">
        <v>47206</v>
      </c>
      <c r="C3663" t="inlineStr">
        <is>
          <t>1408/01/10</t>
        </is>
      </c>
    </row>
    <row r="3664">
      <c r="A3664" t="n">
        <v>14080111</v>
      </c>
      <c r="B3664" t="n">
        <v>47207</v>
      </c>
      <c r="C3664" t="inlineStr">
        <is>
          <t>1408/01/11</t>
        </is>
      </c>
    </row>
    <row r="3665">
      <c r="A3665" t="n">
        <v>14080112</v>
      </c>
      <c r="B3665" t="n">
        <v>47208</v>
      </c>
      <c r="C3665" t="inlineStr">
        <is>
          <t>1408/01/12</t>
        </is>
      </c>
    </row>
    <row r="3666">
      <c r="A3666" t="n">
        <v>14080113</v>
      </c>
      <c r="B3666" t="n">
        <v>47209</v>
      </c>
      <c r="C3666" t="inlineStr">
        <is>
          <t>1408/01/13</t>
        </is>
      </c>
    </row>
    <row r="3667">
      <c r="A3667" t="n">
        <v>14080114</v>
      </c>
      <c r="B3667" t="n">
        <v>47210</v>
      </c>
      <c r="C3667" t="inlineStr">
        <is>
          <t>1408/01/14</t>
        </is>
      </c>
    </row>
    <row r="3668">
      <c r="A3668" t="n">
        <v>14080115</v>
      </c>
      <c r="B3668" t="n">
        <v>47211</v>
      </c>
      <c r="C3668" t="inlineStr">
        <is>
          <t>1408/01/15</t>
        </is>
      </c>
    </row>
    <row r="3669">
      <c r="A3669" t="n">
        <v>14080116</v>
      </c>
      <c r="B3669" t="n">
        <v>47212</v>
      </c>
      <c r="C3669" t="inlineStr">
        <is>
          <t>1408/01/16</t>
        </is>
      </c>
    </row>
    <row r="3670">
      <c r="A3670" t="n">
        <v>14080117</v>
      </c>
      <c r="B3670" t="n">
        <v>47213</v>
      </c>
      <c r="C3670" t="inlineStr">
        <is>
          <t>1408/01/17</t>
        </is>
      </c>
    </row>
    <row r="3671">
      <c r="A3671" t="n">
        <v>14080118</v>
      </c>
      <c r="B3671" t="n">
        <v>47214</v>
      </c>
      <c r="C3671" t="inlineStr">
        <is>
          <t>1408/01/18</t>
        </is>
      </c>
    </row>
    <row r="3672">
      <c r="A3672" t="n">
        <v>14080119</v>
      </c>
      <c r="B3672" t="n">
        <v>47215</v>
      </c>
      <c r="C3672" t="inlineStr">
        <is>
          <t>1408/01/19</t>
        </is>
      </c>
    </row>
    <row r="3673">
      <c r="A3673" t="n">
        <v>14080120</v>
      </c>
      <c r="B3673" t="n">
        <v>47216</v>
      </c>
      <c r="C3673" t="inlineStr">
        <is>
          <t>1408/01/20</t>
        </is>
      </c>
    </row>
    <row r="3674">
      <c r="A3674" t="n">
        <v>14080121</v>
      </c>
      <c r="B3674" t="n">
        <v>47217</v>
      </c>
      <c r="C3674" t="inlineStr">
        <is>
          <t>1408/01/21</t>
        </is>
      </c>
    </row>
    <row r="3675">
      <c r="A3675" t="n">
        <v>14080122</v>
      </c>
      <c r="B3675" t="n">
        <v>47218</v>
      </c>
      <c r="C3675" t="inlineStr">
        <is>
          <t>1408/01/22</t>
        </is>
      </c>
    </row>
    <row r="3676">
      <c r="A3676" t="n">
        <v>14080123</v>
      </c>
      <c r="B3676" t="n">
        <v>47219</v>
      </c>
      <c r="C3676" t="inlineStr">
        <is>
          <t>1408/01/23</t>
        </is>
      </c>
    </row>
    <row r="3677">
      <c r="A3677" t="n">
        <v>14080124</v>
      </c>
      <c r="B3677" t="n">
        <v>47220</v>
      </c>
      <c r="C3677" t="inlineStr">
        <is>
          <t>1408/01/24</t>
        </is>
      </c>
    </row>
    <row r="3678">
      <c r="A3678" t="n">
        <v>14080125</v>
      </c>
      <c r="B3678" t="n">
        <v>47221</v>
      </c>
      <c r="C3678" t="inlineStr">
        <is>
          <t>1408/01/25</t>
        </is>
      </c>
    </row>
    <row r="3679">
      <c r="A3679" t="n">
        <v>14080126</v>
      </c>
      <c r="B3679" t="n">
        <v>47222</v>
      </c>
      <c r="C3679" t="inlineStr">
        <is>
          <t>1408/01/26</t>
        </is>
      </c>
    </row>
    <row r="3680">
      <c r="A3680" t="n">
        <v>14080127</v>
      </c>
      <c r="B3680" t="n">
        <v>47223</v>
      </c>
      <c r="C3680" t="inlineStr">
        <is>
          <t>1408/01/27</t>
        </is>
      </c>
    </row>
    <row r="3681">
      <c r="A3681" t="n">
        <v>14080128</v>
      </c>
      <c r="B3681" t="n">
        <v>47224</v>
      </c>
      <c r="C3681" t="inlineStr">
        <is>
          <t>1408/01/28</t>
        </is>
      </c>
    </row>
    <row r="3682">
      <c r="A3682" t="n">
        <v>14080129</v>
      </c>
      <c r="B3682" t="n">
        <v>47225</v>
      </c>
      <c r="C3682" t="inlineStr">
        <is>
          <t>1408/01/29</t>
        </is>
      </c>
    </row>
    <row r="3683">
      <c r="A3683" t="n">
        <v>14080130</v>
      </c>
      <c r="B3683" t="n">
        <v>47226</v>
      </c>
      <c r="C3683" t="inlineStr">
        <is>
          <t>1408/01/30</t>
        </is>
      </c>
    </row>
    <row r="3684">
      <c r="A3684" t="n">
        <v>14080131</v>
      </c>
      <c r="B3684" t="n">
        <v>47227</v>
      </c>
      <c r="C3684" t="inlineStr">
        <is>
          <t>1408/01/31</t>
        </is>
      </c>
    </row>
    <row r="3685">
      <c r="A3685" t="n">
        <v>14080201</v>
      </c>
      <c r="B3685" t="n">
        <v>47228</v>
      </c>
      <c r="C3685" t="inlineStr">
        <is>
          <t>1408/02/01</t>
        </is>
      </c>
    </row>
    <row r="3686">
      <c r="A3686" t="n">
        <v>14080202</v>
      </c>
      <c r="B3686" t="n">
        <v>47229</v>
      </c>
      <c r="C3686" t="inlineStr">
        <is>
          <t>1408/02/02</t>
        </is>
      </c>
    </row>
    <row r="3687">
      <c r="A3687" t="n">
        <v>14080203</v>
      </c>
      <c r="B3687" t="n">
        <v>47230</v>
      </c>
      <c r="C3687" t="inlineStr">
        <is>
          <t>1408/02/03</t>
        </is>
      </c>
    </row>
    <row r="3688">
      <c r="A3688" t="n">
        <v>14080204</v>
      </c>
      <c r="B3688" t="n">
        <v>47231</v>
      </c>
      <c r="C3688" t="inlineStr">
        <is>
          <t>1408/02/04</t>
        </is>
      </c>
    </row>
    <row r="3689">
      <c r="A3689" t="n">
        <v>14080205</v>
      </c>
      <c r="B3689" t="n">
        <v>47232</v>
      </c>
      <c r="C3689" t="inlineStr">
        <is>
          <t>1408/02/05</t>
        </is>
      </c>
    </row>
    <row r="3690">
      <c r="A3690" t="n">
        <v>14080206</v>
      </c>
      <c r="B3690" t="n">
        <v>47233</v>
      </c>
      <c r="C3690" t="inlineStr">
        <is>
          <t>1408/02/06</t>
        </is>
      </c>
    </row>
    <row r="3691">
      <c r="A3691" t="n">
        <v>14080207</v>
      </c>
      <c r="B3691" t="n">
        <v>47234</v>
      </c>
      <c r="C3691" t="inlineStr">
        <is>
          <t>1408/02/07</t>
        </is>
      </c>
    </row>
    <row r="3692">
      <c r="A3692" t="n">
        <v>14080208</v>
      </c>
      <c r="B3692" t="n">
        <v>47235</v>
      </c>
      <c r="C3692" t="inlineStr">
        <is>
          <t>1408/02/08</t>
        </is>
      </c>
    </row>
    <row r="3693">
      <c r="A3693" t="n">
        <v>14080209</v>
      </c>
      <c r="B3693" t="n">
        <v>47236</v>
      </c>
      <c r="C3693" t="inlineStr">
        <is>
          <t>1408/02/09</t>
        </is>
      </c>
    </row>
    <row r="3694">
      <c r="A3694" t="n">
        <v>14080210</v>
      </c>
      <c r="B3694" t="n">
        <v>47237</v>
      </c>
      <c r="C3694" t="inlineStr">
        <is>
          <t>1408/02/10</t>
        </is>
      </c>
    </row>
    <row r="3695">
      <c r="A3695" t="n">
        <v>14080211</v>
      </c>
      <c r="B3695" t="n">
        <v>47238</v>
      </c>
      <c r="C3695" t="inlineStr">
        <is>
          <t>1408/02/11</t>
        </is>
      </c>
    </row>
    <row r="3696">
      <c r="A3696" t="n">
        <v>14080212</v>
      </c>
      <c r="B3696" t="n">
        <v>47239</v>
      </c>
      <c r="C3696" t="inlineStr">
        <is>
          <t>1408/02/12</t>
        </is>
      </c>
    </row>
    <row r="3697">
      <c r="A3697" t="n">
        <v>14080213</v>
      </c>
      <c r="B3697" t="n">
        <v>47240</v>
      </c>
      <c r="C3697" t="inlineStr">
        <is>
          <t>1408/02/13</t>
        </is>
      </c>
    </row>
    <row r="3698">
      <c r="A3698" t="n">
        <v>14080214</v>
      </c>
      <c r="B3698" t="n">
        <v>47241</v>
      </c>
      <c r="C3698" t="inlineStr">
        <is>
          <t>1408/02/14</t>
        </is>
      </c>
    </row>
    <row r="3699">
      <c r="A3699" t="n">
        <v>14080215</v>
      </c>
      <c r="B3699" t="n">
        <v>47242</v>
      </c>
      <c r="C3699" t="inlineStr">
        <is>
          <t>1408/02/15</t>
        </is>
      </c>
    </row>
    <row r="3700">
      <c r="A3700" t="n">
        <v>14080216</v>
      </c>
      <c r="B3700" t="n">
        <v>47243</v>
      </c>
      <c r="C3700" t="inlineStr">
        <is>
          <t>1408/02/16</t>
        </is>
      </c>
    </row>
    <row r="3701">
      <c r="A3701" t="n">
        <v>14080217</v>
      </c>
      <c r="B3701" t="n">
        <v>47244</v>
      </c>
      <c r="C3701" t="inlineStr">
        <is>
          <t>1408/02/17</t>
        </is>
      </c>
    </row>
    <row r="3702">
      <c r="A3702" t="n">
        <v>14080218</v>
      </c>
      <c r="B3702" t="n">
        <v>47245</v>
      </c>
      <c r="C3702" t="inlineStr">
        <is>
          <t>1408/02/18</t>
        </is>
      </c>
    </row>
    <row r="3703">
      <c r="A3703" t="n">
        <v>14080219</v>
      </c>
      <c r="B3703" t="n">
        <v>47246</v>
      </c>
      <c r="C3703" t="inlineStr">
        <is>
          <t>1408/02/19</t>
        </is>
      </c>
    </row>
    <row r="3704">
      <c r="A3704" t="n">
        <v>14080220</v>
      </c>
      <c r="B3704" t="n">
        <v>47247</v>
      </c>
      <c r="C3704" t="inlineStr">
        <is>
          <t>1408/02/20</t>
        </is>
      </c>
    </row>
    <row r="3705">
      <c r="A3705" t="n">
        <v>14080221</v>
      </c>
      <c r="B3705" t="n">
        <v>47248</v>
      </c>
      <c r="C3705" t="inlineStr">
        <is>
          <t>1408/02/21</t>
        </is>
      </c>
    </row>
    <row r="3706">
      <c r="A3706" t="n">
        <v>14080222</v>
      </c>
      <c r="B3706" t="n">
        <v>47249</v>
      </c>
      <c r="C3706" t="inlineStr">
        <is>
          <t>1408/02/22</t>
        </is>
      </c>
    </row>
    <row r="3707">
      <c r="A3707" t="n">
        <v>14080223</v>
      </c>
      <c r="B3707" t="n">
        <v>47250</v>
      </c>
      <c r="C3707" t="inlineStr">
        <is>
          <t>1408/02/23</t>
        </is>
      </c>
    </row>
    <row r="3708">
      <c r="A3708" t="n">
        <v>14080224</v>
      </c>
      <c r="B3708" t="n">
        <v>47251</v>
      </c>
      <c r="C3708" t="inlineStr">
        <is>
          <t>1408/02/24</t>
        </is>
      </c>
    </row>
    <row r="3709">
      <c r="A3709" t="n">
        <v>14080225</v>
      </c>
      <c r="B3709" t="n">
        <v>47252</v>
      </c>
      <c r="C3709" t="inlineStr">
        <is>
          <t>1408/02/25</t>
        </is>
      </c>
    </row>
    <row r="3710">
      <c r="A3710" t="n">
        <v>14080226</v>
      </c>
      <c r="B3710" t="n">
        <v>47253</v>
      </c>
      <c r="C3710" t="inlineStr">
        <is>
          <t>1408/02/26</t>
        </is>
      </c>
    </row>
    <row r="3711">
      <c r="A3711" t="n">
        <v>14080227</v>
      </c>
      <c r="B3711" t="n">
        <v>47254</v>
      </c>
      <c r="C3711" t="inlineStr">
        <is>
          <t>1408/02/27</t>
        </is>
      </c>
    </row>
    <row r="3712">
      <c r="A3712" t="n">
        <v>14080228</v>
      </c>
      <c r="B3712" t="n">
        <v>47255</v>
      </c>
      <c r="C3712" t="inlineStr">
        <is>
          <t>1408/02/28</t>
        </is>
      </c>
    </row>
    <row r="3713">
      <c r="A3713" t="n">
        <v>14080229</v>
      </c>
      <c r="B3713" t="n">
        <v>47256</v>
      </c>
      <c r="C3713" t="inlineStr">
        <is>
          <t>1408/02/29</t>
        </is>
      </c>
    </row>
    <row r="3714">
      <c r="A3714" t="n">
        <v>14080230</v>
      </c>
      <c r="B3714" t="n">
        <v>47257</v>
      </c>
      <c r="C3714" t="inlineStr">
        <is>
          <t>1408/02/30</t>
        </is>
      </c>
    </row>
    <row r="3715">
      <c r="A3715" t="n">
        <v>14080231</v>
      </c>
      <c r="B3715" t="n">
        <v>47258</v>
      </c>
      <c r="C3715" t="inlineStr">
        <is>
          <t>1408/02/31</t>
        </is>
      </c>
    </row>
    <row r="3716">
      <c r="A3716" t="n">
        <v>14080301</v>
      </c>
      <c r="B3716" t="n">
        <v>47259</v>
      </c>
      <c r="C3716" t="inlineStr">
        <is>
          <t>1408/03/01</t>
        </is>
      </c>
    </row>
    <row r="3717">
      <c r="A3717" t="n">
        <v>14080302</v>
      </c>
      <c r="B3717" t="n">
        <v>47260</v>
      </c>
      <c r="C3717" t="inlineStr">
        <is>
          <t>1408/03/02</t>
        </is>
      </c>
    </row>
    <row r="3718">
      <c r="A3718" t="n">
        <v>14080303</v>
      </c>
      <c r="B3718" t="n">
        <v>47261</v>
      </c>
      <c r="C3718" t="inlineStr">
        <is>
          <t>1408/03/03</t>
        </is>
      </c>
    </row>
    <row r="3719">
      <c r="A3719" t="n">
        <v>14080304</v>
      </c>
      <c r="B3719" t="n">
        <v>47262</v>
      </c>
      <c r="C3719" t="inlineStr">
        <is>
          <t>1408/03/04</t>
        </is>
      </c>
    </row>
    <row r="3720">
      <c r="A3720" t="n">
        <v>14080305</v>
      </c>
      <c r="B3720" t="n">
        <v>47263</v>
      </c>
      <c r="C3720" t="inlineStr">
        <is>
          <t>1408/03/05</t>
        </is>
      </c>
    </row>
    <row r="3721">
      <c r="A3721" t="n">
        <v>14080306</v>
      </c>
      <c r="B3721" t="n">
        <v>47264</v>
      </c>
      <c r="C3721" t="inlineStr">
        <is>
          <t>1408/03/06</t>
        </is>
      </c>
    </row>
    <row r="3722">
      <c r="A3722" t="n">
        <v>14080307</v>
      </c>
      <c r="B3722" t="n">
        <v>47265</v>
      </c>
      <c r="C3722" t="inlineStr">
        <is>
          <t>1408/03/07</t>
        </is>
      </c>
    </row>
    <row r="3723">
      <c r="A3723" t="n">
        <v>14080308</v>
      </c>
      <c r="B3723" t="n">
        <v>47266</v>
      </c>
      <c r="C3723" t="inlineStr">
        <is>
          <t>1408/03/08</t>
        </is>
      </c>
    </row>
    <row r="3724">
      <c r="A3724" t="n">
        <v>14080309</v>
      </c>
      <c r="B3724" t="n">
        <v>47267</v>
      </c>
      <c r="C3724" t="inlineStr">
        <is>
          <t>1408/03/09</t>
        </is>
      </c>
    </row>
    <row r="3725">
      <c r="A3725" t="n">
        <v>14080310</v>
      </c>
      <c r="B3725" t="n">
        <v>47268</v>
      </c>
      <c r="C3725" t="inlineStr">
        <is>
          <t>1408/03/10</t>
        </is>
      </c>
    </row>
    <row r="3726">
      <c r="A3726" t="n">
        <v>14080311</v>
      </c>
      <c r="B3726" t="n">
        <v>47269</v>
      </c>
      <c r="C3726" t="inlineStr">
        <is>
          <t>1408/03/11</t>
        </is>
      </c>
    </row>
    <row r="3727">
      <c r="A3727" t="n">
        <v>14080312</v>
      </c>
      <c r="B3727" t="n">
        <v>47270</v>
      </c>
      <c r="C3727" t="inlineStr">
        <is>
          <t>1408/03/12</t>
        </is>
      </c>
    </row>
    <row r="3728">
      <c r="A3728" t="n">
        <v>14080313</v>
      </c>
      <c r="B3728" t="n">
        <v>47271</v>
      </c>
      <c r="C3728" t="inlineStr">
        <is>
          <t>1408/03/13</t>
        </is>
      </c>
    </row>
    <row r="3729">
      <c r="A3729" t="n">
        <v>14080314</v>
      </c>
      <c r="B3729" t="n">
        <v>47272</v>
      </c>
      <c r="C3729" t="inlineStr">
        <is>
          <t>1408/03/14</t>
        </is>
      </c>
    </row>
    <row r="3730">
      <c r="A3730" t="n">
        <v>14080315</v>
      </c>
      <c r="B3730" t="n">
        <v>47273</v>
      </c>
      <c r="C3730" t="inlineStr">
        <is>
          <t>1408/03/15</t>
        </is>
      </c>
    </row>
    <row r="3731">
      <c r="A3731" t="n">
        <v>14080316</v>
      </c>
      <c r="B3731" t="n">
        <v>47274</v>
      </c>
      <c r="C3731" t="inlineStr">
        <is>
          <t>1408/03/16</t>
        </is>
      </c>
    </row>
    <row r="3732">
      <c r="A3732" t="n">
        <v>14080317</v>
      </c>
      <c r="B3732" t="n">
        <v>47275</v>
      </c>
      <c r="C3732" t="inlineStr">
        <is>
          <t>1408/03/17</t>
        </is>
      </c>
    </row>
    <row r="3733">
      <c r="A3733" t="n">
        <v>14080318</v>
      </c>
      <c r="B3733" t="n">
        <v>47276</v>
      </c>
      <c r="C3733" t="inlineStr">
        <is>
          <t>1408/03/18</t>
        </is>
      </c>
    </row>
    <row r="3734">
      <c r="A3734" t="n">
        <v>14080319</v>
      </c>
      <c r="B3734" t="n">
        <v>47277</v>
      </c>
      <c r="C3734" t="inlineStr">
        <is>
          <t>1408/03/19</t>
        </is>
      </c>
    </row>
    <row r="3735">
      <c r="A3735" t="n">
        <v>14080320</v>
      </c>
      <c r="B3735" t="n">
        <v>47278</v>
      </c>
      <c r="C3735" t="inlineStr">
        <is>
          <t>1408/03/20</t>
        </is>
      </c>
    </row>
    <row r="3736">
      <c r="A3736" t="n">
        <v>14080321</v>
      </c>
      <c r="B3736" t="n">
        <v>47279</v>
      </c>
      <c r="C3736" t="inlineStr">
        <is>
          <t>1408/03/21</t>
        </is>
      </c>
    </row>
    <row r="3737">
      <c r="A3737" t="n">
        <v>14080322</v>
      </c>
      <c r="B3737" t="n">
        <v>47280</v>
      </c>
      <c r="C3737" t="inlineStr">
        <is>
          <t>1408/03/22</t>
        </is>
      </c>
    </row>
    <row r="3738">
      <c r="A3738" t="n">
        <v>14080323</v>
      </c>
      <c r="B3738" t="n">
        <v>47281</v>
      </c>
      <c r="C3738" t="inlineStr">
        <is>
          <t>1408/03/23</t>
        </is>
      </c>
    </row>
    <row r="3739">
      <c r="A3739" t="n">
        <v>14080324</v>
      </c>
      <c r="B3739" t="n">
        <v>47282</v>
      </c>
      <c r="C3739" t="inlineStr">
        <is>
          <t>1408/03/24</t>
        </is>
      </c>
    </row>
    <row r="3740">
      <c r="A3740" t="n">
        <v>14080325</v>
      </c>
      <c r="B3740" t="n">
        <v>47283</v>
      </c>
      <c r="C3740" t="inlineStr">
        <is>
          <t>1408/03/25</t>
        </is>
      </c>
    </row>
    <row r="3741">
      <c r="A3741" t="n">
        <v>14080326</v>
      </c>
      <c r="B3741" t="n">
        <v>47284</v>
      </c>
      <c r="C3741" t="inlineStr">
        <is>
          <t>1408/03/26</t>
        </is>
      </c>
    </row>
    <row r="3742">
      <c r="A3742" t="n">
        <v>14080327</v>
      </c>
      <c r="B3742" t="n">
        <v>47285</v>
      </c>
      <c r="C3742" t="inlineStr">
        <is>
          <t>1408/03/27</t>
        </is>
      </c>
    </row>
    <row r="3743">
      <c r="A3743" t="n">
        <v>14080328</v>
      </c>
      <c r="B3743" t="n">
        <v>47286</v>
      </c>
      <c r="C3743" t="inlineStr">
        <is>
          <t>1408/03/28</t>
        </is>
      </c>
    </row>
    <row r="3744">
      <c r="A3744" t="n">
        <v>14080329</v>
      </c>
      <c r="B3744" t="n">
        <v>47287</v>
      </c>
      <c r="C3744" t="inlineStr">
        <is>
          <t>1408/03/29</t>
        </is>
      </c>
    </row>
    <row r="3745">
      <c r="A3745" t="n">
        <v>14080330</v>
      </c>
      <c r="B3745" t="n">
        <v>47288</v>
      </c>
      <c r="C3745" t="inlineStr">
        <is>
          <t>1408/03/30</t>
        </is>
      </c>
    </row>
    <row r="3746">
      <c r="A3746" t="n">
        <v>14080331</v>
      </c>
      <c r="B3746" t="n">
        <v>47289</v>
      </c>
      <c r="C3746" t="inlineStr">
        <is>
          <t>1408/03/31</t>
        </is>
      </c>
    </row>
    <row r="3747">
      <c r="A3747" t="n">
        <v>14080401</v>
      </c>
      <c r="B3747" t="n">
        <v>47290</v>
      </c>
      <c r="C3747" t="inlineStr">
        <is>
          <t>1408/04/01</t>
        </is>
      </c>
    </row>
    <row r="3748">
      <c r="A3748" t="n">
        <v>14080402</v>
      </c>
      <c r="B3748" t="n">
        <v>47291</v>
      </c>
      <c r="C3748" t="inlineStr">
        <is>
          <t>1408/04/02</t>
        </is>
      </c>
    </row>
    <row r="3749">
      <c r="A3749" t="n">
        <v>14080403</v>
      </c>
      <c r="B3749" t="n">
        <v>47292</v>
      </c>
      <c r="C3749" t="inlineStr">
        <is>
          <t>1408/04/03</t>
        </is>
      </c>
    </row>
    <row r="3750">
      <c r="A3750" t="n">
        <v>14080404</v>
      </c>
      <c r="B3750" t="n">
        <v>47293</v>
      </c>
      <c r="C3750" t="inlineStr">
        <is>
          <t>1408/04/04</t>
        </is>
      </c>
    </row>
    <row r="3751">
      <c r="A3751" t="n">
        <v>14080405</v>
      </c>
      <c r="B3751" t="n">
        <v>47294</v>
      </c>
      <c r="C3751" t="inlineStr">
        <is>
          <t>1408/04/05</t>
        </is>
      </c>
    </row>
    <row r="3752">
      <c r="A3752" t="n">
        <v>14080406</v>
      </c>
      <c r="B3752" t="n">
        <v>47295</v>
      </c>
      <c r="C3752" t="inlineStr">
        <is>
          <t>1408/04/06</t>
        </is>
      </c>
    </row>
    <row r="3753">
      <c r="A3753" t="n">
        <v>14080407</v>
      </c>
      <c r="B3753" t="n">
        <v>47296</v>
      </c>
      <c r="C3753" t="inlineStr">
        <is>
          <t>1408/04/07</t>
        </is>
      </c>
    </row>
    <row r="3754">
      <c r="A3754" t="n">
        <v>14080408</v>
      </c>
      <c r="B3754" t="n">
        <v>47297</v>
      </c>
      <c r="C3754" t="inlineStr">
        <is>
          <t>1408/04/08</t>
        </is>
      </c>
    </row>
    <row r="3755">
      <c r="A3755" t="n">
        <v>14080409</v>
      </c>
      <c r="B3755" t="n">
        <v>47298</v>
      </c>
      <c r="C3755" t="inlineStr">
        <is>
          <t>1408/04/09</t>
        </is>
      </c>
    </row>
    <row r="3756">
      <c r="A3756" t="n">
        <v>14080410</v>
      </c>
      <c r="B3756" t="n">
        <v>47299</v>
      </c>
      <c r="C3756" t="inlineStr">
        <is>
          <t>1408/04/10</t>
        </is>
      </c>
    </row>
    <row r="3757">
      <c r="A3757" t="n">
        <v>14080411</v>
      </c>
      <c r="B3757" t="n">
        <v>47300</v>
      </c>
      <c r="C3757" t="inlineStr">
        <is>
          <t>1408/04/11</t>
        </is>
      </c>
    </row>
    <row r="3758">
      <c r="A3758" t="n">
        <v>14080412</v>
      </c>
      <c r="B3758" t="n">
        <v>47301</v>
      </c>
      <c r="C3758" t="inlineStr">
        <is>
          <t>1408/04/12</t>
        </is>
      </c>
    </row>
    <row r="3759">
      <c r="A3759" t="n">
        <v>14080413</v>
      </c>
      <c r="B3759" t="n">
        <v>47302</v>
      </c>
      <c r="C3759" t="inlineStr">
        <is>
          <t>1408/04/13</t>
        </is>
      </c>
    </row>
    <row r="3760">
      <c r="A3760" t="n">
        <v>14080414</v>
      </c>
      <c r="B3760" t="n">
        <v>47303</v>
      </c>
      <c r="C3760" t="inlineStr">
        <is>
          <t>1408/04/14</t>
        </is>
      </c>
    </row>
    <row r="3761">
      <c r="A3761" t="n">
        <v>14080415</v>
      </c>
      <c r="B3761" t="n">
        <v>47304</v>
      </c>
      <c r="C3761" t="inlineStr">
        <is>
          <t>1408/04/15</t>
        </is>
      </c>
    </row>
    <row r="3762">
      <c r="A3762" t="n">
        <v>14080416</v>
      </c>
      <c r="B3762" t="n">
        <v>47305</v>
      </c>
      <c r="C3762" t="inlineStr">
        <is>
          <t>1408/04/16</t>
        </is>
      </c>
    </row>
    <row r="3763">
      <c r="A3763" t="n">
        <v>14080417</v>
      </c>
      <c r="B3763" t="n">
        <v>47306</v>
      </c>
      <c r="C3763" t="inlineStr">
        <is>
          <t>1408/04/17</t>
        </is>
      </c>
    </row>
    <row r="3764">
      <c r="A3764" t="n">
        <v>14080418</v>
      </c>
      <c r="B3764" t="n">
        <v>47307</v>
      </c>
      <c r="C3764" t="inlineStr">
        <is>
          <t>1408/04/18</t>
        </is>
      </c>
    </row>
    <row r="3765">
      <c r="A3765" t="n">
        <v>14080419</v>
      </c>
      <c r="B3765" t="n">
        <v>47308</v>
      </c>
      <c r="C3765" t="inlineStr">
        <is>
          <t>1408/04/19</t>
        </is>
      </c>
    </row>
    <row r="3766">
      <c r="A3766" t="n">
        <v>14080420</v>
      </c>
      <c r="B3766" t="n">
        <v>47309</v>
      </c>
      <c r="C3766" t="inlineStr">
        <is>
          <t>1408/04/20</t>
        </is>
      </c>
    </row>
    <row r="3767">
      <c r="A3767" t="n">
        <v>14080421</v>
      </c>
      <c r="B3767" t="n">
        <v>47310</v>
      </c>
      <c r="C3767" t="inlineStr">
        <is>
          <t>1408/04/21</t>
        </is>
      </c>
    </row>
    <row r="3768">
      <c r="A3768" t="n">
        <v>14080422</v>
      </c>
      <c r="B3768" t="n">
        <v>47311</v>
      </c>
      <c r="C3768" t="inlineStr">
        <is>
          <t>1408/04/22</t>
        </is>
      </c>
    </row>
    <row r="3769">
      <c r="A3769" t="n">
        <v>14080423</v>
      </c>
      <c r="B3769" t="n">
        <v>47312</v>
      </c>
      <c r="C3769" t="inlineStr">
        <is>
          <t>1408/04/23</t>
        </is>
      </c>
    </row>
    <row r="3770">
      <c r="A3770" t="n">
        <v>14080424</v>
      </c>
      <c r="B3770" t="n">
        <v>47313</v>
      </c>
      <c r="C3770" t="inlineStr">
        <is>
          <t>1408/04/24</t>
        </is>
      </c>
    </row>
    <row r="3771">
      <c r="A3771" t="n">
        <v>14080425</v>
      </c>
      <c r="B3771" t="n">
        <v>47314</v>
      </c>
      <c r="C3771" t="inlineStr">
        <is>
          <t>1408/04/25</t>
        </is>
      </c>
    </row>
    <row r="3772">
      <c r="A3772" t="n">
        <v>14080426</v>
      </c>
      <c r="B3772" t="n">
        <v>47315</v>
      </c>
      <c r="C3772" t="inlineStr">
        <is>
          <t>1408/04/26</t>
        </is>
      </c>
    </row>
    <row r="3773">
      <c r="A3773" t="n">
        <v>14080427</v>
      </c>
      <c r="B3773" t="n">
        <v>47316</v>
      </c>
      <c r="C3773" t="inlineStr">
        <is>
          <t>1408/04/27</t>
        </is>
      </c>
    </row>
    <row r="3774">
      <c r="A3774" t="n">
        <v>14080428</v>
      </c>
      <c r="B3774" t="n">
        <v>47317</v>
      </c>
      <c r="C3774" t="inlineStr">
        <is>
          <t>1408/04/28</t>
        </is>
      </c>
    </row>
    <row r="3775">
      <c r="A3775" t="n">
        <v>14080429</v>
      </c>
      <c r="B3775" t="n">
        <v>47318</v>
      </c>
      <c r="C3775" t="inlineStr">
        <is>
          <t>1408/04/29</t>
        </is>
      </c>
    </row>
    <row r="3776">
      <c r="A3776" t="n">
        <v>14080430</v>
      </c>
      <c r="B3776" t="n">
        <v>47319</v>
      </c>
      <c r="C3776" t="inlineStr">
        <is>
          <t>1408/04/30</t>
        </is>
      </c>
    </row>
    <row r="3777">
      <c r="A3777" t="n">
        <v>14080431</v>
      </c>
      <c r="B3777" t="n">
        <v>47320</v>
      </c>
      <c r="C3777" t="inlineStr">
        <is>
          <t>1408/04/31</t>
        </is>
      </c>
    </row>
    <row r="3778">
      <c r="A3778" t="n">
        <v>14080501</v>
      </c>
      <c r="B3778" t="n">
        <v>47321</v>
      </c>
      <c r="C3778" t="inlineStr">
        <is>
          <t>1408/05/01</t>
        </is>
      </c>
    </row>
    <row r="3779">
      <c r="A3779" t="n">
        <v>14080502</v>
      </c>
      <c r="B3779" t="n">
        <v>47322</v>
      </c>
      <c r="C3779" t="inlineStr">
        <is>
          <t>1408/05/02</t>
        </is>
      </c>
    </row>
    <row r="3780">
      <c r="A3780" t="n">
        <v>14080503</v>
      </c>
      <c r="B3780" t="n">
        <v>47323</v>
      </c>
      <c r="C3780" t="inlineStr">
        <is>
          <t>1408/05/03</t>
        </is>
      </c>
    </row>
    <row r="3781">
      <c r="A3781" t="n">
        <v>14080504</v>
      </c>
      <c r="B3781" t="n">
        <v>47324</v>
      </c>
      <c r="C3781" t="inlineStr">
        <is>
          <t>1408/05/04</t>
        </is>
      </c>
    </row>
    <row r="3782">
      <c r="A3782" t="n">
        <v>14080505</v>
      </c>
      <c r="B3782" t="n">
        <v>47325</v>
      </c>
      <c r="C3782" t="inlineStr">
        <is>
          <t>1408/05/05</t>
        </is>
      </c>
    </row>
    <row r="3783">
      <c r="A3783" t="n">
        <v>14080506</v>
      </c>
      <c r="B3783" t="n">
        <v>47326</v>
      </c>
      <c r="C3783" t="inlineStr">
        <is>
          <t>1408/05/06</t>
        </is>
      </c>
    </row>
    <row r="3784">
      <c r="A3784" t="n">
        <v>14080507</v>
      </c>
      <c r="B3784" t="n">
        <v>47327</v>
      </c>
      <c r="C3784" t="inlineStr">
        <is>
          <t>1408/05/07</t>
        </is>
      </c>
    </row>
    <row r="3785">
      <c r="A3785" t="n">
        <v>14080508</v>
      </c>
      <c r="B3785" t="n">
        <v>47328</v>
      </c>
      <c r="C3785" t="inlineStr">
        <is>
          <t>1408/05/08</t>
        </is>
      </c>
    </row>
    <row r="3786">
      <c r="A3786" t="n">
        <v>14080509</v>
      </c>
      <c r="B3786" t="n">
        <v>47329</v>
      </c>
      <c r="C3786" t="inlineStr">
        <is>
          <t>1408/05/09</t>
        </is>
      </c>
    </row>
    <row r="3787">
      <c r="A3787" t="n">
        <v>14080510</v>
      </c>
      <c r="B3787" t="n">
        <v>47330</v>
      </c>
      <c r="C3787" t="inlineStr">
        <is>
          <t>1408/05/10</t>
        </is>
      </c>
    </row>
    <row r="3788">
      <c r="A3788" t="n">
        <v>14080511</v>
      </c>
      <c r="B3788" t="n">
        <v>47331</v>
      </c>
      <c r="C3788" t="inlineStr">
        <is>
          <t>1408/05/11</t>
        </is>
      </c>
    </row>
    <row r="3789">
      <c r="A3789" t="n">
        <v>14080512</v>
      </c>
      <c r="B3789" t="n">
        <v>47332</v>
      </c>
      <c r="C3789" t="inlineStr">
        <is>
          <t>1408/05/12</t>
        </is>
      </c>
    </row>
    <row r="3790">
      <c r="A3790" t="n">
        <v>14080513</v>
      </c>
      <c r="B3790" t="n">
        <v>47333</v>
      </c>
      <c r="C3790" t="inlineStr">
        <is>
          <t>1408/05/13</t>
        </is>
      </c>
    </row>
    <row r="3791">
      <c r="A3791" t="n">
        <v>14080514</v>
      </c>
      <c r="B3791" t="n">
        <v>47334</v>
      </c>
      <c r="C3791" t="inlineStr">
        <is>
          <t>1408/05/14</t>
        </is>
      </c>
    </row>
    <row r="3792">
      <c r="A3792" t="n">
        <v>14080515</v>
      </c>
      <c r="B3792" t="n">
        <v>47335</v>
      </c>
      <c r="C3792" t="inlineStr">
        <is>
          <t>1408/05/15</t>
        </is>
      </c>
    </row>
    <row r="3793">
      <c r="A3793" t="n">
        <v>14080516</v>
      </c>
      <c r="B3793" t="n">
        <v>47336</v>
      </c>
      <c r="C3793" t="inlineStr">
        <is>
          <t>1408/05/16</t>
        </is>
      </c>
    </row>
    <row r="3794">
      <c r="A3794" t="n">
        <v>14080517</v>
      </c>
      <c r="B3794" t="n">
        <v>47337</v>
      </c>
      <c r="C3794" t="inlineStr">
        <is>
          <t>1408/05/17</t>
        </is>
      </c>
    </row>
    <row r="3795">
      <c r="A3795" t="n">
        <v>14080518</v>
      </c>
      <c r="B3795" t="n">
        <v>47338</v>
      </c>
      <c r="C3795" t="inlineStr">
        <is>
          <t>1408/05/18</t>
        </is>
      </c>
    </row>
    <row r="3796">
      <c r="A3796" t="n">
        <v>14080519</v>
      </c>
      <c r="B3796" t="n">
        <v>47339</v>
      </c>
      <c r="C3796" t="inlineStr">
        <is>
          <t>1408/05/19</t>
        </is>
      </c>
    </row>
    <row r="3797">
      <c r="A3797" t="n">
        <v>14080520</v>
      </c>
      <c r="B3797" t="n">
        <v>47340</v>
      </c>
      <c r="C3797" t="inlineStr">
        <is>
          <t>1408/05/20</t>
        </is>
      </c>
    </row>
    <row r="3798">
      <c r="A3798" t="n">
        <v>14080521</v>
      </c>
      <c r="B3798" t="n">
        <v>47341</v>
      </c>
      <c r="C3798" t="inlineStr">
        <is>
          <t>1408/05/21</t>
        </is>
      </c>
    </row>
    <row r="3799">
      <c r="A3799" t="n">
        <v>14080522</v>
      </c>
      <c r="B3799" t="n">
        <v>47342</v>
      </c>
      <c r="C3799" t="inlineStr">
        <is>
          <t>1408/05/22</t>
        </is>
      </c>
    </row>
    <row r="3800">
      <c r="A3800" t="n">
        <v>14080523</v>
      </c>
      <c r="B3800" t="n">
        <v>47343</v>
      </c>
      <c r="C3800" t="inlineStr">
        <is>
          <t>1408/05/23</t>
        </is>
      </c>
    </row>
    <row r="3801">
      <c r="A3801" t="n">
        <v>14080524</v>
      </c>
      <c r="B3801" t="n">
        <v>47344</v>
      </c>
      <c r="C3801" t="inlineStr">
        <is>
          <t>1408/05/24</t>
        </is>
      </c>
    </row>
    <row r="3802">
      <c r="A3802" t="n">
        <v>14080525</v>
      </c>
      <c r="B3802" t="n">
        <v>47345</v>
      </c>
      <c r="C3802" t="inlineStr">
        <is>
          <t>1408/05/25</t>
        </is>
      </c>
    </row>
    <row r="3803">
      <c r="A3803" t="n">
        <v>14080526</v>
      </c>
      <c r="B3803" t="n">
        <v>47346</v>
      </c>
      <c r="C3803" t="inlineStr">
        <is>
          <t>1408/05/26</t>
        </is>
      </c>
    </row>
    <row r="3804">
      <c r="A3804" t="n">
        <v>14080527</v>
      </c>
      <c r="B3804" t="n">
        <v>47347</v>
      </c>
      <c r="C3804" t="inlineStr">
        <is>
          <t>1408/05/27</t>
        </is>
      </c>
    </row>
    <row r="3805">
      <c r="A3805" t="n">
        <v>14080528</v>
      </c>
      <c r="B3805" t="n">
        <v>47348</v>
      </c>
      <c r="C3805" t="inlineStr">
        <is>
          <t>1408/05/28</t>
        </is>
      </c>
    </row>
    <row r="3806">
      <c r="A3806" t="n">
        <v>14080529</v>
      </c>
      <c r="B3806" t="n">
        <v>47349</v>
      </c>
      <c r="C3806" t="inlineStr">
        <is>
          <t>1408/05/29</t>
        </is>
      </c>
    </row>
    <row r="3807">
      <c r="A3807" t="n">
        <v>14080530</v>
      </c>
      <c r="B3807" t="n">
        <v>47350</v>
      </c>
      <c r="C3807" t="inlineStr">
        <is>
          <t>1408/05/30</t>
        </is>
      </c>
    </row>
    <row r="3808">
      <c r="A3808" t="n">
        <v>14080531</v>
      </c>
      <c r="B3808" t="n">
        <v>47351</v>
      </c>
      <c r="C3808" t="inlineStr">
        <is>
          <t>1408/05/31</t>
        </is>
      </c>
    </row>
    <row r="3809">
      <c r="A3809" t="n">
        <v>14080601</v>
      </c>
      <c r="B3809" t="n">
        <v>47352</v>
      </c>
      <c r="C3809" t="inlineStr">
        <is>
          <t>1408/06/01</t>
        </is>
      </c>
    </row>
    <row r="3810">
      <c r="A3810" t="n">
        <v>14080602</v>
      </c>
      <c r="B3810" t="n">
        <v>47353</v>
      </c>
      <c r="C3810" t="inlineStr">
        <is>
          <t>1408/06/02</t>
        </is>
      </c>
    </row>
    <row r="3811">
      <c r="A3811" t="n">
        <v>14080603</v>
      </c>
      <c r="B3811" t="n">
        <v>47354</v>
      </c>
      <c r="C3811" t="inlineStr">
        <is>
          <t>1408/06/03</t>
        </is>
      </c>
    </row>
    <row r="3812">
      <c r="A3812" t="n">
        <v>14080604</v>
      </c>
      <c r="B3812" t="n">
        <v>47355</v>
      </c>
      <c r="C3812" t="inlineStr">
        <is>
          <t>1408/06/04</t>
        </is>
      </c>
    </row>
    <row r="3813">
      <c r="A3813" t="n">
        <v>14080605</v>
      </c>
      <c r="B3813" t="n">
        <v>47356</v>
      </c>
      <c r="C3813" t="inlineStr">
        <is>
          <t>1408/06/05</t>
        </is>
      </c>
    </row>
    <row r="3814">
      <c r="A3814" t="n">
        <v>14080606</v>
      </c>
      <c r="B3814" t="n">
        <v>47357</v>
      </c>
      <c r="C3814" t="inlineStr">
        <is>
          <t>1408/06/06</t>
        </is>
      </c>
    </row>
    <row r="3815">
      <c r="A3815" t="n">
        <v>14080607</v>
      </c>
      <c r="B3815" t="n">
        <v>47358</v>
      </c>
      <c r="C3815" t="inlineStr">
        <is>
          <t>1408/06/07</t>
        </is>
      </c>
    </row>
    <row r="3816">
      <c r="A3816" t="n">
        <v>14080608</v>
      </c>
      <c r="B3816" t="n">
        <v>47359</v>
      </c>
      <c r="C3816" t="inlineStr">
        <is>
          <t>1408/06/08</t>
        </is>
      </c>
    </row>
    <row r="3817">
      <c r="A3817" t="n">
        <v>14080609</v>
      </c>
      <c r="B3817" t="n">
        <v>47360</v>
      </c>
      <c r="C3817" t="inlineStr">
        <is>
          <t>1408/06/09</t>
        </is>
      </c>
    </row>
    <row r="3818">
      <c r="A3818" t="n">
        <v>14080610</v>
      </c>
      <c r="B3818" t="n">
        <v>47361</v>
      </c>
      <c r="C3818" t="inlineStr">
        <is>
          <t>1408/06/10</t>
        </is>
      </c>
    </row>
    <row r="3819">
      <c r="A3819" t="n">
        <v>14080611</v>
      </c>
      <c r="B3819" t="n">
        <v>47362</v>
      </c>
      <c r="C3819" t="inlineStr">
        <is>
          <t>1408/06/11</t>
        </is>
      </c>
    </row>
    <row r="3820">
      <c r="A3820" t="n">
        <v>14080612</v>
      </c>
      <c r="B3820" t="n">
        <v>47363</v>
      </c>
      <c r="C3820" t="inlineStr">
        <is>
          <t>1408/06/12</t>
        </is>
      </c>
    </row>
    <row r="3821">
      <c r="A3821" t="n">
        <v>14080613</v>
      </c>
      <c r="B3821" t="n">
        <v>47364</v>
      </c>
      <c r="C3821" t="inlineStr">
        <is>
          <t>1408/06/13</t>
        </is>
      </c>
    </row>
    <row r="3822">
      <c r="A3822" t="n">
        <v>14080614</v>
      </c>
      <c r="B3822" t="n">
        <v>47365</v>
      </c>
      <c r="C3822" t="inlineStr">
        <is>
          <t>1408/06/14</t>
        </is>
      </c>
    </row>
    <row r="3823">
      <c r="A3823" t="n">
        <v>14080615</v>
      </c>
      <c r="B3823" t="n">
        <v>47366</v>
      </c>
      <c r="C3823" t="inlineStr">
        <is>
          <t>1408/06/15</t>
        </is>
      </c>
    </row>
    <row r="3824">
      <c r="A3824" t="n">
        <v>14080616</v>
      </c>
      <c r="B3824" t="n">
        <v>47367</v>
      </c>
      <c r="C3824" t="inlineStr">
        <is>
          <t>1408/06/16</t>
        </is>
      </c>
    </row>
    <row r="3825">
      <c r="A3825" t="n">
        <v>14080617</v>
      </c>
      <c r="B3825" t="n">
        <v>47368</v>
      </c>
      <c r="C3825" t="inlineStr">
        <is>
          <t>1408/06/17</t>
        </is>
      </c>
    </row>
    <row r="3826">
      <c r="A3826" t="n">
        <v>14080618</v>
      </c>
      <c r="B3826" t="n">
        <v>47369</v>
      </c>
      <c r="C3826" t="inlineStr">
        <is>
          <t>1408/06/18</t>
        </is>
      </c>
    </row>
    <row r="3827">
      <c r="A3827" t="n">
        <v>14080619</v>
      </c>
      <c r="B3827" t="n">
        <v>47370</v>
      </c>
      <c r="C3827" t="inlineStr">
        <is>
          <t>1408/06/19</t>
        </is>
      </c>
    </row>
    <row r="3828">
      <c r="A3828" t="n">
        <v>14080620</v>
      </c>
      <c r="B3828" t="n">
        <v>47371</v>
      </c>
      <c r="C3828" t="inlineStr">
        <is>
          <t>1408/06/20</t>
        </is>
      </c>
    </row>
    <row r="3829">
      <c r="A3829" t="n">
        <v>14080621</v>
      </c>
      <c r="B3829" t="n">
        <v>47372</v>
      </c>
      <c r="C3829" t="inlineStr">
        <is>
          <t>1408/06/21</t>
        </is>
      </c>
    </row>
    <row r="3830">
      <c r="A3830" t="n">
        <v>14080622</v>
      </c>
      <c r="B3830" t="n">
        <v>47373</v>
      </c>
      <c r="C3830" t="inlineStr">
        <is>
          <t>1408/06/22</t>
        </is>
      </c>
    </row>
    <row r="3831">
      <c r="A3831" t="n">
        <v>14080623</v>
      </c>
      <c r="B3831" t="n">
        <v>47374</v>
      </c>
      <c r="C3831" t="inlineStr">
        <is>
          <t>1408/06/23</t>
        </is>
      </c>
    </row>
    <row r="3832">
      <c r="A3832" t="n">
        <v>14080624</v>
      </c>
      <c r="B3832" t="n">
        <v>47375</v>
      </c>
      <c r="C3832" t="inlineStr">
        <is>
          <t>1408/06/24</t>
        </is>
      </c>
    </row>
    <row r="3833">
      <c r="A3833" t="n">
        <v>14080625</v>
      </c>
      <c r="B3833" t="n">
        <v>47376</v>
      </c>
      <c r="C3833" t="inlineStr">
        <is>
          <t>1408/06/25</t>
        </is>
      </c>
    </row>
    <row r="3834">
      <c r="A3834" t="n">
        <v>14080626</v>
      </c>
      <c r="B3834" t="n">
        <v>47377</v>
      </c>
      <c r="C3834" t="inlineStr">
        <is>
          <t>1408/06/26</t>
        </is>
      </c>
    </row>
    <row r="3835">
      <c r="A3835" t="n">
        <v>14080627</v>
      </c>
      <c r="B3835" t="n">
        <v>47378</v>
      </c>
      <c r="C3835" t="inlineStr">
        <is>
          <t>1408/06/27</t>
        </is>
      </c>
    </row>
    <row r="3836">
      <c r="A3836" t="n">
        <v>14080628</v>
      </c>
      <c r="B3836" t="n">
        <v>47379</v>
      </c>
      <c r="C3836" t="inlineStr">
        <is>
          <t>1408/06/28</t>
        </is>
      </c>
    </row>
    <row r="3837">
      <c r="A3837" t="n">
        <v>14080629</v>
      </c>
      <c r="B3837" t="n">
        <v>47380</v>
      </c>
      <c r="C3837" t="inlineStr">
        <is>
          <t>1408/06/29</t>
        </is>
      </c>
    </row>
    <row r="3838">
      <c r="A3838" t="n">
        <v>14080630</v>
      </c>
      <c r="B3838" t="n">
        <v>47381</v>
      </c>
      <c r="C3838" t="inlineStr">
        <is>
          <t>1408/06/30</t>
        </is>
      </c>
    </row>
    <row r="3839">
      <c r="A3839" t="n">
        <v>14080631</v>
      </c>
      <c r="B3839" t="n">
        <v>47382</v>
      </c>
      <c r="C3839" t="inlineStr">
        <is>
          <t>1408/06/31</t>
        </is>
      </c>
    </row>
    <row r="3840">
      <c r="A3840" t="n">
        <v>14080701</v>
      </c>
      <c r="B3840" t="n">
        <v>47383</v>
      </c>
      <c r="C3840" t="inlineStr">
        <is>
          <t>1408/07/01</t>
        </is>
      </c>
    </row>
    <row r="3841">
      <c r="A3841" t="n">
        <v>14080702</v>
      </c>
      <c r="B3841" t="n">
        <v>47384</v>
      </c>
      <c r="C3841" t="inlineStr">
        <is>
          <t>1408/07/02</t>
        </is>
      </c>
    </row>
    <row r="3842">
      <c r="A3842" t="n">
        <v>14080703</v>
      </c>
      <c r="B3842" t="n">
        <v>47385</v>
      </c>
      <c r="C3842" t="inlineStr">
        <is>
          <t>1408/07/03</t>
        </is>
      </c>
    </row>
    <row r="3843">
      <c r="A3843" t="n">
        <v>14080704</v>
      </c>
      <c r="B3843" t="n">
        <v>47386</v>
      </c>
      <c r="C3843" t="inlineStr">
        <is>
          <t>1408/07/04</t>
        </is>
      </c>
    </row>
    <row r="3844">
      <c r="A3844" t="n">
        <v>14080705</v>
      </c>
      <c r="B3844" t="n">
        <v>47387</v>
      </c>
      <c r="C3844" t="inlineStr">
        <is>
          <t>1408/07/05</t>
        </is>
      </c>
    </row>
    <row r="3845">
      <c r="A3845" t="n">
        <v>14080706</v>
      </c>
      <c r="B3845" t="n">
        <v>47388</v>
      </c>
      <c r="C3845" t="inlineStr">
        <is>
          <t>1408/07/06</t>
        </is>
      </c>
    </row>
    <row r="3846">
      <c r="A3846" t="n">
        <v>14080707</v>
      </c>
      <c r="B3846" t="n">
        <v>47389</v>
      </c>
      <c r="C3846" t="inlineStr">
        <is>
          <t>1408/07/07</t>
        </is>
      </c>
    </row>
    <row r="3847">
      <c r="A3847" t="n">
        <v>14080708</v>
      </c>
      <c r="B3847" t="n">
        <v>47390</v>
      </c>
      <c r="C3847" t="inlineStr">
        <is>
          <t>1408/07/08</t>
        </is>
      </c>
    </row>
    <row r="3848">
      <c r="A3848" t="n">
        <v>14080709</v>
      </c>
      <c r="B3848" t="n">
        <v>47391</v>
      </c>
      <c r="C3848" t="inlineStr">
        <is>
          <t>1408/07/09</t>
        </is>
      </c>
    </row>
    <row r="3849">
      <c r="A3849" t="n">
        <v>14080710</v>
      </c>
      <c r="B3849" t="n">
        <v>47392</v>
      </c>
      <c r="C3849" t="inlineStr">
        <is>
          <t>1408/07/10</t>
        </is>
      </c>
    </row>
    <row r="3850">
      <c r="A3850" t="n">
        <v>14080711</v>
      </c>
      <c r="B3850" t="n">
        <v>47393</v>
      </c>
      <c r="C3850" t="inlineStr">
        <is>
          <t>1408/07/11</t>
        </is>
      </c>
    </row>
    <row r="3851">
      <c r="A3851" t="n">
        <v>14080712</v>
      </c>
      <c r="B3851" t="n">
        <v>47394</v>
      </c>
      <c r="C3851" t="inlineStr">
        <is>
          <t>1408/07/12</t>
        </is>
      </c>
    </row>
    <row r="3852">
      <c r="A3852" t="n">
        <v>14080713</v>
      </c>
      <c r="B3852" t="n">
        <v>47395</v>
      </c>
      <c r="C3852" t="inlineStr">
        <is>
          <t>1408/07/13</t>
        </is>
      </c>
    </row>
    <row r="3853">
      <c r="A3853" t="n">
        <v>14080714</v>
      </c>
      <c r="B3853" t="n">
        <v>47396</v>
      </c>
      <c r="C3853" t="inlineStr">
        <is>
          <t>1408/07/14</t>
        </is>
      </c>
    </row>
    <row r="3854">
      <c r="A3854" t="n">
        <v>14080715</v>
      </c>
      <c r="B3854" t="n">
        <v>47397</v>
      </c>
      <c r="C3854" t="inlineStr">
        <is>
          <t>1408/07/15</t>
        </is>
      </c>
    </row>
    <row r="3855">
      <c r="A3855" t="n">
        <v>14080716</v>
      </c>
      <c r="B3855" t="n">
        <v>47398</v>
      </c>
      <c r="C3855" t="inlineStr">
        <is>
          <t>1408/07/16</t>
        </is>
      </c>
    </row>
    <row r="3856">
      <c r="A3856" t="n">
        <v>14080717</v>
      </c>
      <c r="B3856" t="n">
        <v>47399</v>
      </c>
      <c r="C3856" t="inlineStr">
        <is>
          <t>1408/07/17</t>
        </is>
      </c>
    </row>
    <row r="3857">
      <c r="A3857" t="n">
        <v>14080718</v>
      </c>
      <c r="B3857" t="n">
        <v>47400</v>
      </c>
      <c r="C3857" t="inlineStr">
        <is>
          <t>1408/07/18</t>
        </is>
      </c>
    </row>
    <row r="3858">
      <c r="A3858" t="n">
        <v>14080719</v>
      </c>
      <c r="B3858" t="n">
        <v>47401</v>
      </c>
      <c r="C3858" t="inlineStr">
        <is>
          <t>1408/07/19</t>
        </is>
      </c>
    </row>
    <row r="3859">
      <c r="A3859" t="n">
        <v>14080720</v>
      </c>
      <c r="B3859" t="n">
        <v>47402</v>
      </c>
      <c r="C3859" t="inlineStr">
        <is>
          <t>1408/07/20</t>
        </is>
      </c>
    </row>
    <row r="3860">
      <c r="A3860" t="n">
        <v>14080721</v>
      </c>
      <c r="B3860" t="n">
        <v>47403</v>
      </c>
      <c r="C3860" t="inlineStr">
        <is>
          <t>1408/07/21</t>
        </is>
      </c>
    </row>
    <row r="3861">
      <c r="A3861" t="n">
        <v>14080722</v>
      </c>
      <c r="B3861" t="n">
        <v>47404</v>
      </c>
      <c r="C3861" t="inlineStr">
        <is>
          <t>1408/07/22</t>
        </is>
      </c>
    </row>
    <row r="3862">
      <c r="A3862" t="n">
        <v>14080723</v>
      </c>
      <c r="B3862" t="n">
        <v>47405</v>
      </c>
      <c r="C3862" t="inlineStr">
        <is>
          <t>1408/07/23</t>
        </is>
      </c>
    </row>
    <row r="3863">
      <c r="A3863" t="n">
        <v>14080724</v>
      </c>
      <c r="B3863" t="n">
        <v>47406</v>
      </c>
      <c r="C3863" t="inlineStr">
        <is>
          <t>1408/07/24</t>
        </is>
      </c>
    </row>
    <row r="3864">
      <c r="A3864" t="n">
        <v>14080725</v>
      </c>
      <c r="B3864" t="n">
        <v>47407</v>
      </c>
      <c r="C3864" t="inlineStr">
        <is>
          <t>1408/07/25</t>
        </is>
      </c>
    </row>
    <row r="3865">
      <c r="A3865" t="n">
        <v>14080726</v>
      </c>
      <c r="B3865" t="n">
        <v>47408</v>
      </c>
      <c r="C3865" t="inlineStr">
        <is>
          <t>1408/07/26</t>
        </is>
      </c>
    </row>
    <row r="3866">
      <c r="A3866" t="n">
        <v>14080727</v>
      </c>
      <c r="B3866" t="n">
        <v>47409</v>
      </c>
      <c r="C3866" t="inlineStr">
        <is>
          <t>1408/07/27</t>
        </is>
      </c>
    </row>
    <row r="3867">
      <c r="A3867" t="n">
        <v>14080728</v>
      </c>
      <c r="B3867" t="n">
        <v>47410</v>
      </c>
      <c r="C3867" t="inlineStr">
        <is>
          <t>1408/07/28</t>
        </is>
      </c>
    </row>
    <row r="3868">
      <c r="A3868" t="n">
        <v>14080729</v>
      </c>
      <c r="B3868" t="n">
        <v>47411</v>
      </c>
      <c r="C3868" t="inlineStr">
        <is>
          <t>1408/07/29</t>
        </is>
      </c>
    </row>
    <row r="3869">
      <c r="A3869" t="n">
        <v>14080730</v>
      </c>
      <c r="B3869" t="n">
        <v>47412</v>
      </c>
      <c r="C3869" t="inlineStr">
        <is>
          <t>1408/07/30</t>
        </is>
      </c>
    </row>
    <row r="3870">
      <c r="A3870" t="n">
        <v>14080801</v>
      </c>
      <c r="B3870" t="n">
        <v>47413</v>
      </c>
      <c r="C3870" t="inlineStr">
        <is>
          <t>1408/08/01</t>
        </is>
      </c>
    </row>
    <row r="3871">
      <c r="A3871" t="n">
        <v>14080802</v>
      </c>
      <c r="B3871" t="n">
        <v>47414</v>
      </c>
      <c r="C3871" t="inlineStr">
        <is>
          <t>1408/08/02</t>
        </is>
      </c>
    </row>
    <row r="3872">
      <c r="A3872" t="n">
        <v>14080803</v>
      </c>
      <c r="B3872" t="n">
        <v>47415</v>
      </c>
      <c r="C3872" t="inlineStr">
        <is>
          <t>1408/08/03</t>
        </is>
      </c>
    </row>
    <row r="3873">
      <c r="A3873" t="n">
        <v>14080804</v>
      </c>
      <c r="B3873" t="n">
        <v>47416</v>
      </c>
      <c r="C3873" t="inlineStr">
        <is>
          <t>1408/08/04</t>
        </is>
      </c>
    </row>
    <row r="3874">
      <c r="A3874" t="n">
        <v>14080805</v>
      </c>
      <c r="B3874" t="n">
        <v>47417</v>
      </c>
      <c r="C3874" t="inlineStr">
        <is>
          <t>1408/08/05</t>
        </is>
      </c>
    </row>
    <row r="3875">
      <c r="A3875" t="n">
        <v>14080806</v>
      </c>
      <c r="B3875" t="n">
        <v>47418</v>
      </c>
      <c r="C3875" t="inlineStr">
        <is>
          <t>1408/08/06</t>
        </is>
      </c>
    </row>
    <row r="3876">
      <c r="A3876" t="n">
        <v>14080807</v>
      </c>
      <c r="B3876" t="n">
        <v>47419</v>
      </c>
      <c r="C3876" t="inlineStr">
        <is>
          <t>1408/08/07</t>
        </is>
      </c>
    </row>
    <row r="3877">
      <c r="A3877" t="n">
        <v>14080808</v>
      </c>
      <c r="B3877" t="n">
        <v>47420</v>
      </c>
      <c r="C3877" t="inlineStr">
        <is>
          <t>1408/08/08</t>
        </is>
      </c>
    </row>
    <row r="3878">
      <c r="A3878" t="n">
        <v>14080809</v>
      </c>
      <c r="B3878" t="n">
        <v>47421</v>
      </c>
      <c r="C3878" t="inlineStr">
        <is>
          <t>1408/08/09</t>
        </is>
      </c>
    </row>
    <row r="3879">
      <c r="A3879" t="n">
        <v>14080810</v>
      </c>
      <c r="B3879" t="n">
        <v>47422</v>
      </c>
      <c r="C3879" t="inlineStr">
        <is>
          <t>1408/08/10</t>
        </is>
      </c>
    </row>
    <row r="3880">
      <c r="A3880" t="n">
        <v>14080811</v>
      </c>
      <c r="B3880" t="n">
        <v>47423</v>
      </c>
      <c r="C3880" t="inlineStr">
        <is>
          <t>1408/08/11</t>
        </is>
      </c>
    </row>
    <row r="3881">
      <c r="A3881" t="n">
        <v>14080812</v>
      </c>
      <c r="B3881" t="n">
        <v>47424</v>
      </c>
      <c r="C3881" t="inlineStr">
        <is>
          <t>1408/08/12</t>
        </is>
      </c>
    </row>
    <row r="3882">
      <c r="A3882" t="n">
        <v>14080813</v>
      </c>
      <c r="B3882" t="n">
        <v>47425</v>
      </c>
      <c r="C3882" t="inlineStr">
        <is>
          <t>1408/08/13</t>
        </is>
      </c>
    </row>
    <row r="3883">
      <c r="A3883" t="n">
        <v>14080814</v>
      </c>
      <c r="B3883" t="n">
        <v>47426</v>
      </c>
      <c r="C3883" t="inlineStr">
        <is>
          <t>1408/08/14</t>
        </is>
      </c>
    </row>
    <row r="3884">
      <c r="A3884" t="n">
        <v>14080815</v>
      </c>
      <c r="B3884" t="n">
        <v>47427</v>
      </c>
      <c r="C3884" t="inlineStr">
        <is>
          <t>1408/08/15</t>
        </is>
      </c>
    </row>
    <row r="3885">
      <c r="A3885" t="n">
        <v>14080816</v>
      </c>
      <c r="B3885" t="n">
        <v>47428</v>
      </c>
      <c r="C3885" t="inlineStr">
        <is>
          <t>1408/08/16</t>
        </is>
      </c>
    </row>
    <row r="3886">
      <c r="A3886" t="n">
        <v>14080817</v>
      </c>
      <c r="B3886" t="n">
        <v>47429</v>
      </c>
      <c r="C3886" t="inlineStr">
        <is>
          <t>1408/08/17</t>
        </is>
      </c>
    </row>
    <row r="3887">
      <c r="A3887" t="n">
        <v>14080818</v>
      </c>
      <c r="B3887" t="n">
        <v>47430</v>
      </c>
      <c r="C3887" t="inlineStr">
        <is>
          <t>1408/08/18</t>
        </is>
      </c>
    </row>
    <row r="3888">
      <c r="A3888" t="n">
        <v>14080819</v>
      </c>
      <c r="B3888" t="n">
        <v>47431</v>
      </c>
      <c r="C3888" t="inlineStr">
        <is>
          <t>1408/08/19</t>
        </is>
      </c>
    </row>
    <row r="3889">
      <c r="A3889" t="n">
        <v>14080820</v>
      </c>
      <c r="B3889" t="n">
        <v>47432</v>
      </c>
      <c r="C3889" t="inlineStr">
        <is>
          <t>1408/08/20</t>
        </is>
      </c>
    </row>
    <row r="3890">
      <c r="A3890" t="n">
        <v>14080821</v>
      </c>
      <c r="B3890" t="n">
        <v>47433</v>
      </c>
      <c r="C3890" t="inlineStr">
        <is>
          <t>1408/08/21</t>
        </is>
      </c>
    </row>
    <row r="3891">
      <c r="A3891" t="n">
        <v>14080822</v>
      </c>
      <c r="B3891" t="n">
        <v>47434</v>
      </c>
      <c r="C3891" t="inlineStr">
        <is>
          <t>1408/08/22</t>
        </is>
      </c>
    </row>
    <row r="3892">
      <c r="A3892" t="n">
        <v>14080823</v>
      </c>
      <c r="B3892" t="n">
        <v>47435</v>
      </c>
      <c r="C3892" t="inlineStr">
        <is>
          <t>1408/08/23</t>
        </is>
      </c>
    </row>
    <row r="3893">
      <c r="A3893" t="n">
        <v>14080824</v>
      </c>
      <c r="B3893" t="n">
        <v>47436</v>
      </c>
      <c r="C3893" t="inlineStr">
        <is>
          <t>1408/08/24</t>
        </is>
      </c>
    </row>
    <row r="3894">
      <c r="A3894" t="n">
        <v>14080825</v>
      </c>
      <c r="B3894" t="n">
        <v>47437</v>
      </c>
      <c r="C3894" t="inlineStr">
        <is>
          <t>1408/08/25</t>
        </is>
      </c>
    </row>
    <row r="3895">
      <c r="A3895" t="n">
        <v>14080826</v>
      </c>
      <c r="B3895" t="n">
        <v>47438</v>
      </c>
      <c r="C3895" t="inlineStr">
        <is>
          <t>1408/08/26</t>
        </is>
      </c>
    </row>
    <row r="3896">
      <c r="A3896" t="n">
        <v>14080827</v>
      </c>
      <c r="B3896" t="n">
        <v>47439</v>
      </c>
      <c r="C3896" t="inlineStr">
        <is>
          <t>1408/08/27</t>
        </is>
      </c>
    </row>
    <row r="3897">
      <c r="A3897" t="n">
        <v>14080828</v>
      </c>
      <c r="B3897" t="n">
        <v>47440</v>
      </c>
      <c r="C3897" t="inlineStr">
        <is>
          <t>1408/08/28</t>
        </is>
      </c>
    </row>
    <row r="3898">
      <c r="A3898" t="n">
        <v>14080829</v>
      </c>
      <c r="B3898" t="n">
        <v>47441</v>
      </c>
      <c r="C3898" t="inlineStr">
        <is>
          <t>1408/08/29</t>
        </is>
      </c>
    </row>
    <row r="3899">
      <c r="A3899" t="n">
        <v>14080830</v>
      </c>
      <c r="B3899" t="n">
        <v>47442</v>
      </c>
      <c r="C3899" t="inlineStr">
        <is>
          <t>1408/08/30</t>
        </is>
      </c>
    </row>
    <row r="3900">
      <c r="A3900" t="n">
        <v>14080901</v>
      </c>
      <c r="B3900" t="n">
        <v>47443</v>
      </c>
      <c r="C3900" t="inlineStr">
        <is>
          <t>1408/09/01</t>
        </is>
      </c>
    </row>
    <row r="3901">
      <c r="A3901" t="n">
        <v>14080902</v>
      </c>
      <c r="B3901" t="n">
        <v>47444</v>
      </c>
      <c r="C3901" t="inlineStr">
        <is>
          <t>1408/09/02</t>
        </is>
      </c>
    </row>
    <row r="3902">
      <c r="A3902" t="n">
        <v>14080903</v>
      </c>
      <c r="B3902" t="n">
        <v>47445</v>
      </c>
      <c r="C3902" t="inlineStr">
        <is>
          <t>1408/09/03</t>
        </is>
      </c>
    </row>
    <row r="3903">
      <c r="A3903" t="n">
        <v>14080904</v>
      </c>
      <c r="B3903" t="n">
        <v>47446</v>
      </c>
      <c r="C3903" t="inlineStr">
        <is>
          <t>1408/09/04</t>
        </is>
      </c>
    </row>
    <row r="3904">
      <c r="A3904" t="n">
        <v>14080905</v>
      </c>
      <c r="B3904" t="n">
        <v>47447</v>
      </c>
      <c r="C3904" t="inlineStr">
        <is>
          <t>1408/09/05</t>
        </is>
      </c>
    </row>
    <row r="3905">
      <c r="A3905" t="n">
        <v>14080906</v>
      </c>
      <c r="B3905" t="n">
        <v>47448</v>
      </c>
      <c r="C3905" t="inlineStr">
        <is>
          <t>1408/09/06</t>
        </is>
      </c>
    </row>
    <row r="3906">
      <c r="A3906" t="n">
        <v>14080907</v>
      </c>
      <c r="B3906" t="n">
        <v>47449</v>
      </c>
      <c r="C3906" t="inlineStr">
        <is>
          <t>1408/09/07</t>
        </is>
      </c>
    </row>
    <row r="3907">
      <c r="A3907" t="n">
        <v>14080908</v>
      </c>
      <c r="B3907" t="n">
        <v>47450</v>
      </c>
      <c r="C3907" t="inlineStr">
        <is>
          <t>1408/09/08</t>
        </is>
      </c>
    </row>
    <row r="3908">
      <c r="A3908" t="n">
        <v>14080909</v>
      </c>
      <c r="B3908" t="n">
        <v>47451</v>
      </c>
      <c r="C3908" t="inlineStr">
        <is>
          <t>1408/09/09</t>
        </is>
      </c>
    </row>
    <row r="3909">
      <c r="A3909" t="n">
        <v>14080910</v>
      </c>
      <c r="B3909" t="n">
        <v>47452</v>
      </c>
      <c r="C3909" t="inlineStr">
        <is>
          <t>1408/09/10</t>
        </is>
      </c>
    </row>
    <row r="3910">
      <c r="A3910" t="n">
        <v>14080911</v>
      </c>
      <c r="B3910" t="n">
        <v>47453</v>
      </c>
      <c r="C3910" t="inlineStr">
        <is>
          <t>1408/09/11</t>
        </is>
      </c>
    </row>
    <row r="3911">
      <c r="A3911" t="n">
        <v>14080912</v>
      </c>
      <c r="B3911" t="n">
        <v>47454</v>
      </c>
      <c r="C3911" t="inlineStr">
        <is>
          <t>1408/09/12</t>
        </is>
      </c>
    </row>
    <row r="3912">
      <c r="A3912" t="n">
        <v>14080913</v>
      </c>
      <c r="B3912" t="n">
        <v>47455</v>
      </c>
      <c r="C3912" t="inlineStr">
        <is>
          <t>1408/09/13</t>
        </is>
      </c>
    </row>
    <row r="3913">
      <c r="A3913" t="n">
        <v>14080914</v>
      </c>
      <c r="B3913" t="n">
        <v>47456</v>
      </c>
      <c r="C3913" t="inlineStr">
        <is>
          <t>1408/09/14</t>
        </is>
      </c>
    </row>
    <row r="3914">
      <c r="A3914" t="n">
        <v>14080915</v>
      </c>
      <c r="B3914" t="n">
        <v>47457</v>
      </c>
      <c r="C3914" t="inlineStr">
        <is>
          <t>1408/09/15</t>
        </is>
      </c>
    </row>
    <row r="3915">
      <c r="A3915" t="n">
        <v>14080916</v>
      </c>
      <c r="B3915" t="n">
        <v>47458</v>
      </c>
      <c r="C3915" t="inlineStr">
        <is>
          <t>1408/09/16</t>
        </is>
      </c>
    </row>
    <row r="3916">
      <c r="A3916" t="n">
        <v>14080917</v>
      </c>
      <c r="B3916" t="n">
        <v>47459</v>
      </c>
      <c r="C3916" t="inlineStr">
        <is>
          <t>1408/09/17</t>
        </is>
      </c>
    </row>
    <row r="3917">
      <c r="A3917" t="n">
        <v>14080918</v>
      </c>
      <c r="B3917" t="n">
        <v>47460</v>
      </c>
      <c r="C3917" t="inlineStr">
        <is>
          <t>1408/09/18</t>
        </is>
      </c>
    </row>
    <row r="3918">
      <c r="A3918" t="n">
        <v>14080919</v>
      </c>
      <c r="B3918" t="n">
        <v>47461</v>
      </c>
      <c r="C3918" t="inlineStr">
        <is>
          <t>1408/09/19</t>
        </is>
      </c>
    </row>
    <row r="3919">
      <c r="A3919" t="n">
        <v>14080920</v>
      </c>
      <c r="B3919" t="n">
        <v>47462</v>
      </c>
      <c r="C3919" t="inlineStr">
        <is>
          <t>1408/09/20</t>
        </is>
      </c>
    </row>
    <row r="3920">
      <c r="A3920" t="n">
        <v>14080921</v>
      </c>
      <c r="B3920" t="n">
        <v>47463</v>
      </c>
      <c r="C3920" t="inlineStr">
        <is>
          <t>1408/09/21</t>
        </is>
      </c>
    </row>
    <row r="3921">
      <c r="A3921" t="n">
        <v>14080922</v>
      </c>
      <c r="B3921" t="n">
        <v>47464</v>
      </c>
      <c r="C3921" t="inlineStr">
        <is>
          <t>1408/09/22</t>
        </is>
      </c>
    </row>
    <row r="3922">
      <c r="A3922" t="n">
        <v>14080923</v>
      </c>
      <c r="B3922" t="n">
        <v>47465</v>
      </c>
      <c r="C3922" t="inlineStr">
        <is>
          <t>1408/09/23</t>
        </is>
      </c>
    </row>
    <row r="3923">
      <c r="A3923" t="n">
        <v>14080924</v>
      </c>
      <c r="B3923" t="n">
        <v>47466</v>
      </c>
      <c r="C3923" t="inlineStr">
        <is>
          <t>1408/09/24</t>
        </is>
      </c>
    </row>
    <row r="3924">
      <c r="A3924" t="n">
        <v>14080925</v>
      </c>
      <c r="B3924" t="n">
        <v>47467</v>
      </c>
      <c r="C3924" t="inlineStr">
        <is>
          <t>1408/09/25</t>
        </is>
      </c>
    </row>
    <row r="3925">
      <c r="A3925" t="n">
        <v>14080926</v>
      </c>
      <c r="B3925" t="n">
        <v>47468</v>
      </c>
      <c r="C3925" t="inlineStr">
        <is>
          <t>1408/09/26</t>
        </is>
      </c>
    </row>
    <row r="3926">
      <c r="A3926" t="n">
        <v>14080927</v>
      </c>
      <c r="B3926" t="n">
        <v>47469</v>
      </c>
      <c r="C3926" t="inlineStr">
        <is>
          <t>1408/09/27</t>
        </is>
      </c>
    </row>
    <row r="3927">
      <c r="A3927" t="n">
        <v>14080928</v>
      </c>
      <c r="B3927" t="n">
        <v>47470</v>
      </c>
      <c r="C3927" t="inlineStr">
        <is>
          <t>1408/09/28</t>
        </is>
      </c>
    </row>
    <row r="3928">
      <c r="A3928" t="n">
        <v>14080929</v>
      </c>
      <c r="B3928" t="n">
        <v>47471</v>
      </c>
      <c r="C3928" t="inlineStr">
        <is>
          <t>1408/09/29</t>
        </is>
      </c>
    </row>
    <row r="3929">
      <c r="A3929" t="n">
        <v>14080930</v>
      </c>
      <c r="B3929" t="n">
        <v>47472</v>
      </c>
      <c r="C3929" t="inlineStr">
        <is>
          <t>1408/09/30</t>
        </is>
      </c>
    </row>
    <row r="3930">
      <c r="A3930" t="n">
        <v>14081001</v>
      </c>
      <c r="B3930" t="n">
        <v>47473</v>
      </c>
      <c r="C3930" t="inlineStr">
        <is>
          <t>1408/10/01</t>
        </is>
      </c>
    </row>
    <row r="3931">
      <c r="A3931" t="n">
        <v>14081002</v>
      </c>
      <c r="B3931" t="n">
        <v>47474</v>
      </c>
      <c r="C3931" t="inlineStr">
        <is>
          <t>1408/10/02</t>
        </is>
      </c>
    </row>
    <row r="3932">
      <c r="A3932" t="n">
        <v>14081003</v>
      </c>
      <c r="B3932" t="n">
        <v>47475</v>
      </c>
      <c r="C3932" t="inlineStr">
        <is>
          <t>1408/10/03</t>
        </is>
      </c>
    </row>
    <row r="3933">
      <c r="A3933" t="n">
        <v>14081004</v>
      </c>
      <c r="B3933" t="n">
        <v>47476</v>
      </c>
      <c r="C3933" t="inlineStr">
        <is>
          <t>1408/10/04</t>
        </is>
      </c>
    </row>
    <row r="3934">
      <c r="A3934" t="n">
        <v>14081005</v>
      </c>
      <c r="B3934" t="n">
        <v>47477</v>
      </c>
      <c r="C3934" t="inlineStr">
        <is>
          <t>1408/10/05</t>
        </is>
      </c>
    </row>
    <row r="3935">
      <c r="A3935" t="n">
        <v>14081006</v>
      </c>
      <c r="B3935" t="n">
        <v>47478</v>
      </c>
      <c r="C3935" t="inlineStr">
        <is>
          <t>1408/10/06</t>
        </is>
      </c>
    </row>
    <row r="3936">
      <c r="A3936" t="n">
        <v>14081007</v>
      </c>
      <c r="B3936" t="n">
        <v>47479</v>
      </c>
      <c r="C3936" t="inlineStr">
        <is>
          <t>1408/10/07</t>
        </is>
      </c>
    </row>
    <row r="3937">
      <c r="A3937" t="n">
        <v>14081008</v>
      </c>
      <c r="B3937" t="n">
        <v>47480</v>
      </c>
      <c r="C3937" t="inlineStr">
        <is>
          <t>1408/10/08</t>
        </is>
      </c>
    </row>
    <row r="3938">
      <c r="A3938" t="n">
        <v>14081009</v>
      </c>
      <c r="B3938" t="n">
        <v>47481</v>
      </c>
      <c r="C3938" t="inlineStr">
        <is>
          <t>1408/10/09</t>
        </is>
      </c>
    </row>
    <row r="3939">
      <c r="A3939" t="n">
        <v>14081010</v>
      </c>
      <c r="B3939" t="n">
        <v>47482</v>
      </c>
      <c r="C3939" t="inlineStr">
        <is>
          <t>1408/10/10</t>
        </is>
      </c>
    </row>
    <row r="3940">
      <c r="A3940" t="n">
        <v>14081011</v>
      </c>
      <c r="B3940" t="n">
        <v>47483</v>
      </c>
      <c r="C3940" t="inlineStr">
        <is>
          <t>1408/10/11</t>
        </is>
      </c>
    </row>
    <row r="3941">
      <c r="A3941" t="n">
        <v>14081012</v>
      </c>
      <c r="B3941" t="n">
        <v>47484</v>
      </c>
      <c r="C3941" t="inlineStr">
        <is>
          <t>1408/10/12</t>
        </is>
      </c>
    </row>
    <row r="3942">
      <c r="A3942" t="n">
        <v>14081013</v>
      </c>
      <c r="B3942" t="n">
        <v>47485</v>
      </c>
      <c r="C3942" t="inlineStr">
        <is>
          <t>1408/10/13</t>
        </is>
      </c>
    </row>
    <row r="3943">
      <c r="A3943" t="n">
        <v>14081014</v>
      </c>
      <c r="B3943" t="n">
        <v>47486</v>
      </c>
      <c r="C3943" t="inlineStr">
        <is>
          <t>1408/10/14</t>
        </is>
      </c>
    </row>
    <row r="3944">
      <c r="A3944" t="n">
        <v>14081015</v>
      </c>
      <c r="B3944" t="n">
        <v>47487</v>
      </c>
      <c r="C3944" t="inlineStr">
        <is>
          <t>1408/10/15</t>
        </is>
      </c>
    </row>
    <row r="3945">
      <c r="A3945" t="n">
        <v>14081016</v>
      </c>
      <c r="B3945" t="n">
        <v>47488</v>
      </c>
      <c r="C3945" t="inlineStr">
        <is>
          <t>1408/10/16</t>
        </is>
      </c>
    </row>
    <row r="3946">
      <c r="A3946" t="n">
        <v>14081017</v>
      </c>
      <c r="B3946" t="n">
        <v>47489</v>
      </c>
      <c r="C3946" t="inlineStr">
        <is>
          <t>1408/10/17</t>
        </is>
      </c>
    </row>
    <row r="3947">
      <c r="A3947" t="n">
        <v>14081018</v>
      </c>
      <c r="B3947" t="n">
        <v>47490</v>
      </c>
      <c r="C3947" t="inlineStr">
        <is>
          <t>1408/10/18</t>
        </is>
      </c>
    </row>
    <row r="3948">
      <c r="A3948" t="n">
        <v>14081019</v>
      </c>
      <c r="B3948" t="n">
        <v>47491</v>
      </c>
      <c r="C3948" t="inlineStr">
        <is>
          <t>1408/10/19</t>
        </is>
      </c>
    </row>
    <row r="3949">
      <c r="A3949" t="n">
        <v>14081020</v>
      </c>
      <c r="B3949" t="n">
        <v>47492</v>
      </c>
      <c r="C3949" t="inlineStr">
        <is>
          <t>1408/10/20</t>
        </is>
      </c>
    </row>
    <row r="3950">
      <c r="A3950" t="n">
        <v>14081021</v>
      </c>
      <c r="B3950" t="n">
        <v>47493</v>
      </c>
      <c r="C3950" t="inlineStr">
        <is>
          <t>1408/10/21</t>
        </is>
      </c>
    </row>
    <row r="3951">
      <c r="A3951" t="n">
        <v>14081022</v>
      </c>
      <c r="B3951" t="n">
        <v>47494</v>
      </c>
      <c r="C3951" t="inlineStr">
        <is>
          <t>1408/10/22</t>
        </is>
      </c>
    </row>
    <row r="3952">
      <c r="A3952" t="n">
        <v>14081023</v>
      </c>
      <c r="B3952" t="n">
        <v>47495</v>
      </c>
      <c r="C3952" t="inlineStr">
        <is>
          <t>1408/10/23</t>
        </is>
      </c>
    </row>
    <row r="3953">
      <c r="A3953" t="n">
        <v>14081024</v>
      </c>
      <c r="B3953" t="n">
        <v>47496</v>
      </c>
      <c r="C3953" t="inlineStr">
        <is>
          <t>1408/10/24</t>
        </is>
      </c>
    </row>
    <row r="3954">
      <c r="A3954" t="n">
        <v>14081025</v>
      </c>
      <c r="B3954" t="n">
        <v>47497</v>
      </c>
      <c r="C3954" t="inlineStr">
        <is>
          <t>1408/10/25</t>
        </is>
      </c>
    </row>
    <row r="3955">
      <c r="A3955" t="n">
        <v>14081026</v>
      </c>
      <c r="B3955" t="n">
        <v>47498</v>
      </c>
      <c r="C3955" t="inlineStr">
        <is>
          <t>1408/10/26</t>
        </is>
      </c>
    </row>
    <row r="3956">
      <c r="A3956" t="n">
        <v>14081027</v>
      </c>
      <c r="B3956" t="n">
        <v>47499</v>
      </c>
      <c r="C3956" t="inlineStr">
        <is>
          <t>1408/10/27</t>
        </is>
      </c>
    </row>
    <row r="3957">
      <c r="A3957" t="n">
        <v>14081028</v>
      </c>
      <c r="B3957" t="n">
        <v>47500</v>
      </c>
      <c r="C3957" t="inlineStr">
        <is>
          <t>1408/10/28</t>
        </is>
      </c>
    </row>
    <row r="3958">
      <c r="A3958" t="n">
        <v>14081029</v>
      </c>
      <c r="B3958" t="n">
        <v>47501</v>
      </c>
      <c r="C3958" t="inlineStr">
        <is>
          <t>1408/10/29</t>
        </is>
      </c>
    </row>
    <row r="3959">
      <c r="A3959" t="n">
        <v>14081030</v>
      </c>
      <c r="B3959" t="n">
        <v>47502</v>
      </c>
      <c r="C3959" t="inlineStr">
        <is>
          <t>1408/10/30</t>
        </is>
      </c>
    </row>
    <row r="3960">
      <c r="A3960" t="n">
        <v>14081101</v>
      </c>
      <c r="B3960" t="n">
        <v>47503</v>
      </c>
      <c r="C3960" t="inlineStr">
        <is>
          <t>1408/11/01</t>
        </is>
      </c>
    </row>
    <row r="3961">
      <c r="A3961" t="n">
        <v>14081102</v>
      </c>
      <c r="B3961" t="n">
        <v>47504</v>
      </c>
      <c r="C3961" t="inlineStr">
        <is>
          <t>1408/11/02</t>
        </is>
      </c>
    </row>
    <row r="3962">
      <c r="A3962" t="n">
        <v>14081103</v>
      </c>
      <c r="B3962" t="n">
        <v>47505</v>
      </c>
      <c r="C3962" t="inlineStr">
        <is>
          <t>1408/11/03</t>
        </is>
      </c>
    </row>
    <row r="3963">
      <c r="A3963" t="n">
        <v>14081104</v>
      </c>
      <c r="B3963" t="n">
        <v>47506</v>
      </c>
      <c r="C3963" t="inlineStr">
        <is>
          <t>1408/11/04</t>
        </is>
      </c>
    </row>
    <row r="3964">
      <c r="A3964" t="n">
        <v>14081105</v>
      </c>
      <c r="B3964" t="n">
        <v>47507</v>
      </c>
      <c r="C3964" t="inlineStr">
        <is>
          <t>1408/11/05</t>
        </is>
      </c>
    </row>
    <row r="3965">
      <c r="A3965" t="n">
        <v>14081106</v>
      </c>
      <c r="B3965" t="n">
        <v>47508</v>
      </c>
      <c r="C3965" t="inlineStr">
        <is>
          <t>1408/11/06</t>
        </is>
      </c>
    </row>
    <row r="3966">
      <c r="A3966" t="n">
        <v>14081107</v>
      </c>
      <c r="B3966" t="n">
        <v>47509</v>
      </c>
      <c r="C3966" t="inlineStr">
        <is>
          <t>1408/11/07</t>
        </is>
      </c>
    </row>
    <row r="3967">
      <c r="A3967" t="n">
        <v>14081108</v>
      </c>
      <c r="B3967" t="n">
        <v>47510</v>
      </c>
      <c r="C3967" t="inlineStr">
        <is>
          <t>1408/11/08</t>
        </is>
      </c>
    </row>
    <row r="3968">
      <c r="A3968" t="n">
        <v>14081109</v>
      </c>
      <c r="B3968" t="n">
        <v>47511</v>
      </c>
      <c r="C3968" t="inlineStr">
        <is>
          <t>1408/11/09</t>
        </is>
      </c>
    </row>
    <row r="3969">
      <c r="A3969" t="n">
        <v>14081110</v>
      </c>
      <c r="B3969" t="n">
        <v>47512</v>
      </c>
      <c r="C3969" t="inlineStr">
        <is>
          <t>1408/11/10</t>
        </is>
      </c>
    </row>
    <row r="3970">
      <c r="A3970" t="n">
        <v>14081111</v>
      </c>
      <c r="B3970" t="n">
        <v>47513</v>
      </c>
      <c r="C3970" t="inlineStr">
        <is>
          <t>1408/11/11</t>
        </is>
      </c>
    </row>
    <row r="3971">
      <c r="A3971" t="n">
        <v>14081112</v>
      </c>
      <c r="B3971" t="n">
        <v>47514</v>
      </c>
      <c r="C3971" t="inlineStr">
        <is>
          <t>1408/11/12</t>
        </is>
      </c>
    </row>
    <row r="3972">
      <c r="A3972" t="n">
        <v>14081113</v>
      </c>
      <c r="B3972" t="n">
        <v>47515</v>
      </c>
      <c r="C3972" t="inlineStr">
        <is>
          <t>1408/11/13</t>
        </is>
      </c>
    </row>
    <row r="3973">
      <c r="A3973" t="n">
        <v>14081114</v>
      </c>
      <c r="B3973" t="n">
        <v>47516</v>
      </c>
      <c r="C3973" t="inlineStr">
        <is>
          <t>1408/11/14</t>
        </is>
      </c>
    </row>
    <row r="3974">
      <c r="A3974" t="n">
        <v>14081115</v>
      </c>
      <c r="B3974" t="n">
        <v>47517</v>
      </c>
      <c r="C3974" t="inlineStr">
        <is>
          <t>1408/11/15</t>
        </is>
      </c>
    </row>
    <row r="3975">
      <c r="A3975" t="n">
        <v>14081116</v>
      </c>
      <c r="B3975" t="n">
        <v>47518</v>
      </c>
      <c r="C3975" t="inlineStr">
        <is>
          <t>1408/11/16</t>
        </is>
      </c>
    </row>
    <row r="3976">
      <c r="A3976" t="n">
        <v>14081117</v>
      </c>
      <c r="B3976" t="n">
        <v>47519</v>
      </c>
      <c r="C3976" t="inlineStr">
        <is>
          <t>1408/11/17</t>
        </is>
      </c>
    </row>
    <row r="3977">
      <c r="A3977" t="n">
        <v>14081118</v>
      </c>
      <c r="B3977" t="n">
        <v>47520</v>
      </c>
      <c r="C3977" t="inlineStr">
        <is>
          <t>1408/11/18</t>
        </is>
      </c>
    </row>
    <row r="3978">
      <c r="A3978" t="n">
        <v>14081119</v>
      </c>
      <c r="B3978" t="n">
        <v>47521</v>
      </c>
      <c r="C3978" t="inlineStr">
        <is>
          <t>1408/11/19</t>
        </is>
      </c>
    </row>
    <row r="3979">
      <c r="A3979" t="n">
        <v>14081120</v>
      </c>
      <c r="B3979" t="n">
        <v>47522</v>
      </c>
      <c r="C3979" t="inlineStr">
        <is>
          <t>1408/11/20</t>
        </is>
      </c>
    </row>
    <row r="3980">
      <c r="A3980" t="n">
        <v>14081121</v>
      </c>
      <c r="B3980" t="n">
        <v>47523</v>
      </c>
      <c r="C3980" t="inlineStr">
        <is>
          <t>1408/11/21</t>
        </is>
      </c>
    </row>
    <row r="3981">
      <c r="A3981" t="n">
        <v>14081122</v>
      </c>
      <c r="B3981" t="n">
        <v>47524</v>
      </c>
      <c r="C3981" t="inlineStr">
        <is>
          <t>1408/11/22</t>
        </is>
      </c>
    </row>
    <row r="3982">
      <c r="A3982" t="n">
        <v>14081123</v>
      </c>
      <c r="B3982" t="n">
        <v>47525</v>
      </c>
      <c r="C3982" t="inlineStr">
        <is>
          <t>1408/11/23</t>
        </is>
      </c>
    </row>
    <row r="3983">
      <c r="A3983" t="n">
        <v>14081124</v>
      </c>
      <c r="B3983" t="n">
        <v>47526</v>
      </c>
      <c r="C3983" t="inlineStr">
        <is>
          <t>1408/11/24</t>
        </is>
      </c>
    </row>
    <row r="3984">
      <c r="A3984" t="n">
        <v>14081125</v>
      </c>
      <c r="B3984" t="n">
        <v>47527</v>
      </c>
      <c r="C3984" t="inlineStr">
        <is>
          <t>1408/11/25</t>
        </is>
      </c>
    </row>
    <row r="3985">
      <c r="A3985" t="n">
        <v>14081126</v>
      </c>
      <c r="B3985" t="n">
        <v>47528</v>
      </c>
      <c r="C3985" t="inlineStr">
        <is>
          <t>1408/11/26</t>
        </is>
      </c>
    </row>
    <row r="3986">
      <c r="A3986" t="n">
        <v>14081127</v>
      </c>
      <c r="B3986" t="n">
        <v>47529</v>
      </c>
      <c r="C3986" t="inlineStr">
        <is>
          <t>1408/11/27</t>
        </is>
      </c>
    </row>
    <row r="3987">
      <c r="A3987" t="n">
        <v>14081128</v>
      </c>
      <c r="B3987" t="n">
        <v>47530</v>
      </c>
      <c r="C3987" t="inlineStr">
        <is>
          <t>1408/11/28</t>
        </is>
      </c>
    </row>
    <row r="3988">
      <c r="A3988" t="n">
        <v>14081129</v>
      </c>
      <c r="B3988" t="n">
        <v>47531</v>
      </c>
      <c r="C3988" t="inlineStr">
        <is>
          <t>1408/11/29</t>
        </is>
      </c>
    </row>
    <row r="3989">
      <c r="A3989" t="n">
        <v>14081130</v>
      </c>
      <c r="B3989" t="n">
        <v>47532</v>
      </c>
      <c r="C3989" t="inlineStr">
        <is>
          <t>1408/11/30</t>
        </is>
      </c>
    </row>
    <row r="3990">
      <c r="A3990" t="n">
        <v>14081201</v>
      </c>
      <c r="B3990" t="n">
        <v>47533</v>
      </c>
      <c r="C3990" t="inlineStr">
        <is>
          <t>1408/12/01</t>
        </is>
      </c>
    </row>
    <row r="3991">
      <c r="A3991" t="n">
        <v>14081202</v>
      </c>
      <c r="B3991" t="n">
        <v>47534</v>
      </c>
      <c r="C3991" t="inlineStr">
        <is>
          <t>1408/12/02</t>
        </is>
      </c>
    </row>
    <row r="3992">
      <c r="A3992" t="n">
        <v>14081203</v>
      </c>
      <c r="B3992" t="n">
        <v>47535</v>
      </c>
      <c r="C3992" t="inlineStr">
        <is>
          <t>1408/12/03</t>
        </is>
      </c>
    </row>
    <row r="3993">
      <c r="A3993" t="n">
        <v>14081204</v>
      </c>
      <c r="B3993" t="n">
        <v>47536</v>
      </c>
      <c r="C3993" t="inlineStr">
        <is>
          <t>1408/12/04</t>
        </is>
      </c>
    </row>
    <row r="3994">
      <c r="A3994" t="n">
        <v>14081205</v>
      </c>
      <c r="B3994" t="n">
        <v>47537</v>
      </c>
      <c r="C3994" t="inlineStr">
        <is>
          <t>1408/12/05</t>
        </is>
      </c>
    </row>
    <row r="3995">
      <c r="A3995" t="n">
        <v>14081206</v>
      </c>
      <c r="B3995" t="n">
        <v>47538</v>
      </c>
      <c r="C3995" t="inlineStr">
        <is>
          <t>1408/12/06</t>
        </is>
      </c>
    </row>
    <row r="3996">
      <c r="A3996" t="n">
        <v>14081207</v>
      </c>
      <c r="B3996" t="n">
        <v>47539</v>
      </c>
      <c r="C3996" t="inlineStr">
        <is>
          <t>1408/12/07</t>
        </is>
      </c>
    </row>
    <row r="3997">
      <c r="A3997" t="n">
        <v>14081208</v>
      </c>
      <c r="B3997" t="n">
        <v>47540</v>
      </c>
      <c r="C3997" t="inlineStr">
        <is>
          <t>1408/12/08</t>
        </is>
      </c>
    </row>
    <row r="3998">
      <c r="A3998" t="n">
        <v>14081209</v>
      </c>
      <c r="B3998" t="n">
        <v>47541</v>
      </c>
      <c r="C3998" t="inlineStr">
        <is>
          <t>1408/12/09</t>
        </is>
      </c>
    </row>
    <row r="3999">
      <c r="A3999" t="n">
        <v>14081210</v>
      </c>
      <c r="B3999" t="n">
        <v>47542</v>
      </c>
      <c r="C3999" t="inlineStr">
        <is>
          <t>1408/12/10</t>
        </is>
      </c>
    </row>
    <row r="4000">
      <c r="A4000" t="n">
        <v>14081211</v>
      </c>
      <c r="B4000" t="n">
        <v>47543</v>
      </c>
      <c r="C4000" t="inlineStr">
        <is>
          <t>1408/12/11</t>
        </is>
      </c>
    </row>
    <row r="4001">
      <c r="A4001" t="n">
        <v>14081212</v>
      </c>
      <c r="B4001" t="n">
        <v>47544</v>
      </c>
      <c r="C4001" t="inlineStr">
        <is>
          <t>1408/12/12</t>
        </is>
      </c>
    </row>
    <row r="4002">
      <c r="A4002" t="n">
        <v>14081213</v>
      </c>
      <c r="B4002" t="n">
        <v>47545</v>
      </c>
      <c r="C4002" t="inlineStr">
        <is>
          <t>1408/12/13</t>
        </is>
      </c>
    </row>
    <row r="4003">
      <c r="A4003" t="n">
        <v>14081214</v>
      </c>
      <c r="B4003" t="n">
        <v>47546</v>
      </c>
      <c r="C4003" t="inlineStr">
        <is>
          <t>1408/12/14</t>
        </is>
      </c>
    </row>
    <row r="4004">
      <c r="A4004" t="n">
        <v>14081215</v>
      </c>
      <c r="B4004" t="n">
        <v>47547</v>
      </c>
      <c r="C4004" t="inlineStr">
        <is>
          <t>1408/12/15</t>
        </is>
      </c>
    </row>
    <row r="4005">
      <c r="A4005" t="n">
        <v>14081216</v>
      </c>
      <c r="B4005" t="n">
        <v>47548</v>
      </c>
      <c r="C4005" t="inlineStr">
        <is>
          <t>1408/12/16</t>
        </is>
      </c>
    </row>
    <row r="4006">
      <c r="A4006" t="n">
        <v>14081217</v>
      </c>
      <c r="B4006" t="n">
        <v>47549</v>
      </c>
      <c r="C4006" t="inlineStr">
        <is>
          <t>1408/12/17</t>
        </is>
      </c>
    </row>
    <row r="4007">
      <c r="A4007" t="n">
        <v>14081218</v>
      </c>
      <c r="B4007" t="n">
        <v>47550</v>
      </c>
      <c r="C4007" t="inlineStr">
        <is>
          <t>1408/12/18</t>
        </is>
      </c>
    </row>
    <row r="4008">
      <c r="A4008" t="n">
        <v>14081219</v>
      </c>
      <c r="B4008" t="n">
        <v>47551</v>
      </c>
      <c r="C4008" t="inlineStr">
        <is>
          <t>1408/12/19</t>
        </is>
      </c>
    </row>
    <row r="4009">
      <c r="A4009" t="n">
        <v>14081220</v>
      </c>
      <c r="B4009" t="n">
        <v>47552</v>
      </c>
      <c r="C4009" t="inlineStr">
        <is>
          <t>1408/12/20</t>
        </is>
      </c>
    </row>
    <row r="4010">
      <c r="A4010" t="n">
        <v>14081221</v>
      </c>
      <c r="B4010" t="n">
        <v>47553</v>
      </c>
      <c r="C4010" t="inlineStr">
        <is>
          <t>1408/12/21</t>
        </is>
      </c>
    </row>
    <row r="4011">
      <c r="A4011" t="n">
        <v>14081222</v>
      </c>
      <c r="B4011" t="n">
        <v>47554</v>
      </c>
      <c r="C4011" t="inlineStr">
        <is>
          <t>1408/12/22</t>
        </is>
      </c>
    </row>
    <row r="4012">
      <c r="A4012" t="n">
        <v>14081223</v>
      </c>
      <c r="B4012" t="n">
        <v>47555</v>
      </c>
      <c r="C4012" t="inlineStr">
        <is>
          <t>1408/12/23</t>
        </is>
      </c>
    </row>
    <row r="4013">
      <c r="A4013" t="n">
        <v>14081224</v>
      </c>
      <c r="B4013" t="n">
        <v>47556</v>
      </c>
      <c r="C4013" t="inlineStr">
        <is>
          <t>1408/12/24</t>
        </is>
      </c>
    </row>
    <row r="4014">
      <c r="A4014" t="n">
        <v>14081225</v>
      </c>
      <c r="B4014" t="n">
        <v>47557</v>
      </c>
      <c r="C4014" t="inlineStr">
        <is>
          <t>1408/12/25</t>
        </is>
      </c>
    </row>
    <row r="4015">
      <c r="A4015" t="n">
        <v>14081226</v>
      </c>
      <c r="B4015" t="n">
        <v>47558</v>
      </c>
      <c r="C4015" t="inlineStr">
        <is>
          <t>1408/12/26</t>
        </is>
      </c>
    </row>
    <row r="4016">
      <c r="A4016" t="n">
        <v>14081227</v>
      </c>
      <c r="B4016" t="n">
        <v>47559</v>
      </c>
      <c r="C4016" t="inlineStr">
        <is>
          <t>1408/12/27</t>
        </is>
      </c>
    </row>
    <row r="4017">
      <c r="A4017" t="n">
        <v>14081228</v>
      </c>
      <c r="B4017" t="n">
        <v>47560</v>
      </c>
      <c r="C4017" t="inlineStr">
        <is>
          <t>1408/12/28</t>
        </is>
      </c>
    </row>
    <row r="4018">
      <c r="A4018" t="n">
        <v>14081229</v>
      </c>
      <c r="B4018" t="n">
        <v>47561</v>
      </c>
      <c r="C4018" t="inlineStr">
        <is>
          <t>1408/12/29</t>
        </is>
      </c>
    </row>
    <row r="4019">
      <c r="A4019" t="n">
        <v>14081230</v>
      </c>
      <c r="B4019" t="n">
        <v>47562</v>
      </c>
      <c r="C4019" t="inlineStr">
        <is>
          <t>1408/12/30</t>
        </is>
      </c>
    </row>
    <row r="4020">
      <c r="A4020" t="n">
        <v>14090101</v>
      </c>
      <c r="B4020" t="n">
        <v>47563</v>
      </c>
      <c r="C4020" t="inlineStr">
        <is>
          <t>1409/01/01</t>
        </is>
      </c>
    </row>
    <row r="4021">
      <c r="A4021" t="n">
        <v>14090102</v>
      </c>
      <c r="B4021" t="n">
        <v>47564</v>
      </c>
      <c r="C4021" t="inlineStr">
        <is>
          <t>1409/01/02</t>
        </is>
      </c>
    </row>
    <row r="4022">
      <c r="A4022" t="n">
        <v>14090103</v>
      </c>
      <c r="B4022" t="n">
        <v>47565</v>
      </c>
      <c r="C4022" t="inlineStr">
        <is>
          <t>1409/01/03</t>
        </is>
      </c>
    </row>
    <row r="4023">
      <c r="A4023" t="n">
        <v>14090104</v>
      </c>
      <c r="B4023" t="n">
        <v>47566</v>
      </c>
      <c r="C4023" t="inlineStr">
        <is>
          <t>1409/01/04</t>
        </is>
      </c>
    </row>
    <row r="4024">
      <c r="A4024" t="n">
        <v>14090105</v>
      </c>
      <c r="B4024" t="n">
        <v>47567</v>
      </c>
      <c r="C4024" t="inlineStr">
        <is>
          <t>1409/01/05</t>
        </is>
      </c>
    </row>
    <row r="4025">
      <c r="A4025" t="n">
        <v>14090106</v>
      </c>
      <c r="B4025" t="n">
        <v>47568</v>
      </c>
      <c r="C4025" t="inlineStr">
        <is>
          <t>1409/01/06</t>
        </is>
      </c>
    </row>
    <row r="4026">
      <c r="A4026" t="n">
        <v>14090107</v>
      </c>
      <c r="B4026" t="n">
        <v>47569</v>
      </c>
      <c r="C4026" t="inlineStr">
        <is>
          <t>1409/01/07</t>
        </is>
      </c>
    </row>
    <row r="4027">
      <c r="A4027" t="n">
        <v>14090108</v>
      </c>
      <c r="B4027" t="n">
        <v>47570</v>
      </c>
      <c r="C4027" t="inlineStr">
        <is>
          <t>1409/01/08</t>
        </is>
      </c>
    </row>
    <row r="4028">
      <c r="A4028" t="n">
        <v>14090109</v>
      </c>
      <c r="B4028" t="n">
        <v>47571</v>
      </c>
      <c r="C4028" t="inlineStr">
        <is>
          <t>1409/01/09</t>
        </is>
      </c>
    </row>
    <row r="4029">
      <c r="A4029" t="n">
        <v>14090110</v>
      </c>
      <c r="B4029" t="n">
        <v>47572</v>
      </c>
      <c r="C4029" t="inlineStr">
        <is>
          <t>1409/01/10</t>
        </is>
      </c>
    </row>
    <row r="4030">
      <c r="A4030" t="n">
        <v>14090111</v>
      </c>
      <c r="B4030" t="n">
        <v>47573</v>
      </c>
      <c r="C4030" t="inlineStr">
        <is>
          <t>1409/01/11</t>
        </is>
      </c>
    </row>
    <row r="4031">
      <c r="A4031" t="n">
        <v>14090112</v>
      </c>
      <c r="B4031" t="n">
        <v>47574</v>
      </c>
      <c r="C4031" t="inlineStr">
        <is>
          <t>1409/01/12</t>
        </is>
      </c>
    </row>
    <row r="4032">
      <c r="A4032" t="n">
        <v>14090113</v>
      </c>
      <c r="B4032" t="n">
        <v>47575</v>
      </c>
      <c r="C4032" t="inlineStr">
        <is>
          <t>1409/01/13</t>
        </is>
      </c>
    </row>
    <row r="4033">
      <c r="A4033" t="n">
        <v>14090114</v>
      </c>
      <c r="B4033" t="n">
        <v>47576</v>
      </c>
      <c r="C4033" t="inlineStr">
        <is>
          <t>1409/01/14</t>
        </is>
      </c>
    </row>
    <row r="4034">
      <c r="A4034" t="n">
        <v>14090115</v>
      </c>
      <c r="B4034" t="n">
        <v>47577</v>
      </c>
      <c r="C4034" t="inlineStr">
        <is>
          <t>1409/01/15</t>
        </is>
      </c>
    </row>
    <row r="4035">
      <c r="A4035" t="n">
        <v>14090116</v>
      </c>
      <c r="B4035" t="n">
        <v>47578</v>
      </c>
      <c r="C4035" t="inlineStr">
        <is>
          <t>1409/01/16</t>
        </is>
      </c>
    </row>
    <row r="4036">
      <c r="A4036" t="n">
        <v>14090117</v>
      </c>
      <c r="B4036" t="n">
        <v>47579</v>
      </c>
      <c r="C4036" t="inlineStr">
        <is>
          <t>1409/01/17</t>
        </is>
      </c>
    </row>
    <row r="4037">
      <c r="A4037" t="n">
        <v>14090118</v>
      </c>
      <c r="B4037" t="n">
        <v>47580</v>
      </c>
      <c r="C4037" t="inlineStr">
        <is>
          <t>1409/01/18</t>
        </is>
      </c>
    </row>
    <row r="4038">
      <c r="A4038" t="n">
        <v>14090119</v>
      </c>
      <c r="B4038" t="n">
        <v>47581</v>
      </c>
      <c r="C4038" t="inlineStr">
        <is>
          <t>1409/01/19</t>
        </is>
      </c>
    </row>
    <row r="4039">
      <c r="A4039" t="n">
        <v>14090120</v>
      </c>
      <c r="B4039" t="n">
        <v>47582</v>
      </c>
      <c r="C4039" t="inlineStr">
        <is>
          <t>1409/01/20</t>
        </is>
      </c>
    </row>
    <row r="4040">
      <c r="A4040" t="n">
        <v>14090121</v>
      </c>
      <c r="B4040" t="n">
        <v>47583</v>
      </c>
      <c r="C4040" t="inlineStr">
        <is>
          <t>1409/01/21</t>
        </is>
      </c>
    </row>
    <row r="4041">
      <c r="A4041" t="n">
        <v>14090122</v>
      </c>
      <c r="B4041" t="n">
        <v>47584</v>
      </c>
      <c r="C4041" t="inlineStr">
        <is>
          <t>1409/01/22</t>
        </is>
      </c>
    </row>
    <row r="4042">
      <c r="A4042" t="n">
        <v>14090123</v>
      </c>
      <c r="B4042" t="n">
        <v>47585</v>
      </c>
      <c r="C4042" t="inlineStr">
        <is>
          <t>1409/01/23</t>
        </is>
      </c>
    </row>
    <row r="4043">
      <c r="A4043" t="n">
        <v>14090124</v>
      </c>
      <c r="B4043" t="n">
        <v>47586</v>
      </c>
      <c r="C4043" t="inlineStr">
        <is>
          <t>1409/01/24</t>
        </is>
      </c>
    </row>
    <row r="4044">
      <c r="A4044" t="n">
        <v>14090125</v>
      </c>
      <c r="B4044" t="n">
        <v>47587</v>
      </c>
      <c r="C4044" t="inlineStr">
        <is>
          <t>1409/01/25</t>
        </is>
      </c>
    </row>
    <row r="4045">
      <c r="A4045" t="n">
        <v>14090126</v>
      </c>
      <c r="B4045" t="n">
        <v>47588</v>
      </c>
      <c r="C4045" t="inlineStr">
        <is>
          <t>1409/01/26</t>
        </is>
      </c>
    </row>
    <row r="4046">
      <c r="A4046" t="n">
        <v>14090127</v>
      </c>
      <c r="B4046" t="n">
        <v>47589</v>
      </c>
      <c r="C4046" t="inlineStr">
        <is>
          <t>1409/01/27</t>
        </is>
      </c>
    </row>
    <row r="4047">
      <c r="A4047" t="n">
        <v>14090128</v>
      </c>
      <c r="B4047" t="n">
        <v>47590</v>
      </c>
      <c r="C4047" t="inlineStr">
        <is>
          <t>1409/01/28</t>
        </is>
      </c>
    </row>
    <row r="4048">
      <c r="A4048" t="n">
        <v>14090129</v>
      </c>
      <c r="B4048" t="n">
        <v>47591</v>
      </c>
      <c r="C4048" t="inlineStr">
        <is>
          <t>1409/01/29</t>
        </is>
      </c>
    </row>
    <row r="4049">
      <c r="A4049" t="n">
        <v>14090130</v>
      </c>
      <c r="B4049" t="n">
        <v>47592</v>
      </c>
      <c r="C4049" t="inlineStr">
        <is>
          <t>1409/01/30</t>
        </is>
      </c>
    </row>
    <row r="4050">
      <c r="A4050" t="n">
        <v>14090131</v>
      </c>
      <c r="B4050" t="n">
        <v>47593</v>
      </c>
      <c r="C4050" t="inlineStr">
        <is>
          <t>1409/01/31</t>
        </is>
      </c>
    </row>
    <row r="4051">
      <c r="A4051" t="n">
        <v>14090201</v>
      </c>
      <c r="B4051" t="n">
        <v>47594</v>
      </c>
      <c r="C4051" t="inlineStr">
        <is>
          <t>1409/02/01</t>
        </is>
      </c>
    </row>
    <row r="4052">
      <c r="A4052" t="n">
        <v>14090202</v>
      </c>
      <c r="B4052" t="n">
        <v>47595</v>
      </c>
      <c r="C4052" t="inlineStr">
        <is>
          <t>1409/02/02</t>
        </is>
      </c>
    </row>
    <row r="4053">
      <c r="A4053" t="n">
        <v>14090203</v>
      </c>
      <c r="B4053" t="n">
        <v>47596</v>
      </c>
      <c r="C4053" t="inlineStr">
        <is>
          <t>1409/02/03</t>
        </is>
      </c>
    </row>
    <row r="4054">
      <c r="A4054" t="n">
        <v>14090204</v>
      </c>
      <c r="B4054" t="n">
        <v>47597</v>
      </c>
      <c r="C4054" t="inlineStr">
        <is>
          <t>1409/02/04</t>
        </is>
      </c>
    </row>
    <row r="4055">
      <c r="A4055" t="n">
        <v>14090205</v>
      </c>
      <c r="B4055" t="n">
        <v>47598</v>
      </c>
      <c r="C4055" t="inlineStr">
        <is>
          <t>1409/02/05</t>
        </is>
      </c>
    </row>
    <row r="4056">
      <c r="A4056" t="n">
        <v>14090206</v>
      </c>
      <c r="B4056" t="n">
        <v>47599</v>
      </c>
      <c r="C4056" t="inlineStr">
        <is>
          <t>1409/02/06</t>
        </is>
      </c>
    </row>
    <row r="4057">
      <c r="A4057" t="n">
        <v>14090207</v>
      </c>
      <c r="B4057" t="n">
        <v>47600</v>
      </c>
      <c r="C4057" t="inlineStr">
        <is>
          <t>1409/02/07</t>
        </is>
      </c>
    </row>
    <row r="4058">
      <c r="A4058" t="n">
        <v>14090208</v>
      </c>
      <c r="B4058" t="n">
        <v>47601</v>
      </c>
      <c r="C4058" t="inlineStr">
        <is>
          <t>1409/02/08</t>
        </is>
      </c>
    </row>
    <row r="4059">
      <c r="A4059" t="n">
        <v>14090209</v>
      </c>
      <c r="B4059" t="n">
        <v>47602</v>
      </c>
      <c r="C4059" t="inlineStr">
        <is>
          <t>1409/02/09</t>
        </is>
      </c>
    </row>
    <row r="4060">
      <c r="A4060" t="n">
        <v>14090210</v>
      </c>
      <c r="B4060" t="n">
        <v>47603</v>
      </c>
      <c r="C4060" t="inlineStr">
        <is>
          <t>1409/02/10</t>
        </is>
      </c>
    </row>
    <row r="4061">
      <c r="A4061" t="n">
        <v>14090211</v>
      </c>
      <c r="B4061" t="n">
        <v>47604</v>
      </c>
      <c r="C4061" t="inlineStr">
        <is>
          <t>1409/02/11</t>
        </is>
      </c>
    </row>
    <row r="4062">
      <c r="A4062" t="n">
        <v>14090212</v>
      </c>
      <c r="B4062" t="n">
        <v>47605</v>
      </c>
      <c r="C4062" t="inlineStr">
        <is>
          <t>1409/02/12</t>
        </is>
      </c>
    </row>
    <row r="4063">
      <c r="A4063" t="n">
        <v>14090213</v>
      </c>
      <c r="B4063" t="n">
        <v>47606</v>
      </c>
      <c r="C4063" t="inlineStr">
        <is>
          <t>1409/02/13</t>
        </is>
      </c>
    </row>
    <row r="4064">
      <c r="A4064" t="n">
        <v>14090214</v>
      </c>
      <c r="B4064" t="n">
        <v>47607</v>
      </c>
      <c r="C4064" t="inlineStr">
        <is>
          <t>1409/02/14</t>
        </is>
      </c>
    </row>
    <row r="4065">
      <c r="A4065" t="n">
        <v>14090215</v>
      </c>
      <c r="B4065" t="n">
        <v>47608</v>
      </c>
      <c r="C4065" t="inlineStr">
        <is>
          <t>1409/02/15</t>
        </is>
      </c>
    </row>
    <row r="4066">
      <c r="A4066" t="n">
        <v>14090216</v>
      </c>
      <c r="B4066" t="n">
        <v>47609</v>
      </c>
      <c r="C4066" t="inlineStr">
        <is>
          <t>1409/02/16</t>
        </is>
      </c>
    </row>
    <row r="4067">
      <c r="A4067" t="n">
        <v>14090217</v>
      </c>
      <c r="B4067" t="n">
        <v>47610</v>
      </c>
      <c r="C4067" t="inlineStr">
        <is>
          <t>1409/02/17</t>
        </is>
      </c>
    </row>
    <row r="4068">
      <c r="A4068" t="n">
        <v>14090218</v>
      </c>
      <c r="B4068" t="n">
        <v>47611</v>
      </c>
      <c r="C4068" t="inlineStr">
        <is>
          <t>1409/02/18</t>
        </is>
      </c>
    </row>
    <row r="4069">
      <c r="A4069" t="n">
        <v>14090219</v>
      </c>
      <c r="B4069" t="n">
        <v>47612</v>
      </c>
      <c r="C4069" t="inlineStr">
        <is>
          <t>1409/02/19</t>
        </is>
      </c>
    </row>
    <row r="4070">
      <c r="A4070" t="n">
        <v>14090220</v>
      </c>
      <c r="B4070" t="n">
        <v>47613</v>
      </c>
      <c r="C4070" t="inlineStr">
        <is>
          <t>1409/02/20</t>
        </is>
      </c>
    </row>
    <row r="4071">
      <c r="A4071" t="n">
        <v>14090221</v>
      </c>
      <c r="B4071" t="n">
        <v>47614</v>
      </c>
      <c r="C4071" t="inlineStr">
        <is>
          <t>1409/02/21</t>
        </is>
      </c>
    </row>
    <row r="4072">
      <c r="A4072" t="n">
        <v>14090222</v>
      </c>
      <c r="B4072" t="n">
        <v>47615</v>
      </c>
      <c r="C4072" t="inlineStr">
        <is>
          <t>1409/02/22</t>
        </is>
      </c>
    </row>
    <row r="4073">
      <c r="A4073" t="n">
        <v>14090223</v>
      </c>
      <c r="B4073" t="n">
        <v>47616</v>
      </c>
      <c r="C4073" t="inlineStr">
        <is>
          <t>1409/02/23</t>
        </is>
      </c>
    </row>
    <row r="4074">
      <c r="A4074" t="n">
        <v>14090224</v>
      </c>
      <c r="B4074" t="n">
        <v>47617</v>
      </c>
      <c r="C4074" t="inlineStr">
        <is>
          <t>1409/02/24</t>
        </is>
      </c>
    </row>
    <row r="4075">
      <c r="A4075" t="n">
        <v>14090225</v>
      </c>
      <c r="B4075" t="n">
        <v>47618</v>
      </c>
      <c r="C4075" t="inlineStr">
        <is>
          <t>1409/02/25</t>
        </is>
      </c>
    </row>
    <row r="4076">
      <c r="A4076" t="n">
        <v>14090226</v>
      </c>
      <c r="B4076" t="n">
        <v>47619</v>
      </c>
      <c r="C4076" t="inlineStr">
        <is>
          <t>1409/02/26</t>
        </is>
      </c>
    </row>
    <row r="4077">
      <c r="A4077" t="n">
        <v>14090227</v>
      </c>
      <c r="B4077" t="n">
        <v>47620</v>
      </c>
      <c r="C4077" t="inlineStr">
        <is>
          <t>1409/02/27</t>
        </is>
      </c>
    </row>
    <row r="4078">
      <c r="A4078" t="n">
        <v>14090228</v>
      </c>
      <c r="B4078" t="n">
        <v>47621</v>
      </c>
      <c r="C4078" t="inlineStr">
        <is>
          <t>1409/02/28</t>
        </is>
      </c>
    </row>
    <row r="4079">
      <c r="A4079" t="n">
        <v>14090229</v>
      </c>
      <c r="B4079" t="n">
        <v>47622</v>
      </c>
      <c r="C4079" t="inlineStr">
        <is>
          <t>1409/02/29</t>
        </is>
      </c>
    </row>
    <row r="4080">
      <c r="A4080" t="n">
        <v>14090230</v>
      </c>
      <c r="B4080" t="n">
        <v>47623</v>
      </c>
      <c r="C4080" t="inlineStr">
        <is>
          <t>1409/02/30</t>
        </is>
      </c>
    </row>
    <row r="4081">
      <c r="A4081" t="n">
        <v>14090231</v>
      </c>
      <c r="B4081" t="n">
        <v>47624</v>
      </c>
      <c r="C4081" t="inlineStr">
        <is>
          <t>1409/02/31</t>
        </is>
      </c>
    </row>
    <row r="4082">
      <c r="A4082" t="n">
        <v>14090301</v>
      </c>
      <c r="B4082" t="n">
        <v>47625</v>
      </c>
      <c r="C4082" t="inlineStr">
        <is>
          <t>1409/03/01</t>
        </is>
      </c>
    </row>
    <row r="4083">
      <c r="A4083" t="n">
        <v>14090302</v>
      </c>
      <c r="B4083" t="n">
        <v>47626</v>
      </c>
      <c r="C4083" t="inlineStr">
        <is>
          <t>1409/03/02</t>
        </is>
      </c>
    </row>
    <row r="4084">
      <c r="A4084" t="n">
        <v>14090303</v>
      </c>
      <c r="B4084" t="n">
        <v>47627</v>
      </c>
      <c r="C4084" t="inlineStr">
        <is>
          <t>1409/03/03</t>
        </is>
      </c>
    </row>
    <row r="4085">
      <c r="A4085" t="n">
        <v>14090304</v>
      </c>
      <c r="B4085" t="n">
        <v>47628</v>
      </c>
      <c r="C4085" t="inlineStr">
        <is>
          <t>1409/03/04</t>
        </is>
      </c>
    </row>
    <row r="4086">
      <c r="A4086" t="n">
        <v>14090305</v>
      </c>
      <c r="B4086" t="n">
        <v>47629</v>
      </c>
      <c r="C4086" t="inlineStr">
        <is>
          <t>1409/03/05</t>
        </is>
      </c>
    </row>
    <row r="4087">
      <c r="A4087" t="n">
        <v>14090306</v>
      </c>
      <c r="B4087" t="n">
        <v>47630</v>
      </c>
      <c r="C4087" t="inlineStr">
        <is>
          <t>1409/03/06</t>
        </is>
      </c>
    </row>
    <row r="4088">
      <c r="A4088" t="n">
        <v>14090307</v>
      </c>
      <c r="B4088" t="n">
        <v>47631</v>
      </c>
      <c r="C4088" t="inlineStr">
        <is>
          <t>1409/03/07</t>
        </is>
      </c>
    </row>
    <row r="4089">
      <c r="A4089" t="n">
        <v>14090308</v>
      </c>
      <c r="B4089" t="n">
        <v>47632</v>
      </c>
      <c r="C4089" t="inlineStr">
        <is>
          <t>1409/03/08</t>
        </is>
      </c>
    </row>
    <row r="4090">
      <c r="A4090" t="n">
        <v>14090309</v>
      </c>
      <c r="B4090" t="n">
        <v>47633</v>
      </c>
      <c r="C4090" t="inlineStr">
        <is>
          <t>1409/03/09</t>
        </is>
      </c>
    </row>
    <row r="4091">
      <c r="A4091" t="n">
        <v>14090310</v>
      </c>
      <c r="B4091" t="n">
        <v>47634</v>
      </c>
      <c r="C4091" t="inlineStr">
        <is>
          <t>1409/03/10</t>
        </is>
      </c>
    </row>
    <row r="4092">
      <c r="A4092" t="n">
        <v>14090311</v>
      </c>
      <c r="B4092" t="n">
        <v>47635</v>
      </c>
      <c r="C4092" t="inlineStr">
        <is>
          <t>1409/03/11</t>
        </is>
      </c>
    </row>
    <row r="4093">
      <c r="A4093" t="n">
        <v>14090312</v>
      </c>
      <c r="B4093" t="n">
        <v>47636</v>
      </c>
      <c r="C4093" t="inlineStr">
        <is>
          <t>1409/03/12</t>
        </is>
      </c>
    </row>
    <row r="4094">
      <c r="A4094" t="n">
        <v>14090313</v>
      </c>
      <c r="B4094" t="n">
        <v>47637</v>
      </c>
      <c r="C4094" t="inlineStr">
        <is>
          <t>1409/03/13</t>
        </is>
      </c>
    </row>
    <row r="4095">
      <c r="A4095" t="n">
        <v>14090314</v>
      </c>
      <c r="B4095" t="n">
        <v>47638</v>
      </c>
      <c r="C4095" t="inlineStr">
        <is>
          <t>1409/03/14</t>
        </is>
      </c>
    </row>
    <row r="4096">
      <c r="A4096" t="n">
        <v>14090315</v>
      </c>
      <c r="B4096" t="n">
        <v>47639</v>
      </c>
      <c r="C4096" t="inlineStr">
        <is>
          <t>1409/03/15</t>
        </is>
      </c>
    </row>
    <row r="4097">
      <c r="A4097" t="n">
        <v>14090316</v>
      </c>
      <c r="B4097" t="n">
        <v>47640</v>
      </c>
      <c r="C4097" t="inlineStr">
        <is>
          <t>1409/03/16</t>
        </is>
      </c>
    </row>
    <row r="4098">
      <c r="A4098" t="n">
        <v>14090317</v>
      </c>
      <c r="B4098" t="n">
        <v>47641</v>
      </c>
      <c r="C4098" t="inlineStr">
        <is>
          <t>1409/03/17</t>
        </is>
      </c>
    </row>
    <row r="4099">
      <c r="A4099" t="n">
        <v>14090318</v>
      </c>
      <c r="B4099" t="n">
        <v>47642</v>
      </c>
      <c r="C4099" t="inlineStr">
        <is>
          <t>1409/03/18</t>
        </is>
      </c>
    </row>
    <row r="4100">
      <c r="A4100" t="n">
        <v>14090319</v>
      </c>
      <c r="B4100" t="n">
        <v>47643</v>
      </c>
      <c r="C4100" t="inlineStr">
        <is>
          <t>1409/03/19</t>
        </is>
      </c>
    </row>
    <row r="4101">
      <c r="A4101" t="n">
        <v>14090320</v>
      </c>
      <c r="B4101" t="n">
        <v>47644</v>
      </c>
      <c r="C4101" t="inlineStr">
        <is>
          <t>1409/03/20</t>
        </is>
      </c>
    </row>
    <row r="4102">
      <c r="A4102" t="n">
        <v>14090321</v>
      </c>
      <c r="B4102" t="n">
        <v>47645</v>
      </c>
      <c r="C4102" t="inlineStr">
        <is>
          <t>1409/03/21</t>
        </is>
      </c>
    </row>
    <row r="4103">
      <c r="A4103" t="n">
        <v>14090322</v>
      </c>
      <c r="B4103" t="n">
        <v>47646</v>
      </c>
      <c r="C4103" t="inlineStr">
        <is>
          <t>1409/03/22</t>
        </is>
      </c>
    </row>
    <row r="4104">
      <c r="A4104" t="n">
        <v>14090323</v>
      </c>
      <c r="B4104" t="n">
        <v>47647</v>
      </c>
      <c r="C4104" t="inlineStr">
        <is>
          <t>1409/03/23</t>
        </is>
      </c>
    </row>
    <row r="4105">
      <c r="A4105" t="n">
        <v>14090324</v>
      </c>
      <c r="B4105" t="n">
        <v>47648</v>
      </c>
      <c r="C4105" t="inlineStr">
        <is>
          <t>1409/03/24</t>
        </is>
      </c>
    </row>
    <row r="4106">
      <c r="A4106" t="n">
        <v>14090325</v>
      </c>
      <c r="B4106" t="n">
        <v>47649</v>
      </c>
      <c r="C4106" t="inlineStr">
        <is>
          <t>1409/03/25</t>
        </is>
      </c>
    </row>
    <row r="4107">
      <c r="A4107" t="n">
        <v>14090326</v>
      </c>
      <c r="B4107" t="n">
        <v>47650</v>
      </c>
      <c r="C4107" t="inlineStr">
        <is>
          <t>1409/03/26</t>
        </is>
      </c>
    </row>
    <row r="4108">
      <c r="A4108" t="n">
        <v>14090327</v>
      </c>
      <c r="B4108" t="n">
        <v>47651</v>
      </c>
      <c r="C4108" t="inlineStr">
        <is>
          <t>1409/03/27</t>
        </is>
      </c>
    </row>
    <row r="4109">
      <c r="A4109" t="n">
        <v>14090328</v>
      </c>
      <c r="B4109" t="n">
        <v>47652</v>
      </c>
      <c r="C4109" t="inlineStr">
        <is>
          <t>1409/03/28</t>
        </is>
      </c>
    </row>
    <row r="4110">
      <c r="A4110" t="n">
        <v>14090329</v>
      </c>
      <c r="B4110" t="n">
        <v>47653</v>
      </c>
      <c r="C4110" t="inlineStr">
        <is>
          <t>1409/03/29</t>
        </is>
      </c>
    </row>
    <row r="4111">
      <c r="A4111" t="n">
        <v>14090330</v>
      </c>
      <c r="B4111" t="n">
        <v>47654</v>
      </c>
      <c r="C4111" t="inlineStr">
        <is>
          <t>1409/03/30</t>
        </is>
      </c>
    </row>
    <row r="4112">
      <c r="A4112" t="n">
        <v>14090331</v>
      </c>
      <c r="B4112" t="n">
        <v>47655</v>
      </c>
      <c r="C4112" t="inlineStr">
        <is>
          <t>1409/03/31</t>
        </is>
      </c>
    </row>
    <row r="4113">
      <c r="A4113" t="n">
        <v>14090401</v>
      </c>
      <c r="B4113" t="n">
        <v>47656</v>
      </c>
      <c r="C4113" t="inlineStr">
        <is>
          <t>1409/04/01</t>
        </is>
      </c>
    </row>
    <row r="4114">
      <c r="A4114" t="n">
        <v>14090402</v>
      </c>
      <c r="B4114" t="n">
        <v>47657</v>
      </c>
      <c r="C4114" t="inlineStr">
        <is>
          <t>1409/04/02</t>
        </is>
      </c>
    </row>
    <row r="4115">
      <c r="A4115" t="n">
        <v>14090403</v>
      </c>
      <c r="B4115" t="n">
        <v>47658</v>
      </c>
      <c r="C4115" t="inlineStr">
        <is>
          <t>1409/04/03</t>
        </is>
      </c>
    </row>
    <row r="4116">
      <c r="A4116" t="n">
        <v>14090404</v>
      </c>
      <c r="B4116" t="n">
        <v>47659</v>
      </c>
      <c r="C4116" t="inlineStr">
        <is>
          <t>1409/04/04</t>
        </is>
      </c>
    </row>
    <row r="4117">
      <c r="A4117" t="n">
        <v>14090405</v>
      </c>
      <c r="B4117" t="n">
        <v>47660</v>
      </c>
      <c r="C4117" t="inlineStr">
        <is>
          <t>1409/04/05</t>
        </is>
      </c>
    </row>
    <row r="4118">
      <c r="A4118" t="n">
        <v>14090406</v>
      </c>
      <c r="B4118" t="n">
        <v>47661</v>
      </c>
      <c r="C4118" t="inlineStr">
        <is>
          <t>1409/04/06</t>
        </is>
      </c>
    </row>
    <row r="4119">
      <c r="A4119" t="n">
        <v>14090407</v>
      </c>
      <c r="B4119" t="n">
        <v>47662</v>
      </c>
      <c r="C4119" t="inlineStr">
        <is>
          <t>1409/04/07</t>
        </is>
      </c>
    </row>
    <row r="4120">
      <c r="A4120" t="n">
        <v>14090408</v>
      </c>
      <c r="B4120" t="n">
        <v>47663</v>
      </c>
      <c r="C4120" t="inlineStr">
        <is>
          <t>1409/04/08</t>
        </is>
      </c>
    </row>
    <row r="4121">
      <c r="A4121" t="n">
        <v>14090409</v>
      </c>
      <c r="B4121" t="n">
        <v>47664</v>
      </c>
      <c r="C4121" t="inlineStr">
        <is>
          <t>1409/04/09</t>
        </is>
      </c>
    </row>
    <row r="4122">
      <c r="A4122" t="n">
        <v>14090410</v>
      </c>
      <c r="B4122" t="n">
        <v>47665</v>
      </c>
      <c r="C4122" t="inlineStr">
        <is>
          <t>1409/04/10</t>
        </is>
      </c>
    </row>
    <row r="4123">
      <c r="A4123" t="n">
        <v>14090411</v>
      </c>
      <c r="B4123" t="n">
        <v>47666</v>
      </c>
      <c r="C4123" t="inlineStr">
        <is>
          <t>1409/04/11</t>
        </is>
      </c>
    </row>
    <row r="4124">
      <c r="A4124" t="n">
        <v>14090412</v>
      </c>
      <c r="B4124" t="n">
        <v>47667</v>
      </c>
      <c r="C4124" t="inlineStr">
        <is>
          <t>1409/04/12</t>
        </is>
      </c>
    </row>
    <row r="4125">
      <c r="A4125" t="n">
        <v>14090413</v>
      </c>
      <c r="B4125" t="n">
        <v>47668</v>
      </c>
      <c r="C4125" t="inlineStr">
        <is>
          <t>1409/04/13</t>
        </is>
      </c>
    </row>
    <row r="4126">
      <c r="A4126" t="n">
        <v>14090414</v>
      </c>
      <c r="B4126" t="n">
        <v>47669</v>
      </c>
      <c r="C4126" t="inlineStr">
        <is>
          <t>1409/04/14</t>
        </is>
      </c>
    </row>
    <row r="4127">
      <c r="A4127" t="n">
        <v>14090415</v>
      </c>
      <c r="B4127" t="n">
        <v>47670</v>
      </c>
      <c r="C4127" t="inlineStr">
        <is>
          <t>1409/04/15</t>
        </is>
      </c>
    </row>
    <row r="4128">
      <c r="A4128" t="n">
        <v>14090416</v>
      </c>
      <c r="B4128" t="n">
        <v>47671</v>
      </c>
      <c r="C4128" t="inlineStr">
        <is>
          <t>1409/04/16</t>
        </is>
      </c>
    </row>
    <row r="4129">
      <c r="A4129" t="n">
        <v>14090417</v>
      </c>
      <c r="B4129" t="n">
        <v>47672</v>
      </c>
      <c r="C4129" t="inlineStr">
        <is>
          <t>1409/04/17</t>
        </is>
      </c>
    </row>
    <row r="4130">
      <c r="A4130" t="n">
        <v>14090418</v>
      </c>
      <c r="B4130" t="n">
        <v>47673</v>
      </c>
      <c r="C4130" t="inlineStr">
        <is>
          <t>1409/04/18</t>
        </is>
      </c>
    </row>
    <row r="4131">
      <c r="A4131" t="n">
        <v>14090419</v>
      </c>
      <c r="B4131" t="n">
        <v>47674</v>
      </c>
      <c r="C4131" t="inlineStr">
        <is>
          <t>1409/04/19</t>
        </is>
      </c>
    </row>
    <row r="4132">
      <c r="A4132" t="n">
        <v>14090420</v>
      </c>
      <c r="B4132" t="n">
        <v>47675</v>
      </c>
      <c r="C4132" t="inlineStr">
        <is>
          <t>1409/04/20</t>
        </is>
      </c>
    </row>
    <row r="4133">
      <c r="A4133" t="n">
        <v>14090421</v>
      </c>
      <c r="B4133" t="n">
        <v>47676</v>
      </c>
      <c r="C4133" t="inlineStr">
        <is>
          <t>1409/04/21</t>
        </is>
      </c>
    </row>
    <row r="4134">
      <c r="A4134" t="n">
        <v>14090422</v>
      </c>
      <c r="B4134" t="n">
        <v>47677</v>
      </c>
      <c r="C4134" t="inlineStr">
        <is>
          <t>1409/04/22</t>
        </is>
      </c>
    </row>
    <row r="4135">
      <c r="A4135" t="n">
        <v>14090423</v>
      </c>
      <c r="B4135" t="n">
        <v>47678</v>
      </c>
      <c r="C4135" t="inlineStr">
        <is>
          <t>1409/04/23</t>
        </is>
      </c>
    </row>
    <row r="4136">
      <c r="A4136" t="n">
        <v>14090424</v>
      </c>
      <c r="B4136" t="n">
        <v>47679</v>
      </c>
      <c r="C4136" t="inlineStr">
        <is>
          <t>1409/04/24</t>
        </is>
      </c>
    </row>
    <row r="4137">
      <c r="A4137" t="n">
        <v>14090425</v>
      </c>
      <c r="B4137" t="n">
        <v>47680</v>
      </c>
      <c r="C4137" t="inlineStr">
        <is>
          <t>1409/04/25</t>
        </is>
      </c>
    </row>
    <row r="4138">
      <c r="A4138" t="n">
        <v>14090426</v>
      </c>
      <c r="B4138" t="n">
        <v>47681</v>
      </c>
      <c r="C4138" t="inlineStr">
        <is>
          <t>1409/04/26</t>
        </is>
      </c>
    </row>
    <row r="4139">
      <c r="A4139" t="n">
        <v>14090427</v>
      </c>
      <c r="B4139" t="n">
        <v>47682</v>
      </c>
      <c r="C4139" t="inlineStr">
        <is>
          <t>1409/04/27</t>
        </is>
      </c>
    </row>
    <row r="4140">
      <c r="A4140" t="n">
        <v>14090428</v>
      </c>
      <c r="B4140" t="n">
        <v>47683</v>
      </c>
      <c r="C4140" t="inlineStr">
        <is>
          <t>1409/04/28</t>
        </is>
      </c>
    </row>
    <row r="4141">
      <c r="A4141" t="n">
        <v>14090429</v>
      </c>
      <c r="B4141" t="n">
        <v>47684</v>
      </c>
      <c r="C4141" t="inlineStr">
        <is>
          <t>1409/04/29</t>
        </is>
      </c>
    </row>
    <row r="4142">
      <c r="A4142" t="n">
        <v>14090430</v>
      </c>
      <c r="B4142" t="n">
        <v>47685</v>
      </c>
      <c r="C4142" t="inlineStr">
        <is>
          <t>1409/04/30</t>
        </is>
      </c>
    </row>
    <row r="4143">
      <c r="A4143" t="n">
        <v>14090431</v>
      </c>
      <c r="B4143" t="n">
        <v>47686</v>
      </c>
      <c r="C4143" t="inlineStr">
        <is>
          <t>1409/04/31</t>
        </is>
      </c>
    </row>
    <row r="4144">
      <c r="A4144" t="n">
        <v>14090501</v>
      </c>
      <c r="B4144" t="n">
        <v>47687</v>
      </c>
      <c r="C4144" t="inlineStr">
        <is>
          <t>1409/05/01</t>
        </is>
      </c>
    </row>
    <row r="4145">
      <c r="A4145" t="n">
        <v>14090502</v>
      </c>
      <c r="B4145" t="n">
        <v>47688</v>
      </c>
      <c r="C4145" t="inlineStr">
        <is>
          <t>1409/05/02</t>
        </is>
      </c>
    </row>
    <row r="4146">
      <c r="A4146" t="n">
        <v>14090503</v>
      </c>
      <c r="B4146" t="n">
        <v>47689</v>
      </c>
      <c r="C4146" t="inlineStr">
        <is>
          <t>1409/05/03</t>
        </is>
      </c>
    </row>
    <row r="4147">
      <c r="A4147" t="n">
        <v>14090504</v>
      </c>
      <c r="B4147" t="n">
        <v>47690</v>
      </c>
      <c r="C4147" t="inlineStr">
        <is>
          <t>1409/05/04</t>
        </is>
      </c>
    </row>
    <row r="4148">
      <c r="A4148" t="n">
        <v>14090505</v>
      </c>
      <c r="B4148" t="n">
        <v>47691</v>
      </c>
      <c r="C4148" t="inlineStr">
        <is>
          <t>1409/05/05</t>
        </is>
      </c>
    </row>
    <row r="4149">
      <c r="A4149" t="n">
        <v>14090506</v>
      </c>
      <c r="B4149" t="n">
        <v>47692</v>
      </c>
      <c r="C4149" t="inlineStr">
        <is>
          <t>1409/05/06</t>
        </is>
      </c>
    </row>
    <row r="4150">
      <c r="A4150" t="n">
        <v>14090507</v>
      </c>
      <c r="B4150" t="n">
        <v>47693</v>
      </c>
      <c r="C4150" t="inlineStr">
        <is>
          <t>1409/05/07</t>
        </is>
      </c>
    </row>
    <row r="4151">
      <c r="A4151" t="n">
        <v>14090508</v>
      </c>
      <c r="B4151" t="n">
        <v>47694</v>
      </c>
      <c r="C4151" t="inlineStr">
        <is>
          <t>1409/05/08</t>
        </is>
      </c>
    </row>
    <row r="4152">
      <c r="A4152" t="n">
        <v>14090509</v>
      </c>
      <c r="B4152" t="n">
        <v>47695</v>
      </c>
      <c r="C4152" t="inlineStr">
        <is>
          <t>1409/05/09</t>
        </is>
      </c>
    </row>
    <row r="4153">
      <c r="A4153" t="n">
        <v>14090510</v>
      </c>
      <c r="B4153" t="n">
        <v>47696</v>
      </c>
      <c r="C4153" t="inlineStr">
        <is>
          <t>1409/05/10</t>
        </is>
      </c>
    </row>
    <row r="4154">
      <c r="A4154" t="n">
        <v>14090511</v>
      </c>
      <c r="B4154" t="n">
        <v>47697</v>
      </c>
      <c r="C4154" t="inlineStr">
        <is>
          <t>1409/05/11</t>
        </is>
      </c>
    </row>
    <row r="4155">
      <c r="A4155" t="n">
        <v>14090512</v>
      </c>
      <c r="B4155" t="n">
        <v>47698</v>
      </c>
      <c r="C4155" t="inlineStr">
        <is>
          <t>1409/05/12</t>
        </is>
      </c>
    </row>
    <row r="4156">
      <c r="A4156" t="n">
        <v>14090513</v>
      </c>
      <c r="B4156" t="n">
        <v>47699</v>
      </c>
      <c r="C4156" t="inlineStr">
        <is>
          <t>1409/05/13</t>
        </is>
      </c>
    </row>
    <row r="4157">
      <c r="A4157" t="n">
        <v>14090514</v>
      </c>
      <c r="B4157" t="n">
        <v>47700</v>
      </c>
      <c r="C4157" t="inlineStr">
        <is>
          <t>1409/05/14</t>
        </is>
      </c>
    </row>
    <row r="4158">
      <c r="A4158" t="n">
        <v>14090515</v>
      </c>
      <c r="B4158" t="n">
        <v>47701</v>
      </c>
      <c r="C4158" t="inlineStr">
        <is>
          <t>1409/05/15</t>
        </is>
      </c>
    </row>
    <row r="4159">
      <c r="A4159" t="n">
        <v>14090516</v>
      </c>
      <c r="B4159" t="n">
        <v>47702</v>
      </c>
      <c r="C4159" t="inlineStr">
        <is>
          <t>1409/05/16</t>
        </is>
      </c>
    </row>
    <row r="4160">
      <c r="A4160" t="n">
        <v>14090517</v>
      </c>
      <c r="B4160" t="n">
        <v>47703</v>
      </c>
      <c r="C4160" t="inlineStr">
        <is>
          <t>1409/05/17</t>
        </is>
      </c>
    </row>
    <row r="4161">
      <c r="A4161" t="n">
        <v>14090518</v>
      </c>
      <c r="B4161" t="n">
        <v>47704</v>
      </c>
      <c r="C4161" t="inlineStr">
        <is>
          <t>1409/05/18</t>
        </is>
      </c>
    </row>
    <row r="4162">
      <c r="A4162" t="n">
        <v>14090519</v>
      </c>
      <c r="B4162" t="n">
        <v>47705</v>
      </c>
      <c r="C4162" t="inlineStr">
        <is>
          <t>1409/05/19</t>
        </is>
      </c>
    </row>
    <row r="4163">
      <c r="A4163" t="n">
        <v>14090520</v>
      </c>
      <c r="B4163" t="n">
        <v>47706</v>
      </c>
      <c r="C4163" t="inlineStr">
        <is>
          <t>1409/05/20</t>
        </is>
      </c>
    </row>
    <row r="4164">
      <c r="A4164" t="n">
        <v>14090521</v>
      </c>
      <c r="B4164" t="n">
        <v>47707</v>
      </c>
      <c r="C4164" t="inlineStr">
        <is>
          <t>1409/05/21</t>
        </is>
      </c>
    </row>
    <row r="4165">
      <c r="A4165" t="n">
        <v>14090522</v>
      </c>
      <c r="B4165" t="n">
        <v>47708</v>
      </c>
      <c r="C4165" t="inlineStr">
        <is>
          <t>1409/05/22</t>
        </is>
      </c>
    </row>
    <row r="4166">
      <c r="A4166" t="n">
        <v>14090523</v>
      </c>
      <c r="B4166" t="n">
        <v>47709</v>
      </c>
      <c r="C4166" t="inlineStr">
        <is>
          <t>1409/05/23</t>
        </is>
      </c>
    </row>
    <row r="4167">
      <c r="A4167" t="n">
        <v>14090524</v>
      </c>
      <c r="B4167" t="n">
        <v>47710</v>
      </c>
      <c r="C4167" t="inlineStr">
        <is>
          <t>1409/05/24</t>
        </is>
      </c>
    </row>
    <row r="4168">
      <c r="A4168" t="n">
        <v>14090525</v>
      </c>
      <c r="B4168" t="n">
        <v>47711</v>
      </c>
      <c r="C4168" t="inlineStr">
        <is>
          <t>1409/05/25</t>
        </is>
      </c>
    </row>
    <row r="4169">
      <c r="A4169" t="n">
        <v>14090526</v>
      </c>
      <c r="B4169" t="n">
        <v>47712</v>
      </c>
      <c r="C4169" t="inlineStr">
        <is>
          <t>1409/05/26</t>
        </is>
      </c>
    </row>
    <row r="4170">
      <c r="A4170" t="n">
        <v>14090527</v>
      </c>
      <c r="B4170" t="n">
        <v>47713</v>
      </c>
      <c r="C4170" t="inlineStr">
        <is>
          <t>1409/05/27</t>
        </is>
      </c>
    </row>
    <row r="4171">
      <c r="A4171" t="n">
        <v>14090528</v>
      </c>
      <c r="B4171" t="n">
        <v>47714</v>
      </c>
      <c r="C4171" t="inlineStr">
        <is>
          <t>1409/05/28</t>
        </is>
      </c>
    </row>
    <row r="4172">
      <c r="A4172" t="n">
        <v>14090529</v>
      </c>
      <c r="B4172" t="n">
        <v>47715</v>
      </c>
      <c r="C4172" t="inlineStr">
        <is>
          <t>1409/05/29</t>
        </is>
      </c>
    </row>
    <row r="4173">
      <c r="A4173" t="n">
        <v>14090530</v>
      </c>
      <c r="B4173" t="n">
        <v>47716</v>
      </c>
      <c r="C4173" t="inlineStr">
        <is>
          <t>1409/05/30</t>
        </is>
      </c>
    </row>
    <row r="4174">
      <c r="A4174" t="n">
        <v>14090531</v>
      </c>
      <c r="B4174" t="n">
        <v>47717</v>
      </c>
      <c r="C4174" t="inlineStr">
        <is>
          <t>1409/05/31</t>
        </is>
      </c>
    </row>
    <row r="4175">
      <c r="A4175" t="n">
        <v>14090601</v>
      </c>
      <c r="B4175" t="n">
        <v>47718</v>
      </c>
      <c r="C4175" t="inlineStr">
        <is>
          <t>1409/06/01</t>
        </is>
      </c>
    </row>
    <row r="4176">
      <c r="A4176" t="n">
        <v>14090602</v>
      </c>
      <c r="B4176" t="n">
        <v>47719</v>
      </c>
      <c r="C4176" t="inlineStr">
        <is>
          <t>1409/06/02</t>
        </is>
      </c>
    </row>
    <row r="4177">
      <c r="A4177" t="n">
        <v>14090603</v>
      </c>
      <c r="B4177" t="n">
        <v>47720</v>
      </c>
      <c r="C4177" t="inlineStr">
        <is>
          <t>1409/06/03</t>
        </is>
      </c>
    </row>
    <row r="4178">
      <c r="A4178" t="n">
        <v>14090604</v>
      </c>
      <c r="B4178" t="n">
        <v>47721</v>
      </c>
      <c r="C4178" t="inlineStr">
        <is>
          <t>1409/06/04</t>
        </is>
      </c>
    </row>
    <row r="4179">
      <c r="A4179" t="n">
        <v>14090605</v>
      </c>
      <c r="B4179" t="n">
        <v>47722</v>
      </c>
      <c r="C4179" t="inlineStr">
        <is>
          <t>1409/06/05</t>
        </is>
      </c>
    </row>
    <row r="4180">
      <c r="A4180" t="n">
        <v>14090606</v>
      </c>
      <c r="B4180" t="n">
        <v>47723</v>
      </c>
      <c r="C4180" t="inlineStr">
        <is>
          <t>1409/06/06</t>
        </is>
      </c>
    </row>
    <row r="4181">
      <c r="A4181" t="n">
        <v>14090607</v>
      </c>
      <c r="B4181" t="n">
        <v>47724</v>
      </c>
      <c r="C4181" t="inlineStr">
        <is>
          <t>1409/06/07</t>
        </is>
      </c>
    </row>
    <row r="4182">
      <c r="A4182" t="n">
        <v>14090608</v>
      </c>
      <c r="B4182" t="n">
        <v>47725</v>
      </c>
      <c r="C4182" t="inlineStr">
        <is>
          <t>1409/06/08</t>
        </is>
      </c>
    </row>
    <row r="4183">
      <c r="A4183" t="n">
        <v>14090609</v>
      </c>
      <c r="B4183" t="n">
        <v>47726</v>
      </c>
      <c r="C4183" t="inlineStr">
        <is>
          <t>1409/06/09</t>
        </is>
      </c>
    </row>
    <row r="4184">
      <c r="A4184" t="n">
        <v>14090610</v>
      </c>
      <c r="B4184" t="n">
        <v>47727</v>
      </c>
      <c r="C4184" t="inlineStr">
        <is>
          <t>1409/06/10</t>
        </is>
      </c>
    </row>
    <row r="4185">
      <c r="A4185" t="n">
        <v>14090611</v>
      </c>
      <c r="B4185" t="n">
        <v>47728</v>
      </c>
      <c r="C4185" t="inlineStr">
        <is>
          <t>1409/06/11</t>
        </is>
      </c>
    </row>
    <row r="4186">
      <c r="A4186" t="n">
        <v>14090612</v>
      </c>
      <c r="B4186" t="n">
        <v>47729</v>
      </c>
      <c r="C4186" t="inlineStr">
        <is>
          <t>1409/06/12</t>
        </is>
      </c>
    </row>
    <row r="4187">
      <c r="A4187" t="n">
        <v>14090613</v>
      </c>
      <c r="B4187" t="n">
        <v>47730</v>
      </c>
      <c r="C4187" t="inlineStr">
        <is>
          <t>1409/06/13</t>
        </is>
      </c>
    </row>
    <row r="4188">
      <c r="A4188" t="n">
        <v>14090614</v>
      </c>
      <c r="B4188" t="n">
        <v>47731</v>
      </c>
      <c r="C4188" t="inlineStr">
        <is>
          <t>1409/06/14</t>
        </is>
      </c>
    </row>
    <row r="4189">
      <c r="A4189" t="n">
        <v>14090615</v>
      </c>
      <c r="B4189" t="n">
        <v>47732</v>
      </c>
      <c r="C4189" t="inlineStr">
        <is>
          <t>1409/06/15</t>
        </is>
      </c>
    </row>
    <row r="4190">
      <c r="A4190" t="n">
        <v>14090616</v>
      </c>
      <c r="B4190" t="n">
        <v>47733</v>
      </c>
      <c r="C4190" t="inlineStr">
        <is>
          <t>1409/06/16</t>
        </is>
      </c>
    </row>
    <row r="4191">
      <c r="A4191" t="n">
        <v>14090617</v>
      </c>
      <c r="B4191" t="n">
        <v>47734</v>
      </c>
      <c r="C4191" t="inlineStr">
        <is>
          <t>1409/06/17</t>
        </is>
      </c>
    </row>
    <row r="4192">
      <c r="A4192" t="n">
        <v>14090618</v>
      </c>
      <c r="B4192" t="n">
        <v>47735</v>
      </c>
      <c r="C4192" t="inlineStr">
        <is>
          <t>1409/06/18</t>
        </is>
      </c>
    </row>
    <row r="4193">
      <c r="A4193" t="n">
        <v>14090619</v>
      </c>
      <c r="B4193" t="n">
        <v>47736</v>
      </c>
      <c r="C4193" t="inlineStr">
        <is>
          <t>1409/06/19</t>
        </is>
      </c>
    </row>
    <row r="4194">
      <c r="A4194" t="n">
        <v>14090620</v>
      </c>
      <c r="B4194" t="n">
        <v>47737</v>
      </c>
      <c r="C4194" t="inlineStr">
        <is>
          <t>1409/06/20</t>
        </is>
      </c>
    </row>
    <row r="4195">
      <c r="A4195" t="n">
        <v>14090621</v>
      </c>
      <c r="B4195" t="n">
        <v>47738</v>
      </c>
      <c r="C4195" t="inlineStr">
        <is>
          <t>1409/06/21</t>
        </is>
      </c>
    </row>
    <row r="4196">
      <c r="A4196" t="n">
        <v>14090622</v>
      </c>
      <c r="B4196" t="n">
        <v>47739</v>
      </c>
      <c r="C4196" t="inlineStr">
        <is>
          <t>1409/06/22</t>
        </is>
      </c>
    </row>
    <row r="4197">
      <c r="A4197" t="n">
        <v>14090623</v>
      </c>
      <c r="B4197" t="n">
        <v>47740</v>
      </c>
      <c r="C4197" t="inlineStr">
        <is>
          <t>1409/06/23</t>
        </is>
      </c>
    </row>
    <row r="4198">
      <c r="A4198" t="n">
        <v>14090624</v>
      </c>
      <c r="B4198" t="n">
        <v>47741</v>
      </c>
      <c r="C4198" t="inlineStr">
        <is>
          <t>1409/06/24</t>
        </is>
      </c>
    </row>
    <row r="4199">
      <c r="A4199" t="n">
        <v>14090625</v>
      </c>
      <c r="B4199" t="n">
        <v>47742</v>
      </c>
      <c r="C4199" t="inlineStr">
        <is>
          <t>1409/06/25</t>
        </is>
      </c>
    </row>
    <row r="4200">
      <c r="A4200" t="n">
        <v>14090626</v>
      </c>
      <c r="B4200" t="n">
        <v>47743</v>
      </c>
      <c r="C4200" t="inlineStr">
        <is>
          <t>1409/06/26</t>
        </is>
      </c>
    </row>
    <row r="4201">
      <c r="A4201" t="n">
        <v>14090627</v>
      </c>
      <c r="B4201" t="n">
        <v>47744</v>
      </c>
      <c r="C4201" t="inlineStr">
        <is>
          <t>1409/06/27</t>
        </is>
      </c>
    </row>
    <row r="4202">
      <c r="A4202" t="n">
        <v>14090628</v>
      </c>
      <c r="B4202" t="n">
        <v>47745</v>
      </c>
      <c r="C4202" t="inlineStr">
        <is>
          <t>1409/06/28</t>
        </is>
      </c>
    </row>
    <row r="4203">
      <c r="A4203" t="n">
        <v>14090629</v>
      </c>
      <c r="B4203" t="n">
        <v>47746</v>
      </c>
      <c r="C4203" t="inlineStr">
        <is>
          <t>1409/06/29</t>
        </is>
      </c>
    </row>
    <row r="4204">
      <c r="A4204" t="n">
        <v>14090630</v>
      </c>
      <c r="B4204" t="n">
        <v>47747</v>
      </c>
      <c r="C4204" t="inlineStr">
        <is>
          <t>1409/06/30</t>
        </is>
      </c>
    </row>
    <row r="4205">
      <c r="A4205" t="n">
        <v>14090631</v>
      </c>
      <c r="B4205" t="n">
        <v>47748</v>
      </c>
      <c r="C4205" t="inlineStr">
        <is>
          <t>1409/06/31</t>
        </is>
      </c>
    </row>
    <row r="4206">
      <c r="A4206" t="n">
        <v>14090701</v>
      </c>
      <c r="B4206" t="n">
        <v>47749</v>
      </c>
      <c r="C4206" t="inlineStr">
        <is>
          <t>1409/07/01</t>
        </is>
      </c>
    </row>
    <row r="4207">
      <c r="A4207" t="n">
        <v>14090702</v>
      </c>
      <c r="B4207" t="n">
        <v>47750</v>
      </c>
      <c r="C4207" t="inlineStr">
        <is>
          <t>1409/07/02</t>
        </is>
      </c>
    </row>
    <row r="4208">
      <c r="A4208" t="n">
        <v>14090703</v>
      </c>
      <c r="B4208" t="n">
        <v>47751</v>
      </c>
      <c r="C4208" t="inlineStr">
        <is>
          <t>1409/07/03</t>
        </is>
      </c>
    </row>
    <row r="4209">
      <c r="A4209" t="n">
        <v>14090704</v>
      </c>
      <c r="B4209" t="n">
        <v>47752</v>
      </c>
      <c r="C4209" t="inlineStr">
        <is>
          <t>1409/07/04</t>
        </is>
      </c>
    </row>
    <row r="4210">
      <c r="A4210" t="n">
        <v>14090705</v>
      </c>
      <c r="B4210" t="n">
        <v>47753</v>
      </c>
      <c r="C4210" t="inlineStr">
        <is>
          <t>1409/07/05</t>
        </is>
      </c>
    </row>
    <row r="4211">
      <c r="A4211" t="n">
        <v>14090706</v>
      </c>
      <c r="B4211" t="n">
        <v>47754</v>
      </c>
      <c r="C4211" t="inlineStr">
        <is>
          <t>1409/07/06</t>
        </is>
      </c>
    </row>
    <row r="4212">
      <c r="A4212" t="n">
        <v>14090707</v>
      </c>
      <c r="B4212" t="n">
        <v>47755</v>
      </c>
      <c r="C4212" t="inlineStr">
        <is>
          <t>1409/07/07</t>
        </is>
      </c>
    </row>
    <row r="4213">
      <c r="A4213" t="n">
        <v>14090708</v>
      </c>
      <c r="B4213" t="n">
        <v>47756</v>
      </c>
      <c r="C4213" t="inlineStr">
        <is>
          <t>1409/07/08</t>
        </is>
      </c>
    </row>
    <row r="4214">
      <c r="A4214" t="n">
        <v>14090709</v>
      </c>
      <c r="B4214" t="n">
        <v>47757</v>
      </c>
      <c r="C4214" t="inlineStr">
        <is>
          <t>1409/07/09</t>
        </is>
      </c>
    </row>
    <row r="4215">
      <c r="A4215" t="n">
        <v>14090710</v>
      </c>
      <c r="B4215" t="n">
        <v>47758</v>
      </c>
      <c r="C4215" t="inlineStr">
        <is>
          <t>1409/07/10</t>
        </is>
      </c>
    </row>
    <row r="4216">
      <c r="A4216" t="n">
        <v>14090711</v>
      </c>
      <c r="B4216" t="n">
        <v>47759</v>
      </c>
      <c r="C4216" t="inlineStr">
        <is>
          <t>1409/07/11</t>
        </is>
      </c>
    </row>
    <row r="4217">
      <c r="A4217" t="n">
        <v>14090712</v>
      </c>
      <c r="B4217" t="n">
        <v>47760</v>
      </c>
      <c r="C4217" t="inlineStr">
        <is>
          <t>1409/07/12</t>
        </is>
      </c>
    </row>
    <row r="4218">
      <c r="A4218" t="n">
        <v>14090713</v>
      </c>
      <c r="B4218" t="n">
        <v>47761</v>
      </c>
      <c r="C4218" t="inlineStr">
        <is>
          <t>1409/07/13</t>
        </is>
      </c>
    </row>
    <row r="4219">
      <c r="A4219" t="n">
        <v>14090714</v>
      </c>
      <c r="B4219" t="n">
        <v>47762</v>
      </c>
      <c r="C4219" t="inlineStr">
        <is>
          <t>1409/07/14</t>
        </is>
      </c>
    </row>
    <row r="4220">
      <c r="A4220" t="n">
        <v>14090715</v>
      </c>
      <c r="B4220" t="n">
        <v>47763</v>
      </c>
      <c r="C4220" t="inlineStr">
        <is>
          <t>1409/07/15</t>
        </is>
      </c>
    </row>
    <row r="4221">
      <c r="A4221" t="n">
        <v>14090716</v>
      </c>
      <c r="B4221" t="n">
        <v>47764</v>
      </c>
      <c r="C4221" t="inlineStr">
        <is>
          <t>1409/07/16</t>
        </is>
      </c>
    </row>
    <row r="4222">
      <c r="A4222" t="n">
        <v>14090717</v>
      </c>
      <c r="B4222" t="n">
        <v>47765</v>
      </c>
      <c r="C4222" t="inlineStr">
        <is>
          <t>1409/07/17</t>
        </is>
      </c>
    </row>
    <row r="4223">
      <c r="A4223" t="n">
        <v>14090718</v>
      </c>
      <c r="B4223" t="n">
        <v>47766</v>
      </c>
      <c r="C4223" t="inlineStr">
        <is>
          <t>1409/07/18</t>
        </is>
      </c>
    </row>
    <row r="4224">
      <c r="A4224" t="n">
        <v>14090719</v>
      </c>
      <c r="B4224" t="n">
        <v>47767</v>
      </c>
      <c r="C4224" t="inlineStr">
        <is>
          <t>1409/07/19</t>
        </is>
      </c>
    </row>
    <row r="4225">
      <c r="A4225" t="n">
        <v>14090720</v>
      </c>
      <c r="B4225" t="n">
        <v>47768</v>
      </c>
      <c r="C4225" t="inlineStr">
        <is>
          <t>1409/07/20</t>
        </is>
      </c>
    </row>
    <row r="4226">
      <c r="A4226" t="n">
        <v>14090721</v>
      </c>
      <c r="B4226" t="n">
        <v>47769</v>
      </c>
      <c r="C4226" t="inlineStr">
        <is>
          <t>1409/07/21</t>
        </is>
      </c>
    </row>
    <row r="4227">
      <c r="A4227" t="n">
        <v>14090722</v>
      </c>
      <c r="B4227" t="n">
        <v>47770</v>
      </c>
      <c r="C4227" t="inlineStr">
        <is>
          <t>1409/07/22</t>
        </is>
      </c>
    </row>
    <row r="4228">
      <c r="A4228" t="n">
        <v>14090723</v>
      </c>
      <c r="B4228" t="n">
        <v>47771</v>
      </c>
      <c r="C4228" t="inlineStr">
        <is>
          <t>1409/07/23</t>
        </is>
      </c>
    </row>
    <row r="4229">
      <c r="A4229" t="n">
        <v>14090724</v>
      </c>
      <c r="B4229" t="n">
        <v>47772</v>
      </c>
      <c r="C4229" t="inlineStr">
        <is>
          <t>1409/07/24</t>
        </is>
      </c>
    </row>
    <row r="4230">
      <c r="A4230" t="n">
        <v>14090725</v>
      </c>
      <c r="B4230" t="n">
        <v>47773</v>
      </c>
      <c r="C4230" t="inlineStr">
        <is>
          <t>1409/07/25</t>
        </is>
      </c>
    </row>
    <row r="4231">
      <c r="A4231" t="n">
        <v>14090726</v>
      </c>
      <c r="B4231" t="n">
        <v>47774</v>
      </c>
      <c r="C4231" t="inlineStr">
        <is>
          <t>1409/07/26</t>
        </is>
      </c>
    </row>
    <row r="4232">
      <c r="A4232" t="n">
        <v>14090727</v>
      </c>
      <c r="B4232" t="n">
        <v>47775</v>
      </c>
      <c r="C4232" t="inlineStr">
        <is>
          <t>1409/07/27</t>
        </is>
      </c>
    </row>
    <row r="4233">
      <c r="A4233" t="n">
        <v>14090728</v>
      </c>
      <c r="B4233" t="n">
        <v>47776</v>
      </c>
      <c r="C4233" t="inlineStr">
        <is>
          <t>1409/07/28</t>
        </is>
      </c>
    </row>
    <row r="4234">
      <c r="A4234" t="n">
        <v>14090729</v>
      </c>
      <c r="B4234" t="n">
        <v>47777</v>
      </c>
      <c r="C4234" t="inlineStr">
        <is>
          <t>1409/07/29</t>
        </is>
      </c>
    </row>
    <row r="4235">
      <c r="A4235" t="n">
        <v>14090730</v>
      </c>
      <c r="B4235" t="n">
        <v>47778</v>
      </c>
      <c r="C4235" t="inlineStr">
        <is>
          <t>1409/07/30</t>
        </is>
      </c>
    </row>
    <row r="4236">
      <c r="A4236" t="n">
        <v>14090801</v>
      </c>
      <c r="B4236" t="n">
        <v>47779</v>
      </c>
      <c r="C4236" t="inlineStr">
        <is>
          <t>1409/08/01</t>
        </is>
      </c>
    </row>
    <row r="4237">
      <c r="A4237" t="n">
        <v>14090802</v>
      </c>
      <c r="B4237" t="n">
        <v>47780</v>
      </c>
      <c r="C4237" t="inlineStr">
        <is>
          <t>1409/08/02</t>
        </is>
      </c>
    </row>
    <row r="4238">
      <c r="A4238" t="n">
        <v>14090803</v>
      </c>
      <c r="B4238" t="n">
        <v>47781</v>
      </c>
      <c r="C4238" t="inlineStr">
        <is>
          <t>1409/08/03</t>
        </is>
      </c>
    </row>
    <row r="4239">
      <c r="A4239" t="n">
        <v>14090804</v>
      </c>
      <c r="B4239" t="n">
        <v>47782</v>
      </c>
      <c r="C4239" t="inlineStr">
        <is>
          <t>1409/08/04</t>
        </is>
      </c>
    </row>
    <row r="4240">
      <c r="A4240" t="n">
        <v>14090805</v>
      </c>
      <c r="B4240" t="n">
        <v>47783</v>
      </c>
      <c r="C4240" t="inlineStr">
        <is>
          <t>1409/08/05</t>
        </is>
      </c>
    </row>
    <row r="4241">
      <c r="A4241" t="n">
        <v>14090806</v>
      </c>
      <c r="B4241" t="n">
        <v>47784</v>
      </c>
      <c r="C4241" t="inlineStr">
        <is>
          <t>1409/08/06</t>
        </is>
      </c>
    </row>
    <row r="4242">
      <c r="A4242" t="n">
        <v>14090807</v>
      </c>
      <c r="B4242" t="n">
        <v>47785</v>
      </c>
      <c r="C4242" t="inlineStr">
        <is>
          <t>1409/08/07</t>
        </is>
      </c>
    </row>
    <row r="4243">
      <c r="A4243" t="n">
        <v>14090808</v>
      </c>
      <c r="B4243" t="n">
        <v>47786</v>
      </c>
      <c r="C4243" t="inlineStr">
        <is>
          <t>1409/08/08</t>
        </is>
      </c>
    </row>
    <row r="4244">
      <c r="A4244" t="n">
        <v>14090809</v>
      </c>
      <c r="B4244" t="n">
        <v>47787</v>
      </c>
      <c r="C4244" t="inlineStr">
        <is>
          <t>1409/08/09</t>
        </is>
      </c>
    </row>
    <row r="4245">
      <c r="A4245" t="n">
        <v>14090810</v>
      </c>
      <c r="B4245" t="n">
        <v>47788</v>
      </c>
      <c r="C4245" t="inlineStr">
        <is>
          <t>1409/08/10</t>
        </is>
      </c>
    </row>
    <row r="4246">
      <c r="A4246" t="n">
        <v>14090811</v>
      </c>
      <c r="B4246" t="n">
        <v>47789</v>
      </c>
      <c r="C4246" t="inlineStr">
        <is>
          <t>1409/08/11</t>
        </is>
      </c>
    </row>
    <row r="4247">
      <c r="A4247" t="n">
        <v>14090812</v>
      </c>
      <c r="B4247" t="n">
        <v>47790</v>
      </c>
      <c r="C4247" t="inlineStr">
        <is>
          <t>1409/08/12</t>
        </is>
      </c>
    </row>
    <row r="4248">
      <c r="A4248" t="n">
        <v>14090813</v>
      </c>
      <c r="B4248" t="n">
        <v>47791</v>
      </c>
      <c r="C4248" t="inlineStr">
        <is>
          <t>1409/08/13</t>
        </is>
      </c>
    </row>
    <row r="4249">
      <c r="A4249" t="n">
        <v>14090814</v>
      </c>
      <c r="B4249" t="n">
        <v>47792</v>
      </c>
      <c r="C4249" t="inlineStr">
        <is>
          <t>1409/08/14</t>
        </is>
      </c>
    </row>
    <row r="4250">
      <c r="A4250" t="n">
        <v>14090815</v>
      </c>
      <c r="B4250" t="n">
        <v>47793</v>
      </c>
      <c r="C4250" t="inlineStr">
        <is>
          <t>1409/08/15</t>
        </is>
      </c>
    </row>
    <row r="4251">
      <c r="A4251" t="n">
        <v>14090816</v>
      </c>
      <c r="B4251" t="n">
        <v>47794</v>
      </c>
      <c r="C4251" t="inlineStr">
        <is>
          <t>1409/08/16</t>
        </is>
      </c>
    </row>
    <row r="4252">
      <c r="A4252" t="n">
        <v>14090817</v>
      </c>
      <c r="B4252" t="n">
        <v>47795</v>
      </c>
      <c r="C4252" t="inlineStr">
        <is>
          <t>1409/08/17</t>
        </is>
      </c>
    </row>
    <row r="4253">
      <c r="A4253" t="n">
        <v>14090818</v>
      </c>
      <c r="B4253" t="n">
        <v>47796</v>
      </c>
      <c r="C4253" t="inlineStr">
        <is>
          <t>1409/08/18</t>
        </is>
      </c>
    </row>
    <row r="4254">
      <c r="A4254" t="n">
        <v>14090819</v>
      </c>
      <c r="B4254" t="n">
        <v>47797</v>
      </c>
      <c r="C4254" t="inlineStr">
        <is>
          <t>1409/08/19</t>
        </is>
      </c>
    </row>
    <row r="4255">
      <c r="A4255" t="n">
        <v>14090820</v>
      </c>
      <c r="B4255" t="n">
        <v>47798</v>
      </c>
      <c r="C4255" t="inlineStr">
        <is>
          <t>1409/08/20</t>
        </is>
      </c>
    </row>
    <row r="4256">
      <c r="A4256" t="n">
        <v>14090821</v>
      </c>
      <c r="B4256" t="n">
        <v>47799</v>
      </c>
      <c r="C4256" t="inlineStr">
        <is>
          <t>1409/08/21</t>
        </is>
      </c>
    </row>
    <row r="4257">
      <c r="A4257" t="n">
        <v>14090822</v>
      </c>
      <c r="B4257" t="n">
        <v>47800</v>
      </c>
      <c r="C4257" t="inlineStr">
        <is>
          <t>1409/08/22</t>
        </is>
      </c>
    </row>
    <row r="4258">
      <c r="A4258" t="n">
        <v>14090823</v>
      </c>
      <c r="B4258" t="n">
        <v>47801</v>
      </c>
      <c r="C4258" t="inlineStr">
        <is>
          <t>1409/08/23</t>
        </is>
      </c>
    </row>
    <row r="4259">
      <c r="A4259" t="n">
        <v>14090824</v>
      </c>
      <c r="B4259" t="n">
        <v>47802</v>
      </c>
      <c r="C4259" t="inlineStr">
        <is>
          <t>1409/08/24</t>
        </is>
      </c>
    </row>
    <row r="4260">
      <c r="A4260" t="n">
        <v>14090825</v>
      </c>
      <c r="B4260" t="n">
        <v>47803</v>
      </c>
      <c r="C4260" t="inlineStr">
        <is>
          <t>1409/08/25</t>
        </is>
      </c>
    </row>
    <row r="4261">
      <c r="A4261" t="n">
        <v>14090826</v>
      </c>
      <c r="B4261" t="n">
        <v>47804</v>
      </c>
      <c r="C4261" t="inlineStr">
        <is>
          <t>1409/08/26</t>
        </is>
      </c>
    </row>
    <row r="4262">
      <c r="A4262" t="n">
        <v>14090827</v>
      </c>
      <c r="B4262" t="n">
        <v>47805</v>
      </c>
      <c r="C4262" t="inlineStr">
        <is>
          <t>1409/08/27</t>
        </is>
      </c>
    </row>
    <row r="4263">
      <c r="A4263" t="n">
        <v>14090828</v>
      </c>
      <c r="B4263" t="n">
        <v>47806</v>
      </c>
      <c r="C4263" t="inlineStr">
        <is>
          <t>1409/08/28</t>
        </is>
      </c>
    </row>
    <row r="4264">
      <c r="A4264" t="n">
        <v>14090829</v>
      </c>
      <c r="B4264" t="n">
        <v>47807</v>
      </c>
      <c r="C4264" t="inlineStr">
        <is>
          <t>1409/08/29</t>
        </is>
      </c>
    </row>
    <row r="4265">
      <c r="A4265" t="n">
        <v>14090830</v>
      </c>
      <c r="B4265" t="n">
        <v>47808</v>
      </c>
      <c r="C4265" t="inlineStr">
        <is>
          <t>1409/08/30</t>
        </is>
      </c>
    </row>
    <row r="4266">
      <c r="A4266" t="n">
        <v>14090901</v>
      </c>
      <c r="B4266" t="n">
        <v>47809</v>
      </c>
      <c r="C4266" t="inlineStr">
        <is>
          <t>1409/09/01</t>
        </is>
      </c>
    </row>
    <row r="4267">
      <c r="A4267" t="n">
        <v>14090902</v>
      </c>
      <c r="B4267" t="n">
        <v>47810</v>
      </c>
      <c r="C4267" t="inlineStr">
        <is>
          <t>1409/09/02</t>
        </is>
      </c>
    </row>
    <row r="4268">
      <c r="A4268" t="n">
        <v>14090903</v>
      </c>
      <c r="B4268" t="n">
        <v>47811</v>
      </c>
      <c r="C4268" t="inlineStr">
        <is>
          <t>1409/09/03</t>
        </is>
      </c>
    </row>
    <row r="4269">
      <c r="A4269" t="n">
        <v>14090904</v>
      </c>
      <c r="B4269" t="n">
        <v>47812</v>
      </c>
      <c r="C4269" t="inlineStr">
        <is>
          <t>1409/09/04</t>
        </is>
      </c>
    </row>
    <row r="4270">
      <c r="A4270" t="n">
        <v>14090905</v>
      </c>
      <c r="B4270" t="n">
        <v>47813</v>
      </c>
      <c r="C4270" t="inlineStr">
        <is>
          <t>1409/09/05</t>
        </is>
      </c>
    </row>
    <row r="4271">
      <c r="A4271" t="n">
        <v>14090906</v>
      </c>
      <c r="B4271" t="n">
        <v>47814</v>
      </c>
      <c r="C4271" t="inlineStr">
        <is>
          <t>1409/09/06</t>
        </is>
      </c>
    </row>
    <row r="4272">
      <c r="A4272" t="n">
        <v>14090907</v>
      </c>
      <c r="B4272" t="n">
        <v>47815</v>
      </c>
      <c r="C4272" t="inlineStr">
        <is>
          <t>1409/09/07</t>
        </is>
      </c>
    </row>
    <row r="4273">
      <c r="A4273" t="n">
        <v>14090908</v>
      </c>
      <c r="B4273" t="n">
        <v>47816</v>
      </c>
      <c r="C4273" t="inlineStr">
        <is>
          <t>1409/09/08</t>
        </is>
      </c>
    </row>
    <row r="4274">
      <c r="A4274" t="n">
        <v>14090909</v>
      </c>
      <c r="B4274" t="n">
        <v>47817</v>
      </c>
      <c r="C4274" t="inlineStr">
        <is>
          <t>1409/09/09</t>
        </is>
      </c>
    </row>
    <row r="4275">
      <c r="A4275" t="n">
        <v>14090910</v>
      </c>
      <c r="B4275" t="n">
        <v>47818</v>
      </c>
      <c r="C4275" t="inlineStr">
        <is>
          <t>1409/09/10</t>
        </is>
      </c>
    </row>
    <row r="4276">
      <c r="A4276" t="n">
        <v>14090911</v>
      </c>
      <c r="B4276" t="n">
        <v>47819</v>
      </c>
      <c r="C4276" t="inlineStr">
        <is>
          <t>1409/09/11</t>
        </is>
      </c>
    </row>
    <row r="4277">
      <c r="A4277" t="n">
        <v>14090912</v>
      </c>
      <c r="B4277" t="n">
        <v>47820</v>
      </c>
      <c r="C4277" t="inlineStr">
        <is>
          <t>1409/09/12</t>
        </is>
      </c>
    </row>
    <row r="4278">
      <c r="A4278" t="n">
        <v>14090913</v>
      </c>
      <c r="B4278" t="n">
        <v>47821</v>
      </c>
      <c r="C4278" t="inlineStr">
        <is>
          <t>1409/09/13</t>
        </is>
      </c>
    </row>
    <row r="4279">
      <c r="A4279" t="n">
        <v>14090914</v>
      </c>
      <c r="B4279" t="n">
        <v>47822</v>
      </c>
      <c r="C4279" t="inlineStr">
        <is>
          <t>1409/09/14</t>
        </is>
      </c>
    </row>
    <row r="4280">
      <c r="A4280" t="n">
        <v>14090915</v>
      </c>
      <c r="B4280" t="n">
        <v>47823</v>
      </c>
      <c r="C4280" t="inlineStr">
        <is>
          <t>1409/09/15</t>
        </is>
      </c>
    </row>
    <row r="4281">
      <c r="A4281" t="n">
        <v>14090916</v>
      </c>
      <c r="B4281" t="n">
        <v>47824</v>
      </c>
      <c r="C4281" t="inlineStr">
        <is>
          <t>1409/09/16</t>
        </is>
      </c>
    </row>
    <row r="4282">
      <c r="A4282" t="n">
        <v>14090917</v>
      </c>
      <c r="B4282" t="n">
        <v>47825</v>
      </c>
      <c r="C4282" t="inlineStr">
        <is>
          <t>1409/09/17</t>
        </is>
      </c>
    </row>
    <row r="4283">
      <c r="A4283" t="n">
        <v>14090918</v>
      </c>
      <c r="B4283" t="n">
        <v>47826</v>
      </c>
      <c r="C4283" t="inlineStr">
        <is>
          <t>1409/09/18</t>
        </is>
      </c>
    </row>
    <row r="4284">
      <c r="A4284" t="n">
        <v>14090919</v>
      </c>
      <c r="B4284" t="n">
        <v>47827</v>
      </c>
      <c r="C4284" t="inlineStr">
        <is>
          <t>1409/09/19</t>
        </is>
      </c>
    </row>
    <row r="4285">
      <c r="A4285" t="n">
        <v>14090920</v>
      </c>
      <c r="B4285" t="n">
        <v>47828</v>
      </c>
      <c r="C4285" t="inlineStr">
        <is>
          <t>1409/09/20</t>
        </is>
      </c>
    </row>
    <row r="4286">
      <c r="A4286" t="n">
        <v>14090921</v>
      </c>
      <c r="B4286" t="n">
        <v>47829</v>
      </c>
      <c r="C4286" t="inlineStr">
        <is>
          <t>1409/09/21</t>
        </is>
      </c>
    </row>
    <row r="4287">
      <c r="A4287" t="n">
        <v>14090922</v>
      </c>
      <c r="B4287" t="n">
        <v>47830</v>
      </c>
      <c r="C4287" t="inlineStr">
        <is>
          <t>1409/09/22</t>
        </is>
      </c>
    </row>
    <row r="4288">
      <c r="A4288" t="n">
        <v>14090923</v>
      </c>
      <c r="B4288" t="n">
        <v>47831</v>
      </c>
      <c r="C4288" t="inlineStr">
        <is>
          <t>1409/09/23</t>
        </is>
      </c>
    </row>
    <row r="4289">
      <c r="A4289" t="n">
        <v>14090924</v>
      </c>
      <c r="B4289" t="n">
        <v>47832</v>
      </c>
      <c r="C4289" t="inlineStr">
        <is>
          <t>1409/09/24</t>
        </is>
      </c>
    </row>
    <row r="4290">
      <c r="A4290" t="n">
        <v>14090925</v>
      </c>
      <c r="B4290" t="n">
        <v>47833</v>
      </c>
      <c r="C4290" t="inlineStr">
        <is>
          <t>1409/09/25</t>
        </is>
      </c>
    </row>
    <row r="4291">
      <c r="A4291" t="n">
        <v>14090926</v>
      </c>
      <c r="B4291" t="n">
        <v>47834</v>
      </c>
      <c r="C4291" t="inlineStr">
        <is>
          <t>1409/09/26</t>
        </is>
      </c>
    </row>
    <row r="4292">
      <c r="A4292" t="n">
        <v>14090927</v>
      </c>
      <c r="B4292" t="n">
        <v>47835</v>
      </c>
      <c r="C4292" t="inlineStr">
        <is>
          <t>1409/09/27</t>
        </is>
      </c>
    </row>
    <row r="4293">
      <c r="A4293" t="n">
        <v>14090928</v>
      </c>
      <c r="B4293" t="n">
        <v>47836</v>
      </c>
      <c r="C4293" t="inlineStr">
        <is>
          <t>1409/09/28</t>
        </is>
      </c>
    </row>
    <row r="4294">
      <c r="A4294" t="n">
        <v>14090929</v>
      </c>
      <c r="B4294" t="n">
        <v>47837</v>
      </c>
      <c r="C4294" t="inlineStr">
        <is>
          <t>1409/09/29</t>
        </is>
      </c>
    </row>
    <row r="4295">
      <c r="A4295" t="n">
        <v>14090930</v>
      </c>
      <c r="B4295" t="n">
        <v>47838</v>
      </c>
      <c r="C4295" t="inlineStr">
        <is>
          <t>1409/09/30</t>
        </is>
      </c>
    </row>
    <row r="4296">
      <c r="A4296" t="n">
        <v>14091001</v>
      </c>
      <c r="B4296" t="n">
        <v>47839</v>
      </c>
      <c r="C4296" t="inlineStr">
        <is>
          <t>1409/10/01</t>
        </is>
      </c>
    </row>
    <row r="4297">
      <c r="A4297" t="n">
        <v>14091002</v>
      </c>
      <c r="B4297" t="n">
        <v>47840</v>
      </c>
      <c r="C4297" t="inlineStr">
        <is>
          <t>1409/10/02</t>
        </is>
      </c>
    </row>
    <row r="4298">
      <c r="A4298" t="n">
        <v>14091003</v>
      </c>
      <c r="B4298" t="n">
        <v>47841</v>
      </c>
      <c r="C4298" t="inlineStr">
        <is>
          <t>1409/10/03</t>
        </is>
      </c>
    </row>
    <row r="4299">
      <c r="A4299" t="n">
        <v>14091004</v>
      </c>
      <c r="B4299" t="n">
        <v>47842</v>
      </c>
      <c r="C4299" t="inlineStr">
        <is>
          <t>1409/10/04</t>
        </is>
      </c>
    </row>
    <row r="4300">
      <c r="A4300" t="n">
        <v>14091005</v>
      </c>
      <c r="B4300" t="n">
        <v>47843</v>
      </c>
      <c r="C4300" t="inlineStr">
        <is>
          <t>1409/10/05</t>
        </is>
      </c>
    </row>
    <row r="4301">
      <c r="A4301" t="n">
        <v>14091006</v>
      </c>
      <c r="B4301" t="n">
        <v>47844</v>
      </c>
      <c r="C4301" t="inlineStr">
        <is>
          <t>1409/10/06</t>
        </is>
      </c>
    </row>
    <row r="4302">
      <c r="A4302" t="n">
        <v>14091007</v>
      </c>
      <c r="B4302" t="n">
        <v>47845</v>
      </c>
      <c r="C4302" t="inlineStr">
        <is>
          <t>1409/10/07</t>
        </is>
      </c>
    </row>
    <row r="4303">
      <c r="A4303" t="n">
        <v>14091008</v>
      </c>
      <c r="B4303" t="n">
        <v>47846</v>
      </c>
      <c r="C4303" t="inlineStr">
        <is>
          <t>1409/10/08</t>
        </is>
      </c>
    </row>
    <row r="4304">
      <c r="A4304" t="n">
        <v>14091009</v>
      </c>
      <c r="B4304" t="n">
        <v>47847</v>
      </c>
      <c r="C4304" t="inlineStr">
        <is>
          <t>1409/10/09</t>
        </is>
      </c>
    </row>
    <row r="4305">
      <c r="A4305" t="n">
        <v>14091010</v>
      </c>
      <c r="B4305" t="n">
        <v>47848</v>
      </c>
      <c r="C4305" t="inlineStr">
        <is>
          <t>1409/10/10</t>
        </is>
      </c>
    </row>
    <row r="4306">
      <c r="A4306" t="n">
        <v>14091011</v>
      </c>
      <c r="B4306" t="n">
        <v>47849</v>
      </c>
      <c r="C4306" t="inlineStr">
        <is>
          <t>1409/10/11</t>
        </is>
      </c>
    </row>
    <row r="4307">
      <c r="A4307" t="n">
        <v>14091012</v>
      </c>
      <c r="B4307" t="n">
        <v>47850</v>
      </c>
      <c r="C4307" t="inlineStr">
        <is>
          <t>1409/10/12</t>
        </is>
      </c>
    </row>
    <row r="4308">
      <c r="A4308" t="n">
        <v>14091013</v>
      </c>
      <c r="B4308" t="n">
        <v>47851</v>
      </c>
      <c r="C4308" t="inlineStr">
        <is>
          <t>1409/10/13</t>
        </is>
      </c>
    </row>
    <row r="4309">
      <c r="A4309" t="n">
        <v>14091014</v>
      </c>
      <c r="B4309" t="n">
        <v>47852</v>
      </c>
      <c r="C4309" t="inlineStr">
        <is>
          <t>1409/10/14</t>
        </is>
      </c>
    </row>
    <row r="4310">
      <c r="A4310" t="n">
        <v>14091015</v>
      </c>
      <c r="B4310" t="n">
        <v>47853</v>
      </c>
      <c r="C4310" t="inlineStr">
        <is>
          <t>1409/10/15</t>
        </is>
      </c>
    </row>
    <row r="4311">
      <c r="A4311" t="n">
        <v>14091016</v>
      </c>
      <c r="B4311" t="n">
        <v>47854</v>
      </c>
      <c r="C4311" t="inlineStr">
        <is>
          <t>1409/10/16</t>
        </is>
      </c>
    </row>
    <row r="4312">
      <c r="A4312" t="n">
        <v>14091017</v>
      </c>
      <c r="B4312" t="n">
        <v>47855</v>
      </c>
      <c r="C4312" t="inlineStr">
        <is>
          <t>1409/10/17</t>
        </is>
      </c>
    </row>
    <row r="4313">
      <c r="A4313" t="n">
        <v>14091018</v>
      </c>
      <c r="B4313" t="n">
        <v>47856</v>
      </c>
      <c r="C4313" t="inlineStr">
        <is>
          <t>1409/10/18</t>
        </is>
      </c>
    </row>
    <row r="4314">
      <c r="A4314" t="n">
        <v>14091019</v>
      </c>
      <c r="B4314" t="n">
        <v>47857</v>
      </c>
      <c r="C4314" t="inlineStr">
        <is>
          <t>1409/10/19</t>
        </is>
      </c>
    </row>
    <row r="4315">
      <c r="A4315" t="n">
        <v>14091020</v>
      </c>
      <c r="B4315" t="n">
        <v>47858</v>
      </c>
      <c r="C4315" t="inlineStr">
        <is>
          <t>1409/10/20</t>
        </is>
      </c>
    </row>
    <row r="4316">
      <c r="A4316" t="n">
        <v>14091021</v>
      </c>
      <c r="B4316" t="n">
        <v>47859</v>
      </c>
      <c r="C4316" t="inlineStr">
        <is>
          <t>1409/10/21</t>
        </is>
      </c>
    </row>
    <row r="4317">
      <c r="A4317" t="n">
        <v>14091022</v>
      </c>
      <c r="B4317" t="n">
        <v>47860</v>
      </c>
      <c r="C4317" t="inlineStr">
        <is>
          <t>1409/10/22</t>
        </is>
      </c>
    </row>
    <row r="4318">
      <c r="A4318" t="n">
        <v>14091023</v>
      </c>
      <c r="B4318" t="n">
        <v>47861</v>
      </c>
      <c r="C4318" t="inlineStr">
        <is>
          <t>1409/10/23</t>
        </is>
      </c>
    </row>
    <row r="4319">
      <c r="A4319" t="n">
        <v>14091024</v>
      </c>
      <c r="B4319" t="n">
        <v>47862</v>
      </c>
      <c r="C4319" t="inlineStr">
        <is>
          <t>1409/10/24</t>
        </is>
      </c>
    </row>
    <row r="4320">
      <c r="A4320" t="n">
        <v>14091025</v>
      </c>
      <c r="B4320" t="n">
        <v>47863</v>
      </c>
      <c r="C4320" t="inlineStr">
        <is>
          <t>1409/10/25</t>
        </is>
      </c>
    </row>
    <row r="4321">
      <c r="A4321" t="n">
        <v>14091026</v>
      </c>
      <c r="B4321" t="n">
        <v>47864</v>
      </c>
      <c r="C4321" t="inlineStr">
        <is>
          <t>1409/10/26</t>
        </is>
      </c>
    </row>
    <row r="4322">
      <c r="A4322" t="n">
        <v>14091027</v>
      </c>
      <c r="B4322" t="n">
        <v>47865</v>
      </c>
      <c r="C4322" t="inlineStr">
        <is>
          <t>1409/10/27</t>
        </is>
      </c>
    </row>
    <row r="4323">
      <c r="A4323" t="n">
        <v>14091028</v>
      </c>
      <c r="B4323" t="n">
        <v>47866</v>
      </c>
      <c r="C4323" t="inlineStr">
        <is>
          <t>1409/10/28</t>
        </is>
      </c>
    </row>
    <row r="4324">
      <c r="A4324" t="n">
        <v>14091029</v>
      </c>
      <c r="B4324" t="n">
        <v>47867</v>
      </c>
      <c r="C4324" t="inlineStr">
        <is>
          <t>1409/10/29</t>
        </is>
      </c>
    </row>
    <row r="4325">
      <c r="A4325" t="n">
        <v>14091030</v>
      </c>
      <c r="B4325" t="n">
        <v>47868</v>
      </c>
      <c r="C4325" t="inlineStr">
        <is>
          <t>1409/10/30</t>
        </is>
      </c>
    </row>
    <row r="4326">
      <c r="A4326" t="n">
        <v>14091101</v>
      </c>
      <c r="B4326" t="n">
        <v>47869</v>
      </c>
      <c r="C4326" t="inlineStr">
        <is>
          <t>1409/11/01</t>
        </is>
      </c>
    </row>
    <row r="4327">
      <c r="A4327" t="n">
        <v>14091102</v>
      </c>
      <c r="B4327" t="n">
        <v>47870</v>
      </c>
      <c r="C4327" t="inlineStr">
        <is>
          <t>1409/11/02</t>
        </is>
      </c>
    </row>
    <row r="4328">
      <c r="A4328" t="n">
        <v>14091103</v>
      </c>
      <c r="B4328" t="n">
        <v>47871</v>
      </c>
      <c r="C4328" t="inlineStr">
        <is>
          <t>1409/11/03</t>
        </is>
      </c>
    </row>
    <row r="4329">
      <c r="A4329" t="n">
        <v>14091104</v>
      </c>
      <c r="B4329" t="n">
        <v>47872</v>
      </c>
      <c r="C4329" t="inlineStr">
        <is>
          <t>1409/11/04</t>
        </is>
      </c>
    </row>
    <row r="4330">
      <c r="A4330" t="n">
        <v>14091105</v>
      </c>
      <c r="B4330" t="n">
        <v>47873</v>
      </c>
      <c r="C4330" t="inlineStr">
        <is>
          <t>1409/11/05</t>
        </is>
      </c>
    </row>
    <row r="4331">
      <c r="A4331" t="n">
        <v>14091106</v>
      </c>
      <c r="B4331" t="n">
        <v>47874</v>
      </c>
      <c r="C4331" t="inlineStr">
        <is>
          <t>1409/11/06</t>
        </is>
      </c>
    </row>
    <row r="4332">
      <c r="A4332" t="n">
        <v>14091107</v>
      </c>
      <c r="B4332" t="n">
        <v>47875</v>
      </c>
      <c r="C4332" t="inlineStr">
        <is>
          <t>1409/11/07</t>
        </is>
      </c>
    </row>
    <row r="4333">
      <c r="A4333" t="n">
        <v>14091108</v>
      </c>
      <c r="B4333" t="n">
        <v>47876</v>
      </c>
      <c r="C4333" t="inlineStr">
        <is>
          <t>1409/11/08</t>
        </is>
      </c>
    </row>
    <row r="4334">
      <c r="A4334" t="n">
        <v>14091109</v>
      </c>
      <c r="B4334" t="n">
        <v>47877</v>
      </c>
      <c r="C4334" t="inlineStr">
        <is>
          <t>1409/11/09</t>
        </is>
      </c>
    </row>
    <row r="4335">
      <c r="A4335" t="n">
        <v>14091110</v>
      </c>
      <c r="B4335" t="n">
        <v>47878</v>
      </c>
      <c r="C4335" t="inlineStr">
        <is>
          <t>1409/11/10</t>
        </is>
      </c>
    </row>
    <row r="4336">
      <c r="A4336" t="n">
        <v>14091111</v>
      </c>
      <c r="B4336" t="n">
        <v>47879</v>
      </c>
      <c r="C4336" t="inlineStr">
        <is>
          <t>1409/11/11</t>
        </is>
      </c>
    </row>
    <row r="4337">
      <c r="A4337" t="n">
        <v>14091112</v>
      </c>
      <c r="B4337" t="n">
        <v>47880</v>
      </c>
      <c r="C4337" t="inlineStr">
        <is>
          <t>1409/11/12</t>
        </is>
      </c>
    </row>
    <row r="4338">
      <c r="A4338" t="n">
        <v>14091113</v>
      </c>
      <c r="B4338" t="n">
        <v>47881</v>
      </c>
      <c r="C4338" t="inlineStr">
        <is>
          <t>1409/11/13</t>
        </is>
      </c>
    </row>
    <row r="4339">
      <c r="A4339" t="n">
        <v>14091114</v>
      </c>
      <c r="B4339" t="n">
        <v>47882</v>
      </c>
      <c r="C4339" t="inlineStr">
        <is>
          <t>1409/11/14</t>
        </is>
      </c>
    </row>
    <row r="4340">
      <c r="A4340" t="n">
        <v>14091115</v>
      </c>
      <c r="B4340" t="n">
        <v>47883</v>
      </c>
      <c r="C4340" t="inlineStr">
        <is>
          <t>1409/11/15</t>
        </is>
      </c>
    </row>
    <row r="4341">
      <c r="A4341" t="n">
        <v>14091116</v>
      </c>
      <c r="B4341" t="n">
        <v>47884</v>
      </c>
      <c r="C4341" t="inlineStr">
        <is>
          <t>1409/11/16</t>
        </is>
      </c>
    </row>
    <row r="4342">
      <c r="A4342" t="n">
        <v>14091117</v>
      </c>
      <c r="B4342" t="n">
        <v>47885</v>
      </c>
      <c r="C4342" t="inlineStr">
        <is>
          <t>1409/11/17</t>
        </is>
      </c>
    </row>
    <row r="4343">
      <c r="A4343" t="n">
        <v>14091118</v>
      </c>
      <c r="B4343" t="n">
        <v>47886</v>
      </c>
      <c r="C4343" t="inlineStr">
        <is>
          <t>1409/11/18</t>
        </is>
      </c>
    </row>
    <row r="4344">
      <c r="A4344" t="n">
        <v>14091119</v>
      </c>
      <c r="B4344" t="n">
        <v>47887</v>
      </c>
      <c r="C4344" t="inlineStr">
        <is>
          <t>1409/11/19</t>
        </is>
      </c>
    </row>
    <row r="4345">
      <c r="A4345" t="n">
        <v>14091120</v>
      </c>
      <c r="B4345" t="n">
        <v>47888</v>
      </c>
      <c r="C4345" t="inlineStr">
        <is>
          <t>1409/11/20</t>
        </is>
      </c>
    </row>
    <row r="4346">
      <c r="A4346" t="n">
        <v>14091121</v>
      </c>
      <c r="B4346" t="n">
        <v>47889</v>
      </c>
      <c r="C4346" t="inlineStr">
        <is>
          <t>1409/11/21</t>
        </is>
      </c>
    </row>
    <row r="4347">
      <c r="A4347" t="n">
        <v>14091122</v>
      </c>
      <c r="B4347" t="n">
        <v>47890</v>
      </c>
      <c r="C4347" t="inlineStr">
        <is>
          <t>1409/11/22</t>
        </is>
      </c>
    </row>
    <row r="4348">
      <c r="A4348" t="n">
        <v>14091123</v>
      </c>
      <c r="B4348" t="n">
        <v>47891</v>
      </c>
      <c r="C4348" t="inlineStr">
        <is>
          <t>1409/11/23</t>
        </is>
      </c>
    </row>
    <row r="4349">
      <c r="A4349" t="n">
        <v>14091124</v>
      </c>
      <c r="B4349" t="n">
        <v>47892</v>
      </c>
      <c r="C4349" t="inlineStr">
        <is>
          <t>1409/11/24</t>
        </is>
      </c>
    </row>
    <row r="4350">
      <c r="A4350" t="n">
        <v>14091125</v>
      </c>
      <c r="B4350" t="n">
        <v>47893</v>
      </c>
      <c r="C4350" t="inlineStr">
        <is>
          <t>1409/11/25</t>
        </is>
      </c>
    </row>
    <row r="4351">
      <c r="A4351" t="n">
        <v>14091126</v>
      </c>
      <c r="B4351" t="n">
        <v>47894</v>
      </c>
      <c r="C4351" t="inlineStr">
        <is>
          <t>1409/11/26</t>
        </is>
      </c>
    </row>
    <row r="4352">
      <c r="A4352" t="n">
        <v>14091127</v>
      </c>
      <c r="B4352" t="n">
        <v>47895</v>
      </c>
      <c r="C4352" t="inlineStr">
        <is>
          <t>1409/11/27</t>
        </is>
      </c>
    </row>
    <row r="4353">
      <c r="A4353" t="n">
        <v>14091128</v>
      </c>
      <c r="B4353" t="n">
        <v>47896</v>
      </c>
      <c r="C4353" t="inlineStr">
        <is>
          <t>1409/11/28</t>
        </is>
      </c>
    </row>
    <row r="4354">
      <c r="A4354" t="n">
        <v>14091129</v>
      </c>
      <c r="B4354" t="n">
        <v>47897</v>
      </c>
      <c r="C4354" t="inlineStr">
        <is>
          <t>1409/11/29</t>
        </is>
      </c>
    </row>
    <row r="4355">
      <c r="A4355" t="n">
        <v>14091130</v>
      </c>
      <c r="B4355" t="n">
        <v>47898</v>
      </c>
      <c r="C4355" t="inlineStr">
        <is>
          <t>1409/11/30</t>
        </is>
      </c>
    </row>
    <row r="4356">
      <c r="A4356" t="n">
        <v>14091201</v>
      </c>
      <c r="B4356" t="n">
        <v>47899</v>
      </c>
      <c r="C4356" t="inlineStr">
        <is>
          <t>1409/12/01</t>
        </is>
      </c>
    </row>
    <row r="4357">
      <c r="A4357" t="n">
        <v>14091202</v>
      </c>
      <c r="B4357" t="n">
        <v>47900</v>
      </c>
      <c r="C4357" t="inlineStr">
        <is>
          <t>1409/12/02</t>
        </is>
      </c>
    </row>
    <row r="4358">
      <c r="A4358" t="n">
        <v>14091203</v>
      </c>
      <c r="B4358" t="n">
        <v>47901</v>
      </c>
      <c r="C4358" t="inlineStr">
        <is>
          <t>1409/12/03</t>
        </is>
      </c>
    </row>
    <row r="4359">
      <c r="A4359" t="n">
        <v>14091204</v>
      </c>
      <c r="B4359" t="n">
        <v>47902</v>
      </c>
      <c r="C4359" t="inlineStr">
        <is>
          <t>1409/12/04</t>
        </is>
      </c>
    </row>
    <row r="4360">
      <c r="A4360" t="n">
        <v>14091205</v>
      </c>
      <c r="B4360" t="n">
        <v>47903</v>
      </c>
      <c r="C4360" t="inlineStr">
        <is>
          <t>1409/12/05</t>
        </is>
      </c>
    </row>
    <row r="4361">
      <c r="A4361" t="n">
        <v>14091206</v>
      </c>
      <c r="B4361" t="n">
        <v>47904</v>
      </c>
      <c r="C4361" t="inlineStr">
        <is>
          <t>1409/12/06</t>
        </is>
      </c>
    </row>
    <row r="4362">
      <c r="A4362" t="n">
        <v>14091207</v>
      </c>
      <c r="B4362" t="n">
        <v>47905</v>
      </c>
      <c r="C4362" t="inlineStr">
        <is>
          <t>1409/12/07</t>
        </is>
      </c>
    </row>
    <row r="4363">
      <c r="A4363" t="n">
        <v>14091208</v>
      </c>
      <c r="B4363" t="n">
        <v>47906</v>
      </c>
      <c r="C4363" t="inlineStr">
        <is>
          <t>1409/12/08</t>
        </is>
      </c>
    </row>
    <row r="4364">
      <c r="A4364" t="n">
        <v>14091209</v>
      </c>
      <c r="B4364" t="n">
        <v>47907</v>
      </c>
      <c r="C4364" t="inlineStr">
        <is>
          <t>1409/12/09</t>
        </is>
      </c>
    </row>
    <row r="4365">
      <c r="A4365" t="n">
        <v>14091210</v>
      </c>
      <c r="B4365" t="n">
        <v>47908</v>
      </c>
      <c r="C4365" t="inlineStr">
        <is>
          <t>1409/12/10</t>
        </is>
      </c>
    </row>
    <row r="4366">
      <c r="A4366" t="n">
        <v>14091211</v>
      </c>
      <c r="B4366" t="n">
        <v>47909</v>
      </c>
      <c r="C4366" t="inlineStr">
        <is>
          <t>1409/12/11</t>
        </is>
      </c>
    </row>
    <row r="4367">
      <c r="A4367" t="n">
        <v>14091212</v>
      </c>
      <c r="B4367" t="n">
        <v>47910</v>
      </c>
      <c r="C4367" t="inlineStr">
        <is>
          <t>1409/12/12</t>
        </is>
      </c>
    </row>
    <row r="4368">
      <c r="A4368" t="n">
        <v>14091213</v>
      </c>
      <c r="B4368" t="n">
        <v>47911</v>
      </c>
      <c r="C4368" t="inlineStr">
        <is>
          <t>1409/12/13</t>
        </is>
      </c>
    </row>
    <row r="4369">
      <c r="A4369" t="n">
        <v>14091214</v>
      </c>
      <c r="B4369" t="n">
        <v>47912</v>
      </c>
      <c r="C4369" t="inlineStr">
        <is>
          <t>1409/12/14</t>
        </is>
      </c>
    </row>
    <row r="4370">
      <c r="A4370" t="n">
        <v>14091215</v>
      </c>
      <c r="B4370" t="n">
        <v>47913</v>
      </c>
      <c r="C4370" t="inlineStr">
        <is>
          <t>1409/12/15</t>
        </is>
      </c>
    </row>
    <row r="4371">
      <c r="A4371" t="n">
        <v>14091216</v>
      </c>
      <c r="B4371" t="n">
        <v>47914</v>
      </c>
      <c r="C4371" t="inlineStr">
        <is>
          <t>1409/12/16</t>
        </is>
      </c>
    </row>
    <row r="4372">
      <c r="A4372" t="n">
        <v>14091217</v>
      </c>
      <c r="B4372" t="n">
        <v>47915</v>
      </c>
      <c r="C4372" t="inlineStr">
        <is>
          <t>1409/12/17</t>
        </is>
      </c>
    </row>
    <row r="4373">
      <c r="A4373" t="n">
        <v>14091218</v>
      </c>
      <c r="B4373" t="n">
        <v>47916</v>
      </c>
      <c r="C4373" t="inlineStr">
        <is>
          <t>1409/12/18</t>
        </is>
      </c>
    </row>
    <row r="4374">
      <c r="A4374" t="n">
        <v>14091219</v>
      </c>
      <c r="B4374" t="n">
        <v>47917</v>
      </c>
      <c r="C4374" t="inlineStr">
        <is>
          <t>1409/12/19</t>
        </is>
      </c>
    </row>
    <row r="4375">
      <c r="A4375" t="n">
        <v>14091220</v>
      </c>
      <c r="B4375" t="n">
        <v>47918</v>
      </c>
      <c r="C4375" t="inlineStr">
        <is>
          <t>1409/12/20</t>
        </is>
      </c>
    </row>
    <row r="4376">
      <c r="A4376" t="n">
        <v>14091221</v>
      </c>
      <c r="B4376" t="n">
        <v>47919</v>
      </c>
      <c r="C4376" t="inlineStr">
        <is>
          <t>1409/12/21</t>
        </is>
      </c>
    </row>
    <row r="4377">
      <c r="A4377" t="n">
        <v>14091222</v>
      </c>
      <c r="B4377" t="n">
        <v>47920</v>
      </c>
      <c r="C4377" t="inlineStr">
        <is>
          <t>1409/12/22</t>
        </is>
      </c>
    </row>
    <row r="4378">
      <c r="A4378" t="n">
        <v>14091223</v>
      </c>
      <c r="B4378" t="n">
        <v>47921</v>
      </c>
      <c r="C4378" t="inlineStr">
        <is>
          <t>1409/12/23</t>
        </is>
      </c>
    </row>
    <row r="4379">
      <c r="A4379" t="n">
        <v>14091224</v>
      </c>
      <c r="B4379" t="n">
        <v>47922</v>
      </c>
      <c r="C4379" t="inlineStr">
        <is>
          <t>1409/12/24</t>
        </is>
      </c>
    </row>
    <row r="4380">
      <c r="A4380" t="n">
        <v>14091225</v>
      </c>
      <c r="B4380" t="n">
        <v>47923</v>
      </c>
      <c r="C4380" t="inlineStr">
        <is>
          <t>1409/12/25</t>
        </is>
      </c>
    </row>
    <row r="4381">
      <c r="A4381" t="n">
        <v>14091226</v>
      </c>
      <c r="B4381" t="n">
        <v>47924</v>
      </c>
      <c r="C4381" t="inlineStr">
        <is>
          <t>1409/12/26</t>
        </is>
      </c>
    </row>
    <row r="4382">
      <c r="A4382" t="n">
        <v>14091227</v>
      </c>
      <c r="B4382" t="n">
        <v>47925</v>
      </c>
      <c r="C4382" t="inlineStr">
        <is>
          <t>1409/12/27</t>
        </is>
      </c>
    </row>
    <row r="4383">
      <c r="A4383" t="n">
        <v>14091228</v>
      </c>
      <c r="B4383" t="n">
        <v>47926</v>
      </c>
      <c r="C4383" t="inlineStr">
        <is>
          <t>1409/12/28</t>
        </is>
      </c>
    </row>
    <row r="4384">
      <c r="A4384" t="n">
        <v>14091229</v>
      </c>
      <c r="B4384" t="n">
        <v>47927</v>
      </c>
      <c r="C4384" t="inlineStr">
        <is>
          <t>1409/12/29</t>
        </is>
      </c>
    </row>
    <row r="4385">
      <c r="A4385" t="n">
        <v>14100101</v>
      </c>
      <c r="B4385" t="n">
        <v>47928</v>
      </c>
      <c r="C4385" t="inlineStr">
        <is>
          <t>1410/01/01</t>
        </is>
      </c>
    </row>
    <row r="4386">
      <c r="A4386" t="n">
        <v>14100102</v>
      </c>
      <c r="B4386" t="n">
        <v>47929</v>
      </c>
      <c r="C4386" t="inlineStr">
        <is>
          <t>1410/01/02</t>
        </is>
      </c>
    </row>
    <row r="4387">
      <c r="A4387" t="n">
        <v>14100103</v>
      </c>
      <c r="B4387" t="n">
        <v>47930</v>
      </c>
      <c r="C4387" t="inlineStr">
        <is>
          <t>1410/01/03</t>
        </is>
      </c>
    </row>
    <row r="4388">
      <c r="A4388" t="n">
        <v>14100104</v>
      </c>
      <c r="B4388" t="n">
        <v>47931</v>
      </c>
      <c r="C4388" t="inlineStr">
        <is>
          <t>1410/01/04</t>
        </is>
      </c>
    </row>
    <row r="4389">
      <c r="A4389" t="n">
        <v>14100105</v>
      </c>
      <c r="B4389" t="n">
        <v>47932</v>
      </c>
      <c r="C4389" t="inlineStr">
        <is>
          <t>1410/01/05</t>
        </is>
      </c>
    </row>
    <row r="4390">
      <c r="A4390" t="n">
        <v>14100106</v>
      </c>
      <c r="B4390" t="n">
        <v>47933</v>
      </c>
      <c r="C4390" t="inlineStr">
        <is>
          <t>1410/01/06</t>
        </is>
      </c>
    </row>
    <row r="4391">
      <c r="A4391" t="n">
        <v>14100107</v>
      </c>
      <c r="B4391" t="n">
        <v>47934</v>
      </c>
      <c r="C4391" t="inlineStr">
        <is>
          <t>1410/01/07</t>
        </is>
      </c>
    </row>
    <row r="4392">
      <c r="A4392" t="n">
        <v>14100108</v>
      </c>
      <c r="B4392" t="n">
        <v>47935</v>
      </c>
      <c r="C4392" t="inlineStr">
        <is>
          <t>1410/01/08</t>
        </is>
      </c>
    </row>
    <row r="4393">
      <c r="A4393" t="n">
        <v>14100109</v>
      </c>
      <c r="B4393" t="n">
        <v>47936</v>
      </c>
      <c r="C4393" t="inlineStr">
        <is>
          <t>1410/01/09</t>
        </is>
      </c>
    </row>
    <row r="4394">
      <c r="A4394" t="n">
        <v>14100110</v>
      </c>
      <c r="B4394" t="n">
        <v>47937</v>
      </c>
      <c r="C4394" t="inlineStr">
        <is>
          <t>1410/01/10</t>
        </is>
      </c>
    </row>
    <row r="4395">
      <c r="A4395" t="n">
        <v>14100111</v>
      </c>
      <c r="B4395" t="n">
        <v>47938</v>
      </c>
      <c r="C4395" t="inlineStr">
        <is>
          <t>1410/01/11</t>
        </is>
      </c>
    </row>
    <row r="4396">
      <c r="A4396" t="n">
        <v>14100112</v>
      </c>
      <c r="B4396" t="n">
        <v>47939</v>
      </c>
      <c r="C4396" t="inlineStr">
        <is>
          <t>1410/01/12</t>
        </is>
      </c>
    </row>
    <row r="4397">
      <c r="A4397" t="n">
        <v>14100113</v>
      </c>
      <c r="B4397" t="n">
        <v>47940</v>
      </c>
      <c r="C4397" t="inlineStr">
        <is>
          <t>1410/01/13</t>
        </is>
      </c>
    </row>
    <row r="4398">
      <c r="A4398" t="n">
        <v>14100114</v>
      </c>
      <c r="B4398" t="n">
        <v>47941</v>
      </c>
      <c r="C4398" t="inlineStr">
        <is>
          <t>1410/01/14</t>
        </is>
      </c>
    </row>
    <row r="4399">
      <c r="A4399" t="n">
        <v>14100115</v>
      </c>
      <c r="B4399" t="n">
        <v>47942</v>
      </c>
      <c r="C4399" t="inlineStr">
        <is>
          <t>1410/01/15</t>
        </is>
      </c>
    </row>
    <row r="4400">
      <c r="A4400" t="n">
        <v>14100116</v>
      </c>
      <c r="B4400" t="n">
        <v>47943</v>
      </c>
      <c r="C4400" t="inlineStr">
        <is>
          <t>1410/01/16</t>
        </is>
      </c>
    </row>
    <row r="4401">
      <c r="A4401" t="n">
        <v>14100117</v>
      </c>
      <c r="B4401" t="n">
        <v>47944</v>
      </c>
      <c r="C4401" t="inlineStr">
        <is>
          <t>1410/01/17</t>
        </is>
      </c>
    </row>
    <row r="4402">
      <c r="A4402" t="n">
        <v>14100118</v>
      </c>
      <c r="B4402" t="n">
        <v>47945</v>
      </c>
      <c r="C4402" t="inlineStr">
        <is>
          <t>1410/01/18</t>
        </is>
      </c>
    </row>
    <row r="4403">
      <c r="A4403" t="n">
        <v>14100119</v>
      </c>
      <c r="B4403" t="n">
        <v>47946</v>
      </c>
      <c r="C4403" t="inlineStr">
        <is>
          <t>1410/01/19</t>
        </is>
      </c>
    </row>
    <row r="4404">
      <c r="A4404" t="n">
        <v>14100120</v>
      </c>
      <c r="B4404" t="n">
        <v>47947</v>
      </c>
      <c r="C4404" t="inlineStr">
        <is>
          <t>1410/01/20</t>
        </is>
      </c>
    </row>
    <row r="4405">
      <c r="A4405" t="n">
        <v>14100121</v>
      </c>
      <c r="B4405" t="n">
        <v>47948</v>
      </c>
      <c r="C4405" t="inlineStr">
        <is>
          <t>1410/01/21</t>
        </is>
      </c>
    </row>
    <row r="4406">
      <c r="A4406" t="n">
        <v>14100122</v>
      </c>
      <c r="B4406" t="n">
        <v>47949</v>
      </c>
      <c r="C4406" t="inlineStr">
        <is>
          <t>1410/01/22</t>
        </is>
      </c>
    </row>
    <row r="4407">
      <c r="A4407" t="n">
        <v>14100123</v>
      </c>
      <c r="B4407" t="n">
        <v>47950</v>
      </c>
      <c r="C4407" t="inlineStr">
        <is>
          <t>1410/01/23</t>
        </is>
      </c>
    </row>
    <row r="4408">
      <c r="A4408" t="n">
        <v>14100124</v>
      </c>
      <c r="B4408" t="n">
        <v>47951</v>
      </c>
      <c r="C4408" t="inlineStr">
        <is>
          <t>1410/01/24</t>
        </is>
      </c>
    </row>
    <row r="4409">
      <c r="A4409" t="n">
        <v>14100125</v>
      </c>
      <c r="B4409" t="n">
        <v>47952</v>
      </c>
      <c r="C4409" t="inlineStr">
        <is>
          <t>1410/01/25</t>
        </is>
      </c>
    </row>
    <row r="4410">
      <c r="A4410" t="n">
        <v>14100126</v>
      </c>
      <c r="B4410" t="n">
        <v>47953</v>
      </c>
      <c r="C4410" t="inlineStr">
        <is>
          <t>1410/01/26</t>
        </is>
      </c>
    </row>
    <row r="4411">
      <c r="A4411" t="n">
        <v>14100127</v>
      </c>
      <c r="B4411" t="n">
        <v>47954</v>
      </c>
      <c r="C4411" t="inlineStr">
        <is>
          <t>1410/01/27</t>
        </is>
      </c>
    </row>
    <row r="4412">
      <c r="A4412" t="n">
        <v>14100128</v>
      </c>
      <c r="B4412" t="n">
        <v>47955</v>
      </c>
      <c r="C4412" t="inlineStr">
        <is>
          <t>1410/01/28</t>
        </is>
      </c>
    </row>
    <row r="4413">
      <c r="A4413" t="n">
        <v>14100129</v>
      </c>
      <c r="B4413" t="n">
        <v>47956</v>
      </c>
      <c r="C4413" t="inlineStr">
        <is>
          <t>1410/01/29</t>
        </is>
      </c>
    </row>
    <row r="4414">
      <c r="A4414" t="n">
        <v>14100130</v>
      </c>
      <c r="B4414" t="n">
        <v>47957</v>
      </c>
      <c r="C4414" t="inlineStr">
        <is>
          <t>1410/01/30</t>
        </is>
      </c>
    </row>
    <row r="4415">
      <c r="A4415" t="n">
        <v>14100131</v>
      </c>
      <c r="B4415" t="n">
        <v>47958</v>
      </c>
      <c r="C4415" t="inlineStr">
        <is>
          <t>1410/01/31</t>
        </is>
      </c>
    </row>
    <row r="4416">
      <c r="A4416" t="n">
        <v>14100201</v>
      </c>
      <c r="B4416" t="n">
        <v>47959</v>
      </c>
      <c r="C4416" t="inlineStr">
        <is>
          <t>1410/02/01</t>
        </is>
      </c>
    </row>
    <row r="4417">
      <c r="A4417" t="n">
        <v>14100202</v>
      </c>
      <c r="B4417" t="n">
        <v>47960</v>
      </c>
      <c r="C4417" t="inlineStr">
        <is>
          <t>1410/02/02</t>
        </is>
      </c>
    </row>
    <row r="4418">
      <c r="A4418" t="n">
        <v>14100203</v>
      </c>
      <c r="B4418" t="n">
        <v>47961</v>
      </c>
      <c r="C4418" t="inlineStr">
        <is>
          <t>1410/02/03</t>
        </is>
      </c>
    </row>
    <row r="4419">
      <c r="A4419" t="n">
        <v>14100204</v>
      </c>
      <c r="B4419" t="n">
        <v>47962</v>
      </c>
      <c r="C4419" t="inlineStr">
        <is>
          <t>1410/02/04</t>
        </is>
      </c>
    </row>
    <row r="4420">
      <c r="A4420" t="n">
        <v>14100205</v>
      </c>
      <c r="B4420" t="n">
        <v>47963</v>
      </c>
      <c r="C4420" t="inlineStr">
        <is>
          <t>1410/02/05</t>
        </is>
      </c>
    </row>
    <row r="4421">
      <c r="A4421" t="n">
        <v>14100206</v>
      </c>
      <c r="B4421" t="n">
        <v>47964</v>
      </c>
      <c r="C4421" t="inlineStr">
        <is>
          <t>1410/02/06</t>
        </is>
      </c>
    </row>
    <row r="4422">
      <c r="A4422" t="n">
        <v>14100207</v>
      </c>
      <c r="B4422" t="n">
        <v>47965</v>
      </c>
      <c r="C4422" t="inlineStr">
        <is>
          <t>1410/02/07</t>
        </is>
      </c>
    </row>
    <row r="4423">
      <c r="A4423" t="n">
        <v>14100208</v>
      </c>
      <c r="B4423" t="n">
        <v>47966</v>
      </c>
      <c r="C4423" t="inlineStr">
        <is>
          <t>1410/02/08</t>
        </is>
      </c>
    </row>
    <row r="4424">
      <c r="A4424" t="n">
        <v>14100209</v>
      </c>
      <c r="B4424" t="n">
        <v>47967</v>
      </c>
      <c r="C4424" t="inlineStr">
        <is>
          <t>1410/02/09</t>
        </is>
      </c>
    </row>
    <row r="4425">
      <c r="A4425" t="n">
        <v>14100210</v>
      </c>
      <c r="B4425" t="n">
        <v>47968</v>
      </c>
      <c r="C4425" t="inlineStr">
        <is>
          <t>1410/02/10</t>
        </is>
      </c>
    </row>
    <row r="4426">
      <c r="A4426" t="n">
        <v>14100211</v>
      </c>
      <c r="B4426" t="n">
        <v>47969</v>
      </c>
      <c r="C4426" t="inlineStr">
        <is>
          <t>1410/02/11</t>
        </is>
      </c>
    </row>
    <row r="4427">
      <c r="A4427" t="n">
        <v>14100212</v>
      </c>
      <c r="B4427" t="n">
        <v>47970</v>
      </c>
      <c r="C4427" t="inlineStr">
        <is>
          <t>1410/02/12</t>
        </is>
      </c>
    </row>
    <row r="4428">
      <c r="A4428" t="n">
        <v>14100213</v>
      </c>
      <c r="B4428" t="n">
        <v>47971</v>
      </c>
      <c r="C4428" t="inlineStr">
        <is>
          <t>1410/02/13</t>
        </is>
      </c>
    </row>
    <row r="4429">
      <c r="A4429" t="n">
        <v>14100214</v>
      </c>
      <c r="B4429" t="n">
        <v>47972</v>
      </c>
      <c r="C4429" t="inlineStr">
        <is>
          <t>1410/02/14</t>
        </is>
      </c>
    </row>
    <row r="4430">
      <c r="A4430" t="n">
        <v>14100215</v>
      </c>
      <c r="B4430" t="n">
        <v>47973</v>
      </c>
      <c r="C4430" t="inlineStr">
        <is>
          <t>1410/02/15</t>
        </is>
      </c>
    </row>
    <row r="4431">
      <c r="A4431" t="n">
        <v>14100216</v>
      </c>
      <c r="B4431" t="n">
        <v>47974</v>
      </c>
      <c r="C4431" t="inlineStr">
        <is>
          <t>1410/02/16</t>
        </is>
      </c>
    </row>
    <row r="4432">
      <c r="A4432" t="n">
        <v>14100217</v>
      </c>
      <c r="B4432" t="n">
        <v>47975</v>
      </c>
      <c r="C4432" t="inlineStr">
        <is>
          <t>1410/02/17</t>
        </is>
      </c>
    </row>
    <row r="4433">
      <c r="A4433" t="n">
        <v>14100218</v>
      </c>
      <c r="B4433" t="n">
        <v>47976</v>
      </c>
      <c r="C4433" t="inlineStr">
        <is>
          <t>1410/02/18</t>
        </is>
      </c>
    </row>
    <row r="4434">
      <c r="A4434" t="n">
        <v>14100219</v>
      </c>
      <c r="B4434" t="n">
        <v>47977</v>
      </c>
      <c r="C4434" t="inlineStr">
        <is>
          <t>1410/02/19</t>
        </is>
      </c>
    </row>
    <row r="4435">
      <c r="A4435" t="n">
        <v>14100220</v>
      </c>
      <c r="B4435" t="n">
        <v>47978</v>
      </c>
      <c r="C4435" t="inlineStr">
        <is>
          <t>1410/02/20</t>
        </is>
      </c>
    </row>
    <row r="4436">
      <c r="A4436" t="n">
        <v>14100221</v>
      </c>
      <c r="B4436" t="n">
        <v>47979</v>
      </c>
      <c r="C4436" t="inlineStr">
        <is>
          <t>1410/02/21</t>
        </is>
      </c>
    </row>
    <row r="4437">
      <c r="A4437" t="n">
        <v>14100222</v>
      </c>
      <c r="B4437" t="n">
        <v>47980</v>
      </c>
      <c r="C4437" t="inlineStr">
        <is>
          <t>1410/02/22</t>
        </is>
      </c>
    </row>
    <row r="4438">
      <c r="A4438" t="n">
        <v>14100223</v>
      </c>
      <c r="B4438" t="n">
        <v>47981</v>
      </c>
      <c r="C4438" t="inlineStr">
        <is>
          <t>1410/02/23</t>
        </is>
      </c>
    </row>
    <row r="4439">
      <c r="A4439" t="n">
        <v>14100224</v>
      </c>
      <c r="B4439" t="n">
        <v>47982</v>
      </c>
      <c r="C4439" t="inlineStr">
        <is>
          <t>1410/02/24</t>
        </is>
      </c>
    </row>
    <row r="4440">
      <c r="A4440" t="n">
        <v>14100225</v>
      </c>
      <c r="B4440" t="n">
        <v>47983</v>
      </c>
      <c r="C4440" t="inlineStr">
        <is>
          <t>1410/02/25</t>
        </is>
      </c>
    </row>
    <row r="4441">
      <c r="A4441" t="n">
        <v>14100226</v>
      </c>
      <c r="B4441" t="n">
        <v>47984</v>
      </c>
      <c r="C4441" t="inlineStr">
        <is>
          <t>1410/02/26</t>
        </is>
      </c>
    </row>
    <row r="4442">
      <c r="A4442" t="n">
        <v>14100227</v>
      </c>
      <c r="B4442" t="n">
        <v>47985</v>
      </c>
      <c r="C4442" t="inlineStr">
        <is>
          <t>1410/02/27</t>
        </is>
      </c>
    </row>
    <row r="4443">
      <c r="A4443" t="n">
        <v>14100228</v>
      </c>
      <c r="B4443" t="n">
        <v>47986</v>
      </c>
      <c r="C4443" t="inlineStr">
        <is>
          <t>1410/02/28</t>
        </is>
      </c>
    </row>
    <row r="4444">
      <c r="A4444" t="n">
        <v>14100229</v>
      </c>
      <c r="B4444" t="n">
        <v>47987</v>
      </c>
      <c r="C4444" t="inlineStr">
        <is>
          <t>1410/02/29</t>
        </is>
      </c>
    </row>
    <row r="4445">
      <c r="A4445" t="n">
        <v>14100230</v>
      </c>
      <c r="B4445" t="n">
        <v>47988</v>
      </c>
      <c r="C4445" t="inlineStr">
        <is>
          <t>1410/02/30</t>
        </is>
      </c>
    </row>
    <row r="4446">
      <c r="A4446" t="n">
        <v>14100231</v>
      </c>
      <c r="B4446" t="n">
        <v>47989</v>
      </c>
      <c r="C4446" t="inlineStr">
        <is>
          <t>1410/02/31</t>
        </is>
      </c>
    </row>
    <row r="4447">
      <c r="A4447" t="n">
        <v>14100301</v>
      </c>
      <c r="B4447" t="n">
        <v>47990</v>
      </c>
      <c r="C4447" t="inlineStr">
        <is>
          <t>1410/03/01</t>
        </is>
      </c>
    </row>
    <row r="4448">
      <c r="A4448" t="n">
        <v>14100302</v>
      </c>
      <c r="B4448" t="n">
        <v>47991</v>
      </c>
      <c r="C4448" t="inlineStr">
        <is>
          <t>1410/03/02</t>
        </is>
      </c>
    </row>
    <row r="4449">
      <c r="A4449" t="n">
        <v>14100303</v>
      </c>
      <c r="B4449" t="n">
        <v>47992</v>
      </c>
      <c r="C4449" t="inlineStr">
        <is>
          <t>1410/03/03</t>
        </is>
      </c>
    </row>
    <row r="4450">
      <c r="A4450" t="n">
        <v>14100304</v>
      </c>
      <c r="B4450" t="n">
        <v>47993</v>
      </c>
      <c r="C4450" t="inlineStr">
        <is>
          <t>1410/03/04</t>
        </is>
      </c>
    </row>
    <row r="4451">
      <c r="A4451" t="n">
        <v>14100305</v>
      </c>
      <c r="B4451" t="n">
        <v>47994</v>
      </c>
      <c r="C4451" t="inlineStr">
        <is>
          <t>1410/03/05</t>
        </is>
      </c>
    </row>
    <row r="4452">
      <c r="A4452" t="n">
        <v>14100306</v>
      </c>
      <c r="B4452" t="n">
        <v>47995</v>
      </c>
      <c r="C4452" t="inlineStr">
        <is>
          <t>1410/03/06</t>
        </is>
      </c>
    </row>
    <row r="4453">
      <c r="A4453" t="n">
        <v>14100307</v>
      </c>
      <c r="B4453" t="n">
        <v>47996</v>
      </c>
      <c r="C4453" t="inlineStr">
        <is>
          <t>1410/03/07</t>
        </is>
      </c>
    </row>
    <row r="4454">
      <c r="A4454" t="n">
        <v>14100308</v>
      </c>
      <c r="B4454" t="n">
        <v>47997</v>
      </c>
      <c r="C4454" t="inlineStr">
        <is>
          <t>1410/03/08</t>
        </is>
      </c>
    </row>
    <row r="4455">
      <c r="A4455" t="n">
        <v>14100309</v>
      </c>
      <c r="B4455" t="n">
        <v>47998</v>
      </c>
      <c r="C4455" t="inlineStr">
        <is>
          <t>1410/03/09</t>
        </is>
      </c>
    </row>
    <row r="4456">
      <c r="A4456" t="n">
        <v>14100310</v>
      </c>
      <c r="B4456" t="n">
        <v>47999</v>
      </c>
      <c r="C4456" t="inlineStr">
        <is>
          <t>1410/03/10</t>
        </is>
      </c>
    </row>
    <row r="4457">
      <c r="A4457" t="n">
        <v>14100311</v>
      </c>
      <c r="B4457" t="n">
        <v>48000</v>
      </c>
      <c r="C4457" t="inlineStr">
        <is>
          <t>1410/03/11</t>
        </is>
      </c>
    </row>
    <row r="4458">
      <c r="A4458" t="n">
        <v>14100312</v>
      </c>
      <c r="B4458" t="n">
        <v>48001</v>
      </c>
      <c r="C4458" t="inlineStr">
        <is>
          <t>1410/03/12</t>
        </is>
      </c>
    </row>
    <row r="4459">
      <c r="A4459" t="n">
        <v>14100313</v>
      </c>
      <c r="B4459" t="n">
        <v>48002</v>
      </c>
      <c r="C4459" t="inlineStr">
        <is>
          <t>1410/03/13</t>
        </is>
      </c>
    </row>
    <row r="4460">
      <c r="A4460" t="n">
        <v>14100314</v>
      </c>
      <c r="B4460" t="n">
        <v>48003</v>
      </c>
      <c r="C4460" t="inlineStr">
        <is>
          <t>1410/03/14</t>
        </is>
      </c>
    </row>
    <row r="4461">
      <c r="A4461" t="n">
        <v>14100315</v>
      </c>
      <c r="B4461" t="n">
        <v>48004</v>
      </c>
      <c r="C4461" t="inlineStr">
        <is>
          <t>1410/03/15</t>
        </is>
      </c>
    </row>
    <row r="4462">
      <c r="A4462" t="n">
        <v>14100316</v>
      </c>
      <c r="B4462" t="n">
        <v>48005</v>
      </c>
      <c r="C4462" t="inlineStr">
        <is>
          <t>1410/03/16</t>
        </is>
      </c>
    </row>
    <row r="4463">
      <c r="A4463" t="n">
        <v>14100317</v>
      </c>
      <c r="B4463" t="n">
        <v>48006</v>
      </c>
      <c r="C4463" t="inlineStr">
        <is>
          <t>1410/03/17</t>
        </is>
      </c>
    </row>
    <row r="4464">
      <c r="A4464" t="n">
        <v>14100318</v>
      </c>
      <c r="B4464" t="n">
        <v>48007</v>
      </c>
      <c r="C4464" t="inlineStr">
        <is>
          <t>1410/03/18</t>
        </is>
      </c>
    </row>
    <row r="4465">
      <c r="A4465" t="n">
        <v>14100319</v>
      </c>
      <c r="B4465" t="n">
        <v>48008</v>
      </c>
      <c r="C4465" t="inlineStr">
        <is>
          <t>1410/03/19</t>
        </is>
      </c>
    </row>
    <row r="4466">
      <c r="A4466" t="n">
        <v>14100320</v>
      </c>
      <c r="B4466" t="n">
        <v>48009</v>
      </c>
      <c r="C4466" t="inlineStr">
        <is>
          <t>1410/03/20</t>
        </is>
      </c>
    </row>
    <row r="4467">
      <c r="A4467" t="n">
        <v>14100321</v>
      </c>
      <c r="B4467" t="n">
        <v>48010</v>
      </c>
      <c r="C4467" t="inlineStr">
        <is>
          <t>1410/03/21</t>
        </is>
      </c>
    </row>
    <row r="4468">
      <c r="A4468" t="n">
        <v>14100322</v>
      </c>
      <c r="B4468" t="n">
        <v>48011</v>
      </c>
      <c r="C4468" t="inlineStr">
        <is>
          <t>1410/03/22</t>
        </is>
      </c>
    </row>
    <row r="4469">
      <c r="A4469" t="n">
        <v>14100323</v>
      </c>
      <c r="B4469" t="n">
        <v>48012</v>
      </c>
      <c r="C4469" t="inlineStr">
        <is>
          <t>1410/03/23</t>
        </is>
      </c>
    </row>
    <row r="4470">
      <c r="A4470" t="n">
        <v>14100324</v>
      </c>
      <c r="B4470" t="n">
        <v>48013</v>
      </c>
      <c r="C4470" t="inlineStr">
        <is>
          <t>1410/03/24</t>
        </is>
      </c>
    </row>
    <row r="4471">
      <c r="A4471" t="n">
        <v>14100325</v>
      </c>
      <c r="B4471" t="n">
        <v>48014</v>
      </c>
      <c r="C4471" t="inlineStr">
        <is>
          <t>1410/03/25</t>
        </is>
      </c>
    </row>
    <row r="4472">
      <c r="A4472" t="n">
        <v>14100326</v>
      </c>
      <c r="B4472" t="n">
        <v>48015</v>
      </c>
      <c r="C4472" t="inlineStr">
        <is>
          <t>1410/03/26</t>
        </is>
      </c>
    </row>
    <row r="4473">
      <c r="A4473" t="n">
        <v>14100327</v>
      </c>
      <c r="B4473" t="n">
        <v>48016</v>
      </c>
      <c r="C4473" t="inlineStr">
        <is>
          <t>1410/03/27</t>
        </is>
      </c>
    </row>
    <row r="4474">
      <c r="A4474" t="n">
        <v>14100328</v>
      </c>
      <c r="B4474" t="n">
        <v>48017</v>
      </c>
      <c r="C4474" t="inlineStr">
        <is>
          <t>1410/03/28</t>
        </is>
      </c>
    </row>
    <row r="4475">
      <c r="A4475" t="n">
        <v>14100329</v>
      </c>
      <c r="B4475" t="n">
        <v>48018</v>
      </c>
      <c r="C4475" t="inlineStr">
        <is>
          <t>1410/03/29</t>
        </is>
      </c>
    </row>
    <row r="4476">
      <c r="A4476" t="n">
        <v>14100330</v>
      </c>
      <c r="B4476" t="n">
        <v>48019</v>
      </c>
      <c r="C4476" t="inlineStr">
        <is>
          <t>1410/03/30</t>
        </is>
      </c>
    </row>
    <row r="4477">
      <c r="A4477" t="n">
        <v>14100331</v>
      </c>
      <c r="B4477" t="n">
        <v>48020</v>
      </c>
      <c r="C4477" t="inlineStr">
        <is>
          <t>1410/03/31</t>
        </is>
      </c>
    </row>
    <row r="4478">
      <c r="A4478" t="n">
        <v>14100401</v>
      </c>
      <c r="B4478" t="n">
        <v>48021</v>
      </c>
      <c r="C4478" t="inlineStr">
        <is>
          <t>1410/04/01</t>
        </is>
      </c>
    </row>
    <row r="4479">
      <c r="A4479" t="n">
        <v>14100402</v>
      </c>
      <c r="B4479" t="n">
        <v>48022</v>
      </c>
      <c r="C4479" t="inlineStr">
        <is>
          <t>1410/04/02</t>
        </is>
      </c>
    </row>
    <row r="4480">
      <c r="A4480" t="n">
        <v>14100403</v>
      </c>
      <c r="B4480" t="n">
        <v>48023</v>
      </c>
      <c r="C4480" t="inlineStr">
        <is>
          <t>1410/04/03</t>
        </is>
      </c>
    </row>
    <row r="4481">
      <c r="A4481" t="n">
        <v>14100404</v>
      </c>
      <c r="B4481" t="n">
        <v>48024</v>
      </c>
      <c r="C4481" t="inlineStr">
        <is>
          <t>1410/04/04</t>
        </is>
      </c>
    </row>
    <row r="4482">
      <c r="A4482" t="n">
        <v>14100405</v>
      </c>
      <c r="B4482" t="n">
        <v>48025</v>
      </c>
      <c r="C4482" t="inlineStr">
        <is>
          <t>1410/04/05</t>
        </is>
      </c>
    </row>
    <row r="4483">
      <c r="A4483" t="n">
        <v>14100406</v>
      </c>
      <c r="B4483" t="n">
        <v>48026</v>
      </c>
      <c r="C4483" t="inlineStr">
        <is>
          <t>1410/04/06</t>
        </is>
      </c>
    </row>
    <row r="4484">
      <c r="A4484" t="n">
        <v>14100407</v>
      </c>
      <c r="B4484" t="n">
        <v>48027</v>
      </c>
      <c r="C4484" t="inlineStr">
        <is>
          <t>1410/04/07</t>
        </is>
      </c>
    </row>
    <row r="4485">
      <c r="A4485" t="n">
        <v>14100408</v>
      </c>
      <c r="B4485" t="n">
        <v>48028</v>
      </c>
      <c r="C4485" t="inlineStr">
        <is>
          <t>1410/04/08</t>
        </is>
      </c>
    </row>
    <row r="4486">
      <c r="A4486" t="n">
        <v>14100409</v>
      </c>
      <c r="B4486" t="n">
        <v>48029</v>
      </c>
      <c r="C4486" t="inlineStr">
        <is>
          <t>1410/04/09</t>
        </is>
      </c>
    </row>
    <row r="4487">
      <c r="A4487" t="n">
        <v>14100410</v>
      </c>
      <c r="B4487" t="n">
        <v>48030</v>
      </c>
      <c r="C4487" t="inlineStr">
        <is>
          <t>1410/04/10</t>
        </is>
      </c>
    </row>
    <row r="4488">
      <c r="A4488" t="n">
        <v>14100411</v>
      </c>
      <c r="B4488" t="n">
        <v>48031</v>
      </c>
      <c r="C4488" t="inlineStr">
        <is>
          <t>1410/04/11</t>
        </is>
      </c>
    </row>
    <row r="4489">
      <c r="A4489" t="n">
        <v>14100412</v>
      </c>
      <c r="B4489" t="n">
        <v>48032</v>
      </c>
      <c r="C4489" t="inlineStr">
        <is>
          <t>1410/04/12</t>
        </is>
      </c>
    </row>
    <row r="4490">
      <c r="A4490" t="n">
        <v>14100413</v>
      </c>
      <c r="B4490" t="n">
        <v>48033</v>
      </c>
      <c r="C4490" t="inlineStr">
        <is>
          <t>1410/04/13</t>
        </is>
      </c>
    </row>
    <row r="4491">
      <c r="A4491" t="n">
        <v>14100414</v>
      </c>
      <c r="B4491" t="n">
        <v>48034</v>
      </c>
      <c r="C4491" t="inlineStr">
        <is>
          <t>1410/04/14</t>
        </is>
      </c>
    </row>
    <row r="4492">
      <c r="A4492" t="n">
        <v>14100415</v>
      </c>
      <c r="B4492" t="n">
        <v>48035</v>
      </c>
      <c r="C4492" t="inlineStr">
        <is>
          <t>1410/04/15</t>
        </is>
      </c>
    </row>
    <row r="4493">
      <c r="A4493" t="n">
        <v>14100416</v>
      </c>
      <c r="B4493" t="n">
        <v>48036</v>
      </c>
      <c r="C4493" t="inlineStr">
        <is>
          <t>1410/04/16</t>
        </is>
      </c>
    </row>
    <row r="4494">
      <c r="A4494" t="n">
        <v>14100417</v>
      </c>
      <c r="B4494" t="n">
        <v>48037</v>
      </c>
      <c r="C4494" t="inlineStr">
        <is>
          <t>1410/04/17</t>
        </is>
      </c>
    </row>
    <row r="4495">
      <c r="A4495" t="n">
        <v>14100418</v>
      </c>
      <c r="B4495" t="n">
        <v>48038</v>
      </c>
      <c r="C4495" t="inlineStr">
        <is>
          <t>1410/04/18</t>
        </is>
      </c>
    </row>
    <row r="4496">
      <c r="A4496" t="n">
        <v>14100419</v>
      </c>
      <c r="B4496" t="n">
        <v>48039</v>
      </c>
      <c r="C4496" t="inlineStr">
        <is>
          <t>1410/04/19</t>
        </is>
      </c>
    </row>
    <row r="4497">
      <c r="A4497" t="n">
        <v>14100420</v>
      </c>
      <c r="B4497" t="n">
        <v>48040</v>
      </c>
      <c r="C4497" t="inlineStr">
        <is>
          <t>1410/04/20</t>
        </is>
      </c>
    </row>
    <row r="4498">
      <c r="A4498" t="n">
        <v>14100421</v>
      </c>
      <c r="B4498" t="n">
        <v>48041</v>
      </c>
      <c r="C4498" t="inlineStr">
        <is>
          <t>1410/04/21</t>
        </is>
      </c>
    </row>
    <row r="4499">
      <c r="A4499" t="n">
        <v>14100422</v>
      </c>
      <c r="B4499" t="n">
        <v>48042</v>
      </c>
      <c r="C4499" t="inlineStr">
        <is>
          <t>1410/04/22</t>
        </is>
      </c>
    </row>
    <row r="4500">
      <c r="A4500" t="n">
        <v>14100423</v>
      </c>
      <c r="B4500" t="n">
        <v>48043</v>
      </c>
      <c r="C4500" t="inlineStr">
        <is>
          <t>1410/04/23</t>
        </is>
      </c>
    </row>
    <row r="4501">
      <c r="A4501" t="n">
        <v>14100424</v>
      </c>
      <c r="B4501" t="n">
        <v>48044</v>
      </c>
      <c r="C4501" t="inlineStr">
        <is>
          <t>1410/04/24</t>
        </is>
      </c>
    </row>
    <row r="4502">
      <c r="A4502" t="n">
        <v>14100425</v>
      </c>
      <c r="B4502" t="n">
        <v>48045</v>
      </c>
      <c r="C4502" t="inlineStr">
        <is>
          <t>1410/04/25</t>
        </is>
      </c>
    </row>
    <row r="4503">
      <c r="A4503" t="n">
        <v>14100426</v>
      </c>
      <c r="B4503" t="n">
        <v>48046</v>
      </c>
      <c r="C4503" t="inlineStr">
        <is>
          <t>1410/04/26</t>
        </is>
      </c>
    </row>
    <row r="4504">
      <c r="A4504" t="n">
        <v>14100427</v>
      </c>
      <c r="B4504" t="n">
        <v>48047</v>
      </c>
      <c r="C4504" t="inlineStr">
        <is>
          <t>1410/04/27</t>
        </is>
      </c>
    </row>
    <row r="4505">
      <c r="A4505" t="n">
        <v>14100428</v>
      </c>
      <c r="B4505" t="n">
        <v>48048</v>
      </c>
      <c r="C4505" t="inlineStr">
        <is>
          <t>1410/04/28</t>
        </is>
      </c>
    </row>
    <row r="4506">
      <c r="A4506" t="n">
        <v>14100429</v>
      </c>
      <c r="B4506" t="n">
        <v>48049</v>
      </c>
      <c r="C4506" t="inlineStr">
        <is>
          <t>1410/04/29</t>
        </is>
      </c>
    </row>
    <row r="4507">
      <c r="A4507" t="n">
        <v>14100430</v>
      </c>
      <c r="B4507" t="n">
        <v>48050</v>
      </c>
      <c r="C4507" t="inlineStr">
        <is>
          <t>1410/04/30</t>
        </is>
      </c>
    </row>
    <row r="4508">
      <c r="A4508" t="n">
        <v>14100431</v>
      </c>
      <c r="B4508" t="n">
        <v>48051</v>
      </c>
      <c r="C4508" t="inlineStr">
        <is>
          <t>1410/04/31</t>
        </is>
      </c>
    </row>
    <row r="4509">
      <c r="A4509" t="n">
        <v>14100501</v>
      </c>
      <c r="B4509" t="n">
        <v>48052</v>
      </c>
      <c r="C4509" t="inlineStr">
        <is>
          <t>1410/05/01</t>
        </is>
      </c>
    </row>
    <row r="4510">
      <c r="A4510" t="n">
        <v>14100502</v>
      </c>
      <c r="B4510" t="n">
        <v>48053</v>
      </c>
      <c r="C4510" t="inlineStr">
        <is>
          <t>1410/05/02</t>
        </is>
      </c>
    </row>
    <row r="4511">
      <c r="A4511" t="n">
        <v>14100503</v>
      </c>
      <c r="B4511" t="n">
        <v>48054</v>
      </c>
      <c r="C4511" t="inlineStr">
        <is>
          <t>1410/05/03</t>
        </is>
      </c>
    </row>
    <row r="4512">
      <c r="A4512" t="n">
        <v>14100504</v>
      </c>
      <c r="B4512" t="n">
        <v>48055</v>
      </c>
      <c r="C4512" t="inlineStr">
        <is>
          <t>1410/05/04</t>
        </is>
      </c>
    </row>
    <row r="4513">
      <c r="A4513" t="n">
        <v>14100505</v>
      </c>
      <c r="B4513" t="n">
        <v>48056</v>
      </c>
      <c r="C4513" t="inlineStr">
        <is>
          <t>1410/05/05</t>
        </is>
      </c>
    </row>
    <row r="4514">
      <c r="A4514" t="n">
        <v>14100506</v>
      </c>
      <c r="B4514" t="n">
        <v>48057</v>
      </c>
      <c r="C4514" t="inlineStr">
        <is>
          <t>1410/05/06</t>
        </is>
      </c>
    </row>
    <row r="4515">
      <c r="A4515" t="n">
        <v>14100507</v>
      </c>
      <c r="B4515" t="n">
        <v>48058</v>
      </c>
      <c r="C4515" t="inlineStr">
        <is>
          <t>1410/05/07</t>
        </is>
      </c>
    </row>
    <row r="4516">
      <c r="A4516" t="n">
        <v>14100508</v>
      </c>
      <c r="B4516" t="n">
        <v>48059</v>
      </c>
      <c r="C4516" t="inlineStr">
        <is>
          <t>1410/05/08</t>
        </is>
      </c>
    </row>
    <row r="4517">
      <c r="A4517" t="n">
        <v>14100509</v>
      </c>
      <c r="B4517" t="n">
        <v>48060</v>
      </c>
      <c r="C4517" t="inlineStr">
        <is>
          <t>1410/05/09</t>
        </is>
      </c>
    </row>
    <row r="4518">
      <c r="A4518" t="n">
        <v>14100510</v>
      </c>
      <c r="B4518" t="n">
        <v>48061</v>
      </c>
      <c r="C4518" t="inlineStr">
        <is>
          <t>1410/05/10</t>
        </is>
      </c>
    </row>
    <row r="4519">
      <c r="A4519" t="n">
        <v>14100511</v>
      </c>
      <c r="B4519" t="n">
        <v>48062</v>
      </c>
      <c r="C4519" t="inlineStr">
        <is>
          <t>1410/05/11</t>
        </is>
      </c>
    </row>
    <row r="4520">
      <c r="A4520" t="n">
        <v>14100512</v>
      </c>
      <c r="B4520" t="n">
        <v>48063</v>
      </c>
      <c r="C4520" t="inlineStr">
        <is>
          <t>1410/05/12</t>
        </is>
      </c>
    </row>
    <row r="4521">
      <c r="A4521" t="n">
        <v>14100513</v>
      </c>
      <c r="B4521" t="n">
        <v>48064</v>
      </c>
      <c r="C4521" t="inlineStr">
        <is>
          <t>1410/05/13</t>
        </is>
      </c>
    </row>
    <row r="4522">
      <c r="A4522" t="n">
        <v>14100514</v>
      </c>
      <c r="B4522" t="n">
        <v>48065</v>
      </c>
      <c r="C4522" t="inlineStr">
        <is>
          <t>1410/05/14</t>
        </is>
      </c>
    </row>
    <row r="4523">
      <c r="A4523" t="n">
        <v>14100515</v>
      </c>
      <c r="B4523" t="n">
        <v>48066</v>
      </c>
      <c r="C4523" t="inlineStr">
        <is>
          <t>1410/05/15</t>
        </is>
      </c>
    </row>
    <row r="4524">
      <c r="A4524" t="n">
        <v>14100516</v>
      </c>
      <c r="B4524" t="n">
        <v>48067</v>
      </c>
      <c r="C4524" t="inlineStr">
        <is>
          <t>1410/05/16</t>
        </is>
      </c>
    </row>
    <row r="4525">
      <c r="A4525" t="n">
        <v>14100517</v>
      </c>
      <c r="B4525" t="n">
        <v>48068</v>
      </c>
      <c r="C4525" t="inlineStr">
        <is>
          <t>1410/05/17</t>
        </is>
      </c>
    </row>
    <row r="4526">
      <c r="A4526" t="n">
        <v>14100518</v>
      </c>
      <c r="B4526" t="n">
        <v>48069</v>
      </c>
      <c r="C4526" t="inlineStr">
        <is>
          <t>1410/05/18</t>
        </is>
      </c>
    </row>
    <row r="4527">
      <c r="A4527" t="n">
        <v>14100519</v>
      </c>
      <c r="B4527" t="n">
        <v>48070</v>
      </c>
      <c r="C4527" t="inlineStr">
        <is>
          <t>1410/05/19</t>
        </is>
      </c>
    </row>
    <row r="4528">
      <c r="A4528" t="n">
        <v>14100520</v>
      </c>
      <c r="B4528" t="n">
        <v>48071</v>
      </c>
      <c r="C4528" t="inlineStr">
        <is>
          <t>1410/05/20</t>
        </is>
      </c>
    </row>
    <row r="4529">
      <c r="A4529" t="n">
        <v>14100521</v>
      </c>
      <c r="B4529" t="n">
        <v>48072</v>
      </c>
      <c r="C4529" t="inlineStr">
        <is>
          <t>1410/05/21</t>
        </is>
      </c>
    </row>
    <row r="4530">
      <c r="A4530" t="n">
        <v>14100522</v>
      </c>
      <c r="B4530" t="n">
        <v>48073</v>
      </c>
      <c r="C4530" t="inlineStr">
        <is>
          <t>1410/05/22</t>
        </is>
      </c>
    </row>
    <row r="4531">
      <c r="A4531" t="n">
        <v>14100523</v>
      </c>
      <c r="B4531" t="n">
        <v>48074</v>
      </c>
      <c r="C4531" t="inlineStr">
        <is>
          <t>1410/05/23</t>
        </is>
      </c>
    </row>
    <row r="4532">
      <c r="A4532" t="n">
        <v>14100524</v>
      </c>
      <c r="B4532" t="n">
        <v>48075</v>
      </c>
      <c r="C4532" t="inlineStr">
        <is>
          <t>1410/05/24</t>
        </is>
      </c>
    </row>
    <row r="4533">
      <c r="A4533" t="n">
        <v>14100525</v>
      </c>
      <c r="B4533" t="n">
        <v>48076</v>
      </c>
      <c r="C4533" t="inlineStr">
        <is>
          <t>1410/05/25</t>
        </is>
      </c>
    </row>
    <row r="4534">
      <c r="A4534" t="n">
        <v>14100526</v>
      </c>
      <c r="B4534" t="n">
        <v>48077</v>
      </c>
      <c r="C4534" t="inlineStr">
        <is>
          <t>1410/05/26</t>
        </is>
      </c>
    </row>
    <row r="4535">
      <c r="A4535" t="n">
        <v>14100527</v>
      </c>
      <c r="B4535" t="n">
        <v>48078</v>
      </c>
      <c r="C4535" t="inlineStr">
        <is>
          <t>1410/05/27</t>
        </is>
      </c>
    </row>
    <row r="4536">
      <c r="A4536" t="n">
        <v>14100528</v>
      </c>
      <c r="B4536" t="n">
        <v>48079</v>
      </c>
      <c r="C4536" t="inlineStr">
        <is>
          <t>1410/05/28</t>
        </is>
      </c>
    </row>
    <row r="4537">
      <c r="A4537" t="n">
        <v>14100529</v>
      </c>
      <c r="B4537" t="n">
        <v>48080</v>
      </c>
      <c r="C4537" t="inlineStr">
        <is>
          <t>1410/05/29</t>
        </is>
      </c>
    </row>
    <row r="4538">
      <c r="A4538" t="n">
        <v>14100530</v>
      </c>
      <c r="B4538" t="n">
        <v>48081</v>
      </c>
      <c r="C4538" t="inlineStr">
        <is>
          <t>1410/05/30</t>
        </is>
      </c>
    </row>
    <row r="4539">
      <c r="A4539" t="n">
        <v>14100531</v>
      </c>
      <c r="B4539" t="n">
        <v>48082</v>
      </c>
      <c r="C4539" t="inlineStr">
        <is>
          <t>1410/05/31</t>
        </is>
      </c>
    </row>
    <row r="4540">
      <c r="A4540" t="n">
        <v>14100601</v>
      </c>
      <c r="B4540" t="n">
        <v>48083</v>
      </c>
      <c r="C4540" t="inlineStr">
        <is>
          <t>1410/06/01</t>
        </is>
      </c>
    </row>
    <row r="4541">
      <c r="A4541" t="n">
        <v>14100602</v>
      </c>
      <c r="B4541" t="n">
        <v>48084</v>
      </c>
      <c r="C4541" t="inlineStr">
        <is>
          <t>1410/06/02</t>
        </is>
      </c>
    </row>
    <row r="4542">
      <c r="A4542" t="n">
        <v>14100603</v>
      </c>
      <c r="B4542" t="n">
        <v>48085</v>
      </c>
      <c r="C4542" t="inlineStr">
        <is>
          <t>1410/06/03</t>
        </is>
      </c>
    </row>
    <row r="4543">
      <c r="A4543" t="n">
        <v>14100604</v>
      </c>
      <c r="B4543" t="n">
        <v>48086</v>
      </c>
      <c r="C4543" t="inlineStr">
        <is>
          <t>1410/06/04</t>
        </is>
      </c>
    </row>
    <row r="4544">
      <c r="A4544" t="n">
        <v>14100605</v>
      </c>
      <c r="B4544" t="n">
        <v>48087</v>
      </c>
      <c r="C4544" t="inlineStr">
        <is>
          <t>1410/06/05</t>
        </is>
      </c>
    </row>
    <row r="4545">
      <c r="A4545" t="n">
        <v>14100606</v>
      </c>
      <c r="B4545" t="n">
        <v>48088</v>
      </c>
      <c r="C4545" t="inlineStr">
        <is>
          <t>1410/06/06</t>
        </is>
      </c>
    </row>
    <row r="4546">
      <c r="A4546" t="n">
        <v>14100607</v>
      </c>
      <c r="B4546" t="n">
        <v>48089</v>
      </c>
      <c r="C4546" t="inlineStr">
        <is>
          <t>1410/06/07</t>
        </is>
      </c>
    </row>
    <row r="4547">
      <c r="A4547" t="n">
        <v>14100608</v>
      </c>
      <c r="B4547" t="n">
        <v>48090</v>
      </c>
      <c r="C4547" t="inlineStr">
        <is>
          <t>1410/06/08</t>
        </is>
      </c>
    </row>
    <row r="4548">
      <c r="A4548" t="n">
        <v>14100609</v>
      </c>
      <c r="B4548" t="n">
        <v>48091</v>
      </c>
      <c r="C4548" t="inlineStr">
        <is>
          <t>1410/06/09</t>
        </is>
      </c>
    </row>
    <row r="4549">
      <c r="A4549" t="n">
        <v>14100610</v>
      </c>
      <c r="B4549" t="n">
        <v>48092</v>
      </c>
      <c r="C4549" t="inlineStr">
        <is>
          <t>1410/06/10</t>
        </is>
      </c>
    </row>
    <row r="4550">
      <c r="A4550" t="n">
        <v>14100611</v>
      </c>
      <c r="B4550" t="n">
        <v>48093</v>
      </c>
      <c r="C4550" t="inlineStr">
        <is>
          <t>1410/06/11</t>
        </is>
      </c>
    </row>
    <row r="4551">
      <c r="A4551" t="n">
        <v>14100612</v>
      </c>
      <c r="B4551" t="n">
        <v>48094</v>
      </c>
      <c r="C4551" t="inlineStr">
        <is>
          <t>1410/06/12</t>
        </is>
      </c>
    </row>
    <row r="4552">
      <c r="A4552" t="n">
        <v>14100613</v>
      </c>
      <c r="B4552" t="n">
        <v>48095</v>
      </c>
      <c r="C4552" t="inlineStr">
        <is>
          <t>1410/06/13</t>
        </is>
      </c>
    </row>
    <row r="4553">
      <c r="A4553" t="n">
        <v>14100614</v>
      </c>
      <c r="B4553" t="n">
        <v>48096</v>
      </c>
      <c r="C4553" t="inlineStr">
        <is>
          <t>1410/06/14</t>
        </is>
      </c>
    </row>
    <row r="4554">
      <c r="A4554" t="n">
        <v>14100615</v>
      </c>
      <c r="B4554" t="n">
        <v>48097</v>
      </c>
      <c r="C4554" t="inlineStr">
        <is>
          <t>1410/06/15</t>
        </is>
      </c>
    </row>
    <row r="4555">
      <c r="A4555" t="n">
        <v>14100616</v>
      </c>
      <c r="B4555" t="n">
        <v>48098</v>
      </c>
      <c r="C4555" t="inlineStr">
        <is>
          <t>1410/06/16</t>
        </is>
      </c>
    </row>
    <row r="4556">
      <c r="A4556" t="n">
        <v>14100617</v>
      </c>
      <c r="B4556" t="n">
        <v>48099</v>
      </c>
      <c r="C4556" t="inlineStr">
        <is>
          <t>1410/06/17</t>
        </is>
      </c>
    </row>
    <row r="4557">
      <c r="A4557" t="n">
        <v>14100618</v>
      </c>
      <c r="B4557" t="n">
        <v>48100</v>
      </c>
      <c r="C4557" t="inlineStr">
        <is>
          <t>1410/06/18</t>
        </is>
      </c>
    </row>
    <row r="4558">
      <c r="A4558" t="n">
        <v>14100619</v>
      </c>
      <c r="B4558" t="n">
        <v>48101</v>
      </c>
      <c r="C4558" t="inlineStr">
        <is>
          <t>1410/06/19</t>
        </is>
      </c>
    </row>
    <row r="4559">
      <c r="A4559" t="n">
        <v>14100620</v>
      </c>
      <c r="B4559" t="n">
        <v>48102</v>
      </c>
      <c r="C4559" t="inlineStr">
        <is>
          <t>1410/06/20</t>
        </is>
      </c>
    </row>
    <row r="4560">
      <c r="A4560" t="n">
        <v>14100621</v>
      </c>
      <c r="B4560" t="n">
        <v>48103</v>
      </c>
      <c r="C4560" t="inlineStr">
        <is>
          <t>1410/06/21</t>
        </is>
      </c>
    </row>
    <row r="4561">
      <c r="A4561" t="n">
        <v>14100622</v>
      </c>
      <c r="B4561" t="n">
        <v>48104</v>
      </c>
      <c r="C4561" t="inlineStr">
        <is>
          <t>1410/06/22</t>
        </is>
      </c>
    </row>
    <row r="4562">
      <c r="A4562" t="n">
        <v>14100623</v>
      </c>
      <c r="B4562" t="n">
        <v>48105</v>
      </c>
      <c r="C4562" t="inlineStr">
        <is>
          <t>1410/06/23</t>
        </is>
      </c>
    </row>
    <row r="4563">
      <c r="A4563" t="n">
        <v>14100624</v>
      </c>
      <c r="B4563" t="n">
        <v>48106</v>
      </c>
      <c r="C4563" t="inlineStr">
        <is>
          <t>1410/06/24</t>
        </is>
      </c>
    </row>
    <row r="4564">
      <c r="A4564" t="n">
        <v>14100625</v>
      </c>
      <c r="B4564" t="n">
        <v>48107</v>
      </c>
      <c r="C4564" t="inlineStr">
        <is>
          <t>1410/06/25</t>
        </is>
      </c>
    </row>
    <row r="4565">
      <c r="A4565" t="n">
        <v>14100626</v>
      </c>
      <c r="B4565" t="n">
        <v>48108</v>
      </c>
      <c r="C4565" t="inlineStr">
        <is>
          <t>1410/06/26</t>
        </is>
      </c>
    </row>
    <row r="4566">
      <c r="A4566" t="n">
        <v>14100627</v>
      </c>
      <c r="B4566" t="n">
        <v>48109</v>
      </c>
      <c r="C4566" t="inlineStr">
        <is>
          <t>1410/06/27</t>
        </is>
      </c>
    </row>
    <row r="4567">
      <c r="A4567" t="n">
        <v>14100628</v>
      </c>
      <c r="B4567" t="n">
        <v>48110</v>
      </c>
      <c r="C4567" t="inlineStr">
        <is>
          <t>1410/06/28</t>
        </is>
      </c>
    </row>
    <row r="4568">
      <c r="A4568" t="n">
        <v>14100629</v>
      </c>
      <c r="B4568" t="n">
        <v>48111</v>
      </c>
      <c r="C4568" t="inlineStr">
        <is>
          <t>1410/06/29</t>
        </is>
      </c>
    </row>
    <row r="4569">
      <c r="A4569" t="n">
        <v>14100630</v>
      </c>
      <c r="B4569" t="n">
        <v>48112</v>
      </c>
      <c r="C4569" t="inlineStr">
        <is>
          <t>1410/06/30</t>
        </is>
      </c>
    </row>
    <row r="4570">
      <c r="A4570" t="n">
        <v>14100631</v>
      </c>
      <c r="B4570" t="n">
        <v>48113</v>
      </c>
      <c r="C4570" t="inlineStr">
        <is>
          <t>1410/06/31</t>
        </is>
      </c>
    </row>
    <row r="4571">
      <c r="A4571" t="n">
        <v>14100701</v>
      </c>
      <c r="B4571" t="n">
        <v>48114</v>
      </c>
      <c r="C4571" t="inlineStr">
        <is>
          <t>1410/07/01</t>
        </is>
      </c>
    </row>
    <row r="4572">
      <c r="A4572" t="n">
        <v>14100702</v>
      </c>
      <c r="B4572" t="n">
        <v>48115</v>
      </c>
      <c r="C4572" t="inlineStr">
        <is>
          <t>1410/07/02</t>
        </is>
      </c>
    </row>
    <row r="4573">
      <c r="A4573" t="n">
        <v>14100703</v>
      </c>
      <c r="B4573" t="n">
        <v>48116</v>
      </c>
      <c r="C4573" t="inlineStr">
        <is>
          <t>1410/07/03</t>
        </is>
      </c>
    </row>
    <row r="4574">
      <c r="A4574" t="n">
        <v>14100704</v>
      </c>
      <c r="B4574" t="n">
        <v>48117</v>
      </c>
      <c r="C4574" t="inlineStr">
        <is>
          <t>1410/07/04</t>
        </is>
      </c>
    </row>
    <row r="4575">
      <c r="A4575" t="n">
        <v>14100705</v>
      </c>
      <c r="B4575" t="n">
        <v>48118</v>
      </c>
      <c r="C4575" t="inlineStr">
        <is>
          <t>1410/07/05</t>
        </is>
      </c>
    </row>
    <row r="4576">
      <c r="A4576" t="n">
        <v>14100706</v>
      </c>
      <c r="B4576" t="n">
        <v>48119</v>
      </c>
      <c r="C4576" t="inlineStr">
        <is>
          <t>1410/07/06</t>
        </is>
      </c>
    </row>
    <row r="4577">
      <c r="A4577" t="n">
        <v>14100707</v>
      </c>
      <c r="B4577" t="n">
        <v>48120</v>
      </c>
      <c r="C4577" t="inlineStr">
        <is>
          <t>1410/07/07</t>
        </is>
      </c>
    </row>
    <row r="4578">
      <c r="A4578" t="n">
        <v>14100708</v>
      </c>
      <c r="B4578" t="n">
        <v>48121</v>
      </c>
      <c r="C4578" t="inlineStr">
        <is>
          <t>1410/07/08</t>
        </is>
      </c>
    </row>
    <row r="4579">
      <c r="A4579" t="n">
        <v>14100709</v>
      </c>
      <c r="B4579" t="n">
        <v>48122</v>
      </c>
      <c r="C4579" t="inlineStr">
        <is>
          <t>1410/07/09</t>
        </is>
      </c>
    </row>
    <row r="4580">
      <c r="A4580" t="n">
        <v>14100710</v>
      </c>
      <c r="B4580" t="n">
        <v>48123</v>
      </c>
      <c r="C4580" t="inlineStr">
        <is>
          <t>1410/07/10</t>
        </is>
      </c>
    </row>
    <row r="4581">
      <c r="A4581" t="n">
        <v>14100711</v>
      </c>
      <c r="B4581" t="n">
        <v>48124</v>
      </c>
      <c r="C4581" t="inlineStr">
        <is>
          <t>1410/07/11</t>
        </is>
      </c>
    </row>
    <row r="4582">
      <c r="A4582" t="n">
        <v>14100712</v>
      </c>
      <c r="B4582" t="n">
        <v>48125</v>
      </c>
      <c r="C4582" t="inlineStr">
        <is>
          <t>1410/07/12</t>
        </is>
      </c>
    </row>
    <row r="4583">
      <c r="A4583" t="n">
        <v>14100713</v>
      </c>
      <c r="B4583" t="n">
        <v>48126</v>
      </c>
      <c r="C4583" t="inlineStr">
        <is>
          <t>1410/07/13</t>
        </is>
      </c>
    </row>
    <row r="4584">
      <c r="A4584" t="n">
        <v>14100714</v>
      </c>
      <c r="B4584" t="n">
        <v>48127</v>
      </c>
      <c r="C4584" t="inlineStr">
        <is>
          <t>1410/07/14</t>
        </is>
      </c>
    </row>
    <row r="4585">
      <c r="A4585" t="n">
        <v>14100715</v>
      </c>
      <c r="B4585" t="n">
        <v>48128</v>
      </c>
      <c r="C4585" t="inlineStr">
        <is>
          <t>1410/07/15</t>
        </is>
      </c>
    </row>
    <row r="4586">
      <c r="A4586" t="n">
        <v>14100716</v>
      </c>
      <c r="B4586" t="n">
        <v>48129</v>
      </c>
      <c r="C4586" t="inlineStr">
        <is>
          <t>1410/07/16</t>
        </is>
      </c>
    </row>
    <row r="4587">
      <c r="A4587" t="n">
        <v>14100717</v>
      </c>
      <c r="B4587" t="n">
        <v>48130</v>
      </c>
      <c r="C4587" t="inlineStr">
        <is>
          <t>1410/07/17</t>
        </is>
      </c>
    </row>
    <row r="4588">
      <c r="A4588" t="n">
        <v>14100718</v>
      </c>
      <c r="B4588" t="n">
        <v>48131</v>
      </c>
      <c r="C4588" t="inlineStr">
        <is>
          <t>1410/07/18</t>
        </is>
      </c>
    </row>
    <row r="4589">
      <c r="A4589" t="n">
        <v>14100719</v>
      </c>
      <c r="B4589" t="n">
        <v>48132</v>
      </c>
      <c r="C4589" t="inlineStr">
        <is>
          <t>1410/07/19</t>
        </is>
      </c>
    </row>
    <row r="4590">
      <c r="A4590" t="n">
        <v>14100720</v>
      </c>
      <c r="B4590" t="n">
        <v>48133</v>
      </c>
      <c r="C4590" t="inlineStr">
        <is>
          <t>1410/07/20</t>
        </is>
      </c>
    </row>
    <row r="4591">
      <c r="A4591" t="n">
        <v>14100721</v>
      </c>
      <c r="B4591" t="n">
        <v>48134</v>
      </c>
      <c r="C4591" t="inlineStr">
        <is>
          <t>1410/07/21</t>
        </is>
      </c>
    </row>
    <row r="4592">
      <c r="A4592" t="n">
        <v>14100722</v>
      </c>
      <c r="B4592" t="n">
        <v>48135</v>
      </c>
      <c r="C4592" t="inlineStr">
        <is>
          <t>1410/07/22</t>
        </is>
      </c>
    </row>
    <row r="4593">
      <c r="A4593" t="n">
        <v>14100723</v>
      </c>
      <c r="B4593" t="n">
        <v>48136</v>
      </c>
      <c r="C4593" t="inlineStr">
        <is>
          <t>1410/07/23</t>
        </is>
      </c>
    </row>
    <row r="4594">
      <c r="A4594" t="n">
        <v>14100724</v>
      </c>
      <c r="B4594" t="n">
        <v>48137</v>
      </c>
      <c r="C4594" t="inlineStr">
        <is>
          <t>1410/07/24</t>
        </is>
      </c>
    </row>
    <row r="4595">
      <c r="A4595" t="n">
        <v>14100725</v>
      </c>
      <c r="B4595" t="n">
        <v>48138</v>
      </c>
      <c r="C4595" t="inlineStr">
        <is>
          <t>1410/07/25</t>
        </is>
      </c>
    </row>
    <row r="4596">
      <c r="A4596" t="n">
        <v>14100726</v>
      </c>
      <c r="B4596" t="n">
        <v>48139</v>
      </c>
      <c r="C4596" t="inlineStr">
        <is>
          <t>1410/07/26</t>
        </is>
      </c>
    </row>
    <row r="4597">
      <c r="A4597" t="n">
        <v>14100727</v>
      </c>
      <c r="B4597" t="n">
        <v>48140</v>
      </c>
      <c r="C4597" t="inlineStr">
        <is>
          <t>1410/07/27</t>
        </is>
      </c>
    </row>
    <row r="4598">
      <c r="A4598" t="n">
        <v>14100728</v>
      </c>
      <c r="B4598" t="n">
        <v>48141</v>
      </c>
      <c r="C4598" t="inlineStr">
        <is>
          <t>1410/07/28</t>
        </is>
      </c>
    </row>
    <row r="4599">
      <c r="A4599" t="n">
        <v>14100729</v>
      </c>
      <c r="B4599" t="n">
        <v>48142</v>
      </c>
      <c r="C4599" t="inlineStr">
        <is>
          <t>1410/07/29</t>
        </is>
      </c>
    </row>
    <row r="4600">
      <c r="A4600" t="n">
        <v>14100730</v>
      </c>
      <c r="B4600" t="n">
        <v>48143</v>
      </c>
      <c r="C4600" t="inlineStr">
        <is>
          <t>1410/07/30</t>
        </is>
      </c>
    </row>
    <row r="4601">
      <c r="A4601" t="n">
        <v>14100801</v>
      </c>
      <c r="B4601" t="n">
        <v>48144</v>
      </c>
      <c r="C4601" t="inlineStr">
        <is>
          <t>1410/08/01</t>
        </is>
      </c>
    </row>
    <row r="4602">
      <c r="A4602" t="n">
        <v>14100802</v>
      </c>
      <c r="B4602" t="n">
        <v>48145</v>
      </c>
      <c r="C4602" t="inlineStr">
        <is>
          <t>1410/08/02</t>
        </is>
      </c>
    </row>
    <row r="4603">
      <c r="A4603" t="n">
        <v>14100803</v>
      </c>
      <c r="B4603" t="n">
        <v>48146</v>
      </c>
      <c r="C4603" t="inlineStr">
        <is>
          <t>1410/08/03</t>
        </is>
      </c>
    </row>
    <row r="4604">
      <c r="A4604" t="n">
        <v>14100804</v>
      </c>
      <c r="B4604" t="n">
        <v>48147</v>
      </c>
      <c r="C4604" t="inlineStr">
        <is>
          <t>1410/08/04</t>
        </is>
      </c>
    </row>
    <row r="4605">
      <c r="A4605" t="n">
        <v>14100805</v>
      </c>
      <c r="B4605" t="n">
        <v>48148</v>
      </c>
      <c r="C4605" t="inlineStr">
        <is>
          <t>1410/08/05</t>
        </is>
      </c>
    </row>
    <row r="4606">
      <c r="A4606" t="n">
        <v>14100806</v>
      </c>
      <c r="B4606" t="n">
        <v>48149</v>
      </c>
      <c r="C4606" t="inlineStr">
        <is>
          <t>1410/08/06</t>
        </is>
      </c>
    </row>
    <row r="4607">
      <c r="A4607" t="n">
        <v>14100807</v>
      </c>
      <c r="B4607" t="n">
        <v>48150</v>
      </c>
      <c r="C4607" t="inlineStr">
        <is>
          <t>1410/08/07</t>
        </is>
      </c>
    </row>
    <row r="4608">
      <c r="A4608" t="n">
        <v>14100808</v>
      </c>
      <c r="B4608" t="n">
        <v>48151</v>
      </c>
      <c r="C4608" t="inlineStr">
        <is>
          <t>1410/08/08</t>
        </is>
      </c>
    </row>
    <row r="4609">
      <c r="A4609" t="n">
        <v>14100809</v>
      </c>
      <c r="B4609" t="n">
        <v>48152</v>
      </c>
      <c r="C4609" t="inlineStr">
        <is>
          <t>1410/08/09</t>
        </is>
      </c>
    </row>
    <row r="4610">
      <c r="A4610" t="n">
        <v>14100810</v>
      </c>
      <c r="B4610" t="n">
        <v>48153</v>
      </c>
      <c r="C4610" t="inlineStr">
        <is>
          <t>1410/08/10</t>
        </is>
      </c>
    </row>
    <row r="4611">
      <c r="A4611" t="n">
        <v>14100811</v>
      </c>
      <c r="B4611" t="n">
        <v>48154</v>
      </c>
      <c r="C4611" t="inlineStr">
        <is>
          <t>1410/08/11</t>
        </is>
      </c>
    </row>
    <row r="4612">
      <c r="A4612" t="n">
        <v>14100812</v>
      </c>
      <c r="B4612" t="n">
        <v>48155</v>
      </c>
      <c r="C4612" t="inlineStr">
        <is>
          <t>1410/08/12</t>
        </is>
      </c>
    </row>
    <row r="4613">
      <c r="A4613" t="n">
        <v>14100813</v>
      </c>
      <c r="B4613" t="n">
        <v>48156</v>
      </c>
      <c r="C4613" t="inlineStr">
        <is>
          <t>1410/08/13</t>
        </is>
      </c>
    </row>
    <row r="4614">
      <c r="A4614" t="n">
        <v>14100814</v>
      </c>
      <c r="B4614" t="n">
        <v>48157</v>
      </c>
      <c r="C4614" t="inlineStr">
        <is>
          <t>1410/08/14</t>
        </is>
      </c>
    </row>
    <row r="4615">
      <c r="A4615" t="n">
        <v>14100815</v>
      </c>
      <c r="B4615" t="n">
        <v>48158</v>
      </c>
      <c r="C4615" t="inlineStr">
        <is>
          <t>1410/08/15</t>
        </is>
      </c>
    </row>
    <row r="4616">
      <c r="A4616" t="n">
        <v>14100816</v>
      </c>
      <c r="B4616" t="n">
        <v>48159</v>
      </c>
      <c r="C4616" t="inlineStr">
        <is>
          <t>1410/08/16</t>
        </is>
      </c>
    </row>
    <row r="4617">
      <c r="A4617" t="n">
        <v>14100817</v>
      </c>
      <c r="B4617" t="n">
        <v>48160</v>
      </c>
      <c r="C4617" t="inlineStr">
        <is>
          <t>1410/08/17</t>
        </is>
      </c>
    </row>
    <row r="4618">
      <c r="A4618" t="n">
        <v>14100818</v>
      </c>
      <c r="B4618" t="n">
        <v>48161</v>
      </c>
      <c r="C4618" t="inlineStr">
        <is>
          <t>1410/08/18</t>
        </is>
      </c>
    </row>
    <row r="4619">
      <c r="A4619" t="n">
        <v>14100819</v>
      </c>
      <c r="B4619" t="n">
        <v>48162</v>
      </c>
      <c r="C4619" t="inlineStr">
        <is>
          <t>1410/08/19</t>
        </is>
      </c>
    </row>
    <row r="4620">
      <c r="A4620" t="n">
        <v>14100820</v>
      </c>
      <c r="B4620" t="n">
        <v>48163</v>
      </c>
      <c r="C4620" t="inlineStr">
        <is>
          <t>1410/08/20</t>
        </is>
      </c>
    </row>
    <row r="4621">
      <c r="A4621" t="n">
        <v>14100821</v>
      </c>
      <c r="B4621" t="n">
        <v>48164</v>
      </c>
      <c r="C4621" t="inlineStr">
        <is>
          <t>1410/08/21</t>
        </is>
      </c>
    </row>
    <row r="4622">
      <c r="A4622" t="n">
        <v>14100822</v>
      </c>
      <c r="B4622" t="n">
        <v>48165</v>
      </c>
      <c r="C4622" t="inlineStr">
        <is>
          <t>1410/08/22</t>
        </is>
      </c>
    </row>
    <row r="4623">
      <c r="A4623" t="n">
        <v>14100823</v>
      </c>
      <c r="B4623" t="n">
        <v>48166</v>
      </c>
      <c r="C4623" t="inlineStr">
        <is>
          <t>1410/08/23</t>
        </is>
      </c>
    </row>
    <row r="4624">
      <c r="A4624" t="n">
        <v>14100824</v>
      </c>
      <c r="B4624" t="n">
        <v>48167</v>
      </c>
      <c r="C4624" t="inlineStr">
        <is>
          <t>1410/08/24</t>
        </is>
      </c>
    </row>
    <row r="4625">
      <c r="A4625" t="n">
        <v>14100825</v>
      </c>
      <c r="B4625" t="n">
        <v>48168</v>
      </c>
      <c r="C4625" t="inlineStr">
        <is>
          <t>1410/08/25</t>
        </is>
      </c>
    </row>
    <row r="4626">
      <c r="A4626" t="n">
        <v>14100826</v>
      </c>
      <c r="B4626" t="n">
        <v>48169</v>
      </c>
      <c r="C4626" t="inlineStr">
        <is>
          <t>1410/08/26</t>
        </is>
      </c>
    </row>
    <row r="4627">
      <c r="A4627" t="n">
        <v>14100827</v>
      </c>
      <c r="B4627" t="n">
        <v>48170</v>
      </c>
      <c r="C4627" t="inlineStr">
        <is>
          <t>1410/08/27</t>
        </is>
      </c>
    </row>
    <row r="4628">
      <c r="A4628" t="n">
        <v>14100828</v>
      </c>
      <c r="B4628" t="n">
        <v>48171</v>
      </c>
      <c r="C4628" t="inlineStr">
        <is>
          <t>1410/08/28</t>
        </is>
      </c>
    </row>
    <row r="4629">
      <c r="A4629" t="n">
        <v>14100829</v>
      </c>
      <c r="B4629" t="n">
        <v>48172</v>
      </c>
      <c r="C4629" t="inlineStr">
        <is>
          <t>1410/08/29</t>
        </is>
      </c>
    </row>
    <row r="4630">
      <c r="A4630" t="n">
        <v>14100830</v>
      </c>
      <c r="B4630" t="n">
        <v>48173</v>
      </c>
      <c r="C4630" t="inlineStr">
        <is>
          <t>1410/08/30</t>
        </is>
      </c>
    </row>
    <row r="4631">
      <c r="A4631" t="n">
        <v>14100901</v>
      </c>
      <c r="B4631" t="n">
        <v>48174</v>
      </c>
      <c r="C4631" t="inlineStr">
        <is>
          <t>1410/09/01</t>
        </is>
      </c>
    </row>
    <row r="4632">
      <c r="A4632" t="n">
        <v>14100902</v>
      </c>
      <c r="B4632" t="n">
        <v>48175</v>
      </c>
      <c r="C4632" t="inlineStr">
        <is>
          <t>1410/09/02</t>
        </is>
      </c>
    </row>
    <row r="4633">
      <c r="A4633" t="n">
        <v>14100903</v>
      </c>
      <c r="B4633" t="n">
        <v>48176</v>
      </c>
      <c r="C4633" t="inlineStr">
        <is>
          <t>1410/09/03</t>
        </is>
      </c>
    </row>
    <row r="4634">
      <c r="A4634" t="n">
        <v>14100904</v>
      </c>
      <c r="B4634" t="n">
        <v>48177</v>
      </c>
      <c r="C4634" t="inlineStr">
        <is>
          <t>1410/09/04</t>
        </is>
      </c>
    </row>
    <row r="4635">
      <c r="A4635" t="n">
        <v>14100905</v>
      </c>
      <c r="B4635" t="n">
        <v>48178</v>
      </c>
      <c r="C4635" t="inlineStr">
        <is>
          <t>1410/09/05</t>
        </is>
      </c>
    </row>
    <row r="4636">
      <c r="A4636" t="n">
        <v>14100906</v>
      </c>
      <c r="B4636" t="n">
        <v>48179</v>
      </c>
      <c r="C4636" t="inlineStr">
        <is>
          <t>1410/09/06</t>
        </is>
      </c>
    </row>
    <row r="4637">
      <c r="A4637" t="n">
        <v>14100907</v>
      </c>
      <c r="B4637" t="n">
        <v>48180</v>
      </c>
      <c r="C4637" t="inlineStr">
        <is>
          <t>1410/09/07</t>
        </is>
      </c>
    </row>
    <row r="4638">
      <c r="A4638" t="n">
        <v>14100908</v>
      </c>
      <c r="B4638" t="n">
        <v>48181</v>
      </c>
      <c r="C4638" t="inlineStr">
        <is>
          <t>1410/09/08</t>
        </is>
      </c>
    </row>
    <row r="4639">
      <c r="A4639" t="n">
        <v>14100909</v>
      </c>
      <c r="B4639" t="n">
        <v>48182</v>
      </c>
      <c r="C4639" t="inlineStr">
        <is>
          <t>1410/09/09</t>
        </is>
      </c>
    </row>
    <row r="4640">
      <c r="A4640" t="n">
        <v>14100910</v>
      </c>
      <c r="B4640" t="n">
        <v>48183</v>
      </c>
      <c r="C4640" t="inlineStr">
        <is>
          <t>1410/09/10</t>
        </is>
      </c>
    </row>
    <row r="4641">
      <c r="A4641" t="n">
        <v>14100911</v>
      </c>
      <c r="B4641" t="n">
        <v>48184</v>
      </c>
      <c r="C4641" t="inlineStr">
        <is>
          <t>1410/09/11</t>
        </is>
      </c>
    </row>
    <row r="4642">
      <c r="A4642" t="n">
        <v>14100912</v>
      </c>
      <c r="B4642" t="n">
        <v>48185</v>
      </c>
      <c r="C4642" t="inlineStr">
        <is>
          <t>1410/09/12</t>
        </is>
      </c>
    </row>
    <row r="4643">
      <c r="A4643" t="n">
        <v>14100913</v>
      </c>
      <c r="B4643" t="n">
        <v>48186</v>
      </c>
      <c r="C4643" t="inlineStr">
        <is>
          <t>1410/09/13</t>
        </is>
      </c>
    </row>
    <row r="4644">
      <c r="A4644" t="n">
        <v>14100914</v>
      </c>
      <c r="B4644" t="n">
        <v>48187</v>
      </c>
      <c r="C4644" t="inlineStr">
        <is>
          <t>1410/09/14</t>
        </is>
      </c>
    </row>
    <row r="4645">
      <c r="A4645" t="n">
        <v>14100915</v>
      </c>
      <c r="B4645" t="n">
        <v>48188</v>
      </c>
      <c r="C4645" t="inlineStr">
        <is>
          <t>1410/09/15</t>
        </is>
      </c>
    </row>
    <row r="4646">
      <c r="A4646" t="n">
        <v>14100916</v>
      </c>
      <c r="B4646" t="n">
        <v>48189</v>
      </c>
      <c r="C4646" t="inlineStr">
        <is>
          <t>1410/09/16</t>
        </is>
      </c>
    </row>
    <row r="4647">
      <c r="A4647" t="n">
        <v>14100917</v>
      </c>
      <c r="B4647" t="n">
        <v>48190</v>
      </c>
      <c r="C4647" t="inlineStr">
        <is>
          <t>1410/09/17</t>
        </is>
      </c>
    </row>
    <row r="4648">
      <c r="A4648" t="n">
        <v>14100918</v>
      </c>
      <c r="B4648" t="n">
        <v>48191</v>
      </c>
      <c r="C4648" t="inlineStr">
        <is>
          <t>1410/09/18</t>
        </is>
      </c>
    </row>
    <row r="4649">
      <c r="A4649" t="n">
        <v>14100919</v>
      </c>
      <c r="B4649" t="n">
        <v>48192</v>
      </c>
      <c r="C4649" t="inlineStr">
        <is>
          <t>1410/09/19</t>
        </is>
      </c>
    </row>
    <row r="4650">
      <c r="A4650" t="n">
        <v>14100920</v>
      </c>
      <c r="B4650" t="n">
        <v>48193</v>
      </c>
      <c r="C4650" t="inlineStr">
        <is>
          <t>1410/09/20</t>
        </is>
      </c>
    </row>
    <row r="4651">
      <c r="A4651" t="n">
        <v>14100921</v>
      </c>
      <c r="B4651" t="n">
        <v>48194</v>
      </c>
      <c r="C4651" t="inlineStr">
        <is>
          <t>1410/09/21</t>
        </is>
      </c>
    </row>
    <row r="4652">
      <c r="A4652" t="n">
        <v>14100922</v>
      </c>
      <c r="B4652" t="n">
        <v>48195</v>
      </c>
      <c r="C4652" t="inlineStr">
        <is>
          <t>1410/09/22</t>
        </is>
      </c>
    </row>
    <row r="4653">
      <c r="A4653" t="n">
        <v>14100923</v>
      </c>
      <c r="B4653" t="n">
        <v>48196</v>
      </c>
      <c r="C4653" t="inlineStr">
        <is>
          <t>1410/09/23</t>
        </is>
      </c>
    </row>
    <row r="4654">
      <c r="A4654" t="n">
        <v>14100924</v>
      </c>
      <c r="B4654" t="n">
        <v>48197</v>
      </c>
      <c r="C4654" t="inlineStr">
        <is>
          <t>1410/09/24</t>
        </is>
      </c>
    </row>
    <row r="4655">
      <c r="A4655" t="n">
        <v>14100925</v>
      </c>
      <c r="B4655" t="n">
        <v>48198</v>
      </c>
      <c r="C4655" t="inlineStr">
        <is>
          <t>1410/09/25</t>
        </is>
      </c>
    </row>
    <row r="4656">
      <c r="A4656" t="n">
        <v>14100926</v>
      </c>
      <c r="B4656" t="n">
        <v>48199</v>
      </c>
      <c r="C4656" t="inlineStr">
        <is>
          <t>1410/09/26</t>
        </is>
      </c>
    </row>
    <row r="4657">
      <c r="A4657" t="n">
        <v>14100927</v>
      </c>
      <c r="B4657" t="n">
        <v>48200</v>
      </c>
      <c r="C4657" t="inlineStr">
        <is>
          <t>1410/09/27</t>
        </is>
      </c>
    </row>
    <row r="4658">
      <c r="A4658" t="n">
        <v>14100928</v>
      </c>
      <c r="B4658" t="n">
        <v>48201</v>
      </c>
      <c r="C4658" t="inlineStr">
        <is>
          <t>1410/09/28</t>
        </is>
      </c>
    </row>
    <row r="4659">
      <c r="A4659" t="n">
        <v>14100929</v>
      </c>
      <c r="B4659" t="n">
        <v>48202</v>
      </c>
      <c r="C4659" t="inlineStr">
        <is>
          <t>1410/09/29</t>
        </is>
      </c>
    </row>
    <row r="4660">
      <c r="A4660" t="n">
        <v>14100930</v>
      </c>
      <c r="B4660" t="n">
        <v>48203</v>
      </c>
      <c r="C4660" t="inlineStr">
        <is>
          <t>1410/09/30</t>
        </is>
      </c>
    </row>
    <row r="4661">
      <c r="A4661" t="n">
        <v>14101001</v>
      </c>
      <c r="B4661" t="n">
        <v>48204</v>
      </c>
      <c r="C4661" t="inlineStr">
        <is>
          <t>1410/10/01</t>
        </is>
      </c>
    </row>
    <row r="4662">
      <c r="A4662" t="n">
        <v>14101002</v>
      </c>
      <c r="B4662" t="n">
        <v>48205</v>
      </c>
      <c r="C4662" t="inlineStr">
        <is>
          <t>1410/10/02</t>
        </is>
      </c>
    </row>
    <row r="4663">
      <c r="A4663" t="n">
        <v>14101003</v>
      </c>
      <c r="B4663" t="n">
        <v>48206</v>
      </c>
      <c r="C4663" t="inlineStr">
        <is>
          <t>1410/10/03</t>
        </is>
      </c>
    </row>
    <row r="4664">
      <c r="A4664" t="n">
        <v>14101004</v>
      </c>
      <c r="B4664" t="n">
        <v>48207</v>
      </c>
      <c r="C4664" t="inlineStr">
        <is>
          <t>1410/10/04</t>
        </is>
      </c>
    </row>
    <row r="4665">
      <c r="A4665" t="n">
        <v>14101005</v>
      </c>
      <c r="B4665" t="n">
        <v>48208</v>
      </c>
      <c r="C4665" t="inlineStr">
        <is>
          <t>1410/10/05</t>
        </is>
      </c>
    </row>
    <row r="4666">
      <c r="A4666" t="n">
        <v>14101006</v>
      </c>
      <c r="B4666" t="n">
        <v>48209</v>
      </c>
      <c r="C4666" t="inlineStr">
        <is>
          <t>1410/10/06</t>
        </is>
      </c>
    </row>
    <row r="4667">
      <c r="A4667" t="n">
        <v>14101007</v>
      </c>
      <c r="B4667" t="n">
        <v>48210</v>
      </c>
      <c r="C4667" t="inlineStr">
        <is>
          <t>1410/10/07</t>
        </is>
      </c>
    </row>
    <row r="4668">
      <c r="A4668" t="n">
        <v>14101008</v>
      </c>
      <c r="B4668" t="n">
        <v>48211</v>
      </c>
      <c r="C4668" t="inlineStr">
        <is>
          <t>1410/10/08</t>
        </is>
      </c>
    </row>
    <row r="4669">
      <c r="A4669" t="n">
        <v>14101009</v>
      </c>
      <c r="B4669" t="n">
        <v>48212</v>
      </c>
      <c r="C4669" t="inlineStr">
        <is>
          <t>1410/10/09</t>
        </is>
      </c>
    </row>
    <row r="4670">
      <c r="A4670" t="n">
        <v>14101010</v>
      </c>
      <c r="B4670" t="n">
        <v>48213</v>
      </c>
      <c r="C4670" t="inlineStr">
        <is>
          <t>1410/10/10</t>
        </is>
      </c>
    </row>
    <row r="4671">
      <c r="A4671" t="n">
        <v>14101011</v>
      </c>
      <c r="B4671" t="n">
        <v>48214</v>
      </c>
      <c r="C4671" t="inlineStr">
        <is>
          <t>1410/10/11</t>
        </is>
      </c>
    </row>
    <row r="4672">
      <c r="A4672" t="n">
        <v>14101012</v>
      </c>
      <c r="B4672" t="n">
        <v>48215</v>
      </c>
      <c r="C4672" t="inlineStr">
        <is>
          <t>1410/10/12</t>
        </is>
      </c>
    </row>
    <row r="4673">
      <c r="A4673" t="n">
        <v>14101013</v>
      </c>
      <c r="B4673" t="n">
        <v>48216</v>
      </c>
      <c r="C4673" t="inlineStr">
        <is>
          <t>1410/10/13</t>
        </is>
      </c>
    </row>
    <row r="4674">
      <c r="A4674" t="n">
        <v>14101014</v>
      </c>
      <c r="B4674" t="n">
        <v>48217</v>
      </c>
      <c r="C4674" t="inlineStr">
        <is>
          <t>1410/10/14</t>
        </is>
      </c>
    </row>
    <row r="4675">
      <c r="A4675" t="n">
        <v>14101015</v>
      </c>
      <c r="B4675" t="n">
        <v>48218</v>
      </c>
      <c r="C4675" t="inlineStr">
        <is>
          <t>1410/10/15</t>
        </is>
      </c>
    </row>
    <row r="4676">
      <c r="A4676" t="n">
        <v>14101016</v>
      </c>
      <c r="B4676" t="n">
        <v>48219</v>
      </c>
      <c r="C4676" t="inlineStr">
        <is>
          <t>1410/10/16</t>
        </is>
      </c>
    </row>
    <row r="4677">
      <c r="A4677" t="n">
        <v>14101017</v>
      </c>
      <c r="B4677" t="n">
        <v>48220</v>
      </c>
      <c r="C4677" t="inlineStr">
        <is>
          <t>1410/10/17</t>
        </is>
      </c>
    </row>
    <row r="4678">
      <c r="A4678" t="n">
        <v>14101018</v>
      </c>
      <c r="B4678" t="n">
        <v>48221</v>
      </c>
      <c r="C4678" t="inlineStr">
        <is>
          <t>1410/10/18</t>
        </is>
      </c>
    </row>
    <row r="4679">
      <c r="A4679" t="n">
        <v>14101019</v>
      </c>
      <c r="B4679" t="n">
        <v>48222</v>
      </c>
      <c r="C4679" t="inlineStr">
        <is>
          <t>1410/10/19</t>
        </is>
      </c>
    </row>
    <row r="4680">
      <c r="A4680" t="n">
        <v>14101020</v>
      </c>
      <c r="B4680" t="n">
        <v>48223</v>
      </c>
      <c r="C4680" t="inlineStr">
        <is>
          <t>1410/10/20</t>
        </is>
      </c>
    </row>
    <row r="4681">
      <c r="A4681" t="n">
        <v>14101021</v>
      </c>
      <c r="B4681" t="n">
        <v>48224</v>
      </c>
      <c r="C4681" t="inlineStr">
        <is>
          <t>1410/10/21</t>
        </is>
      </c>
    </row>
    <row r="4682">
      <c r="A4682" t="n">
        <v>14101022</v>
      </c>
      <c r="B4682" t="n">
        <v>48225</v>
      </c>
      <c r="C4682" t="inlineStr">
        <is>
          <t>1410/10/22</t>
        </is>
      </c>
    </row>
    <row r="4683">
      <c r="A4683" t="n">
        <v>14101023</v>
      </c>
      <c r="B4683" t="n">
        <v>48226</v>
      </c>
      <c r="C4683" t="inlineStr">
        <is>
          <t>1410/10/23</t>
        </is>
      </c>
    </row>
    <row r="4684">
      <c r="A4684" t="n">
        <v>14101024</v>
      </c>
      <c r="B4684" t="n">
        <v>48227</v>
      </c>
      <c r="C4684" t="inlineStr">
        <is>
          <t>1410/10/24</t>
        </is>
      </c>
    </row>
    <row r="4685">
      <c r="A4685" t="n">
        <v>14101025</v>
      </c>
      <c r="B4685" t="n">
        <v>48228</v>
      </c>
      <c r="C4685" t="inlineStr">
        <is>
          <t>1410/10/25</t>
        </is>
      </c>
    </row>
    <row r="4686">
      <c r="A4686" t="n">
        <v>14101026</v>
      </c>
      <c r="B4686" t="n">
        <v>48229</v>
      </c>
      <c r="C4686" t="inlineStr">
        <is>
          <t>1410/10/26</t>
        </is>
      </c>
    </row>
    <row r="4687">
      <c r="A4687" t="n">
        <v>14101027</v>
      </c>
      <c r="B4687" t="n">
        <v>48230</v>
      </c>
      <c r="C4687" t="inlineStr">
        <is>
          <t>1410/10/27</t>
        </is>
      </c>
    </row>
    <row r="4688">
      <c r="A4688" t="n">
        <v>14101028</v>
      </c>
      <c r="B4688" t="n">
        <v>48231</v>
      </c>
      <c r="C4688" t="inlineStr">
        <is>
          <t>1410/10/28</t>
        </is>
      </c>
    </row>
    <row r="4689">
      <c r="A4689" t="n">
        <v>14101029</v>
      </c>
      <c r="B4689" t="n">
        <v>48232</v>
      </c>
      <c r="C4689" t="inlineStr">
        <is>
          <t>1410/10/29</t>
        </is>
      </c>
    </row>
    <row r="4690">
      <c r="A4690" t="n">
        <v>14101030</v>
      </c>
      <c r="B4690" t="n">
        <v>48233</v>
      </c>
      <c r="C4690" t="inlineStr">
        <is>
          <t>1410/10/30</t>
        </is>
      </c>
    </row>
    <row r="4691">
      <c r="A4691" t="n">
        <v>14101101</v>
      </c>
      <c r="B4691" t="n">
        <v>48234</v>
      </c>
      <c r="C4691" t="inlineStr">
        <is>
          <t>1410/11/01</t>
        </is>
      </c>
    </row>
    <row r="4692">
      <c r="A4692" t="n">
        <v>14101102</v>
      </c>
      <c r="B4692" t="n">
        <v>48235</v>
      </c>
      <c r="C4692" t="inlineStr">
        <is>
          <t>1410/11/02</t>
        </is>
      </c>
    </row>
    <row r="4693">
      <c r="A4693" t="n">
        <v>14101103</v>
      </c>
      <c r="B4693" t="n">
        <v>48236</v>
      </c>
      <c r="C4693" t="inlineStr">
        <is>
          <t>1410/11/03</t>
        </is>
      </c>
    </row>
    <row r="4694">
      <c r="A4694" t="n">
        <v>14101104</v>
      </c>
      <c r="B4694" t="n">
        <v>48237</v>
      </c>
      <c r="C4694" t="inlineStr">
        <is>
          <t>1410/11/04</t>
        </is>
      </c>
    </row>
    <row r="4695">
      <c r="A4695" t="n">
        <v>14101105</v>
      </c>
      <c r="B4695" t="n">
        <v>48238</v>
      </c>
      <c r="C4695" t="inlineStr">
        <is>
          <t>1410/11/05</t>
        </is>
      </c>
    </row>
    <row r="4696">
      <c r="A4696" t="n">
        <v>14101106</v>
      </c>
      <c r="B4696" t="n">
        <v>48239</v>
      </c>
      <c r="C4696" t="inlineStr">
        <is>
          <t>1410/11/06</t>
        </is>
      </c>
    </row>
    <row r="4697">
      <c r="A4697" t="n">
        <v>14101107</v>
      </c>
      <c r="B4697" t="n">
        <v>48240</v>
      </c>
      <c r="C4697" t="inlineStr">
        <is>
          <t>1410/11/07</t>
        </is>
      </c>
    </row>
    <row r="4698">
      <c r="A4698" t="n">
        <v>14101108</v>
      </c>
      <c r="B4698" t="n">
        <v>48241</v>
      </c>
      <c r="C4698" t="inlineStr">
        <is>
          <t>1410/11/08</t>
        </is>
      </c>
    </row>
    <row r="4699">
      <c r="A4699" t="n">
        <v>14101109</v>
      </c>
      <c r="B4699" t="n">
        <v>48242</v>
      </c>
      <c r="C4699" t="inlineStr">
        <is>
          <t>1410/11/09</t>
        </is>
      </c>
    </row>
    <row r="4700">
      <c r="A4700" t="n">
        <v>14101110</v>
      </c>
      <c r="B4700" t="n">
        <v>48243</v>
      </c>
      <c r="C4700" t="inlineStr">
        <is>
          <t>1410/11/10</t>
        </is>
      </c>
    </row>
    <row r="4701">
      <c r="A4701" t="n">
        <v>14101111</v>
      </c>
      <c r="B4701" t="n">
        <v>48244</v>
      </c>
      <c r="C4701" t="inlineStr">
        <is>
          <t>1410/11/11</t>
        </is>
      </c>
    </row>
    <row r="4702">
      <c r="A4702" t="n">
        <v>14101112</v>
      </c>
      <c r="B4702" t="n">
        <v>48245</v>
      </c>
      <c r="C4702" t="inlineStr">
        <is>
          <t>1410/11/12</t>
        </is>
      </c>
    </row>
    <row r="4703">
      <c r="A4703" t="n">
        <v>14101113</v>
      </c>
      <c r="B4703" t="n">
        <v>48246</v>
      </c>
      <c r="C4703" t="inlineStr">
        <is>
          <t>1410/11/13</t>
        </is>
      </c>
    </row>
    <row r="4704">
      <c r="A4704" t="n">
        <v>14101114</v>
      </c>
      <c r="B4704" t="n">
        <v>48247</v>
      </c>
      <c r="C4704" t="inlineStr">
        <is>
          <t>1410/11/14</t>
        </is>
      </c>
    </row>
    <row r="4705">
      <c r="A4705" t="n">
        <v>14101115</v>
      </c>
      <c r="B4705" t="n">
        <v>48248</v>
      </c>
      <c r="C4705" t="inlineStr">
        <is>
          <t>1410/11/15</t>
        </is>
      </c>
    </row>
    <row r="4706">
      <c r="A4706" t="n">
        <v>14101116</v>
      </c>
      <c r="B4706" t="n">
        <v>48249</v>
      </c>
      <c r="C4706" t="inlineStr">
        <is>
          <t>1410/11/16</t>
        </is>
      </c>
    </row>
    <row r="4707">
      <c r="A4707" t="n">
        <v>14101117</v>
      </c>
      <c r="B4707" t="n">
        <v>48250</v>
      </c>
      <c r="C4707" t="inlineStr">
        <is>
          <t>1410/11/17</t>
        </is>
      </c>
    </row>
    <row r="4708">
      <c r="A4708" t="n">
        <v>14101118</v>
      </c>
      <c r="B4708" t="n">
        <v>48251</v>
      </c>
      <c r="C4708" t="inlineStr">
        <is>
          <t>1410/11/18</t>
        </is>
      </c>
    </row>
    <row r="4709">
      <c r="A4709" t="n">
        <v>14101119</v>
      </c>
      <c r="B4709" t="n">
        <v>48252</v>
      </c>
      <c r="C4709" t="inlineStr">
        <is>
          <t>1410/11/19</t>
        </is>
      </c>
    </row>
    <row r="4710">
      <c r="A4710" t="n">
        <v>14101120</v>
      </c>
      <c r="B4710" t="n">
        <v>48253</v>
      </c>
      <c r="C4710" t="inlineStr">
        <is>
          <t>1410/11/20</t>
        </is>
      </c>
    </row>
    <row r="4711">
      <c r="A4711" t="n">
        <v>14101121</v>
      </c>
      <c r="B4711" t="n">
        <v>48254</v>
      </c>
      <c r="C4711" t="inlineStr">
        <is>
          <t>1410/11/21</t>
        </is>
      </c>
    </row>
    <row r="4712">
      <c r="A4712" t="n">
        <v>14101122</v>
      </c>
      <c r="B4712" t="n">
        <v>48255</v>
      </c>
      <c r="C4712" t="inlineStr">
        <is>
          <t>1410/11/22</t>
        </is>
      </c>
    </row>
    <row r="4713">
      <c r="A4713" t="n">
        <v>14101123</v>
      </c>
      <c r="B4713" t="n">
        <v>48256</v>
      </c>
      <c r="C4713" t="inlineStr">
        <is>
          <t>1410/11/23</t>
        </is>
      </c>
    </row>
    <row r="4714">
      <c r="A4714" t="n">
        <v>14101124</v>
      </c>
      <c r="B4714" t="n">
        <v>48257</v>
      </c>
      <c r="C4714" t="inlineStr">
        <is>
          <t>1410/11/24</t>
        </is>
      </c>
    </row>
    <row r="4715">
      <c r="A4715" t="n">
        <v>14101125</v>
      </c>
      <c r="B4715" t="n">
        <v>48258</v>
      </c>
      <c r="C4715" t="inlineStr">
        <is>
          <t>1410/11/25</t>
        </is>
      </c>
    </row>
    <row r="4716">
      <c r="A4716" t="n">
        <v>14101126</v>
      </c>
      <c r="B4716" t="n">
        <v>48259</v>
      </c>
      <c r="C4716" t="inlineStr">
        <is>
          <t>1410/11/26</t>
        </is>
      </c>
    </row>
    <row r="4717">
      <c r="A4717" t="n">
        <v>14101127</v>
      </c>
      <c r="B4717" t="n">
        <v>48260</v>
      </c>
      <c r="C4717" t="inlineStr">
        <is>
          <t>1410/11/27</t>
        </is>
      </c>
    </row>
    <row r="4718">
      <c r="A4718" t="n">
        <v>14101128</v>
      </c>
      <c r="B4718" t="n">
        <v>48261</v>
      </c>
      <c r="C4718" t="inlineStr">
        <is>
          <t>1410/11/28</t>
        </is>
      </c>
    </row>
    <row r="4719">
      <c r="A4719" t="n">
        <v>14101129</v>
      </c>
      <c r="B4719" t="n">
        <v>48262</v>
      </c>
      <c r="C4719" t="inlineStr">
        <is>
          <t>1410/11/29</t>
        </is>
      </c>
    </row>
    <row r="4720">
      <c r="A4720" t="n">
        <v>14101130</v>
      </c>
      <c r="B4720" t="n">
        <v>48263</v>
      </c>
      <c r="C4720" t="inlineStr">
        <is>
          <t>1410/11/30</t>
        </is>
      </c>
    </row>
    <row r="4721">
      <c r="A4721" t="n">
        <v>14101201</v>
      </c>
      <c r="B4721" t="n">
        <v>48264</v>
      </c>
      <c r="C4721" t="inlineStr">
        <is>
          <t>1410/12/01</t>
        </is>
      </c>
    </row>
    <row r="4722">
      <c r="A4722" t="n">
        <v>14101202</v>
      </c>
      <c r="B4722" t="n">
        <v>48265</v>
      </c>
      <c r="C4722" t="inlineStr">
        <is>
          <t>1410/12/02</t>
        </is>
      </c>
    </row>
    <row r="4723">
      <c r="A4723" t="n">
        <v>14101203</v>
      </c>
      <c r="B4723" t="n">
        <v>48266</v>
      </c>
      <c r="C4723" t="inlineStr">
        <is>
          <t>1410/12/03</t>
        </is>
      </c>
    </row>
    <row r="4724">
      <c r="A4724" t="n">
        <v>14101204</v>
      </c>
      <c r="B4724" t="n">
        <v>48267</v>
      </c>
      <c r="C4724" t="inlineStr">
        <is>
          <t>1410/12/04</t>
        </is>
      </c>
    </row>
    <row r="4725">
      <c r="A4725" t="n">
        <v>14101205</v>
      </c>
      <c r="B4725" t="n">
        <v>48268</v>
      </c>
      <c r="C4725" t="inlineStr">
        <is>
          <t>1410/12/05</t>
        </is>
      </c>
    </row>
    <row r="4726">
      <c r="A4726" t="n">
        <v>14101206</v>
      </c>
      <c r="B4726" t="n">
        <v>48269</v>
      </c>
      <c r="C4726" t="inlineStr">
        <is>
          <t>1410/12/06</t>
        </is>
      </c>
    </row>
    <row r="4727">
      <c r="A4727" t="n">
        <v>14101207</v>
      </c>
      <c r="B4727" t="n">
        <v>48270</v>
      </c>
      <c r="C4727" t="inlineStr">
        <is>
          <t>1410/12/07</t>
        </is>
      </c>
    </row>
    <row r="4728">
      <c r="A4728" t="n">
        <v>14101208</v>
      </c>
      <c r="B4728" t="n">
        <v>48271</v>
      </c>
      <c r="C4728" t="inlineStr">
        <is>
          <t>1410/12/08</t>
        </is>
      </c>
    </row>
    <row r="4729">
      <c r="A4729" t="n">
        <v>14101209</v>
      </c>
      <c r="B4729" t="n">
        <v>48272</v>
      </c>
      <c r="C4729" t="inlineStr">
        <is>
          <t>1410/12/09</t>
        </is>
      </c>
    </row>
    <row r="4730">
      <c r="A4730" t="n">
        <v>14101210</v>
      </c>
      <c r="B4730" t="n">
        <v>48273</v>
      </c>
      <c r="C4730" t="inlineStr">
        <is>
          <t>1410/12/10</t>
        </is>
      </c>
    </row>
    <row r="4731">
      <c r="A4731" t="n">
        <v>14101211</v>
      </c>
      <c r="B4731" t="n">
        <v>48274</v>
      </c>
      <c r="C4731" t="inlineStr">
        <is>
          <t>1410/12/11</t>
        </is>
      </c>
    </row>
    <row r="4732">
      <c r="A4732" t="n">
        <v>14101212</v>
      </c>
      <c r="B4732" t="n">
        <v>48275</v>
      </c>
      <c r="C4732" t="inlineStr">
        <is>
          <t>1410/12/12</t>
        </is>
      </c>
    </row>
    <row r="4733">
      <c r="A4733" t="n">
        <v>14101213</v>
      </c>
      <c r="B4733" t="n">
        <v>48276</v>
      </c>
      <c r="C4733" t="inlineStr">
        <is>
          <t>1410/12/13</t>
        </is>
      </c>
    </row>
    <row r="4734">
      <c r="A4734" t="n">
        <v>14101214</v>
      </c>
      <c r="B4734" t="n">
        <v>48277</v>
      </c>
      <c r="C4734" t="inlineStr">
        <is>
          <t>1410/12/14</t>
        </is>
      </c>
    </row>
    <row r="4735">
      <c r="A4735" t="n">
        <v>14101215</v>
      </c>
      <c r="B4735" t="n">
        <v>48278</v>
      </c>
      <c r="C4735" t="inlineStr">
        <is>
          <t>1410/12/15</t>
        </is>
      </c>
    </row>
    <row r="4736">
      <c r="A4736" t="n">
        <v>14101216</v>
      </c>
      <c r="B4736" t="n">
        <v>48279</v>
      </c>
      <c r="C4736" t="inlineStr">
        <is>
          <t>1410/12/16</t>
        </is>
      </c>
    </row>
    <row r="4737">
      <c r="A4737" t="n">
        <v>14101217</v>
      </c>
      <c r="B4737" t="n">
        <v>48280</v>
      </c>
      <c r="C4737" t="inlineStr">
        <is>
          <t>1410/12/17</t>
        </is>
      </c>
    </row>
    <row r="4738">
      <c r="A4738" t="n">
        <v>14101218</v>
      </c>
      <c r="B4738" t="n">
        <v>48281</v>
      </c>
      <c r="C4738" t="inlineStr">
        <is>
          <t>1410/12/18</t>
        </is>
      </c>
    </row>
    <row r="4739">
      <c r="A4739" t="n">
        <v>14101219</v>
      </c>
      <c r="B4739" t="n">
        <v>48282</v>
      </c>
      <c r="C4739" t="inlineStr">
        <is>
          <t>1410/12/19</t>
        </is>
      </c>
    </row>
    <row r="4740">
      <c r="A4740" t="n">
        <v>14101220</v>
      </c>
      <c r="B4740" t="n">
        <v>48283</v>
      </c>
      <c r="C4740" t="inlineStr">
        <is>
          <t>1410/12/20</t>
        </is>
      </c>
    </row>
    <row r="4741">
      <c r="A4741" t="n">
        <v>14101221</v>
      </c>
      <c r="B4741" t="n">
        <v>48284</v>
      </c>
      <c r="C4741" t="inlineStr">
        <is>
          <t>1410/12/21</t>
        </is>
      </c>
    </row>
    <row r="4742">
      <c r="A4742" t="n">
        <v>14101222</v>
      </c>
      <c r="B4742" t="n">
        <v>48285</v>
      </c>
      <c r="C4742" t="inlineStr">
        <is>
          <t>1410/12/22</t>
        </is>
      </c>
    </row>
    <row r="4743">
      <c r="A4743" t="n">
        <v>14101223</v>
      </c>
      <c r="B4743" t="n">
        <v>48286</v>
      </c>
      <c r="C4743" t="inlineStr">
        <is>
          <t>1410/12/23</t>
        </is>
      </c>
    </row>
    <row r="4744">
      <c r="A4744" t="n">
        <v>14101224</v>
      </c>
      <c r="B4744" t="n">
        <v>48287</v>
      </c>
      <c r="C4744" t="inlineStr">
        <is>
          <t>1410/12/24</t>
        </is>
      </c>
    </row>
    <row r="4745">
      <c r="A4745" t="n">
        <v>14101225</v>
      </c>
      <c r="B4745" t="n">
        <v>48288</v>
      </c>
      <c r="C4745" t="inlineStr">
        <is>
          <t>1410/12/25</t>
        </is>
      </c>
    </row>
    <row r="4746">
      <c r="A4746" t="n">
        <v>14101226</v>
      </c>
      <c r="B4746" t="n">
        <v>48289</v>
      </c>
      <c r="C4746" t="inlineStr">
        <is>
          <t>1410/12/26</t>
        </is>
      </c>
    </row>
    <row r="4747">
      <c r="A4747" t="n">
        <v>14101227</v>
      </c>
      <c r="B4747" t="n">
        <v>48290</v>
      </c>
      <c r="C4747" t="inlineStr">
        <is>
          <t>1410/12/27</t>
        </is>
      </c>
    </row>
    <row r="4748">
      <c r="A4748" t="n">
        <v>14101228</v>
      </c>
      <c r="B4748" t="n">
        <v>48291</v>
      </c>
      <c r="C4748" t="inlineStr">
        <is>
          <t>1410/12/28</t>
        </is>
      </c>
    </row>
    <row r="4749">
      <c r="A4749" t="n">
        <v>14101229</v>
      </c>
      <c r="B4749" t="n">
        <v>48292</v>
      </c>
      <c r="C4749" t="inlineStr">
        <is>
          <t>1410/12/29</t>
        </is>
      </c>
    </row>
    <row r="4750">
      <c r="A4750" t="n">
        <v>14110101</v>
      </c>
      <c r="B4750" t="n">
        <v>48293</v>
      </c>
      <c r="C4750" t="inlineStr">
        <is>
          <t>1411/01/01</t>
        </is>
      </c>
    </row>
    <row r="4751">
      <c r="A4751" t="n">
        <v>14110102</v>
      </c>
      <c r="B4751" t="n">
        <v>48294</v>
      </c>
      <c r="C4751" t="inlineStr">
        <is>
          <t>1411/01/02</t>
        </is>
      </c>
    </row>
    <row r="4752">
      <c r="A4752" t="n">
        <v>14110103</v>
      </c>
      <c r="B4752" t="n">
        <v>48295</v>
      </c>
      <c r="C4752" t="inlineStr">
        <is>
          <t>1411/01/03</t>
        </is>
      </c>
    </row>
    <row r="4753">
      <c r="A4753" t="n">
        <v>14110104</v>
      </c>
      <c r="B4753" t="n">
        <v>48296</v>
      </c>
      <c r="C4753" t="inlineStr">
        <is>
          <t>1411/01/04</t>
        </is>
      </c>
    </row>
    <row r="4754">
      <c r="A4754" t="n">
        <v>14110105</v>
      </c>
      <c r="B4754" t="n">
        <v>48297</v>
      </c>
      <c r="C4754" t="inlineStr">
        <is>
          <t>1411/01/05</t>
        </is>
      </c>
    </row>
    <row r="4755">
      <c r="A4755" t="n">
        <v>14110106</v>
      </c>
      <c r="B4755" t="n">
        <v>48298</v>
      </c>
      <c r="C4755" t="inlineStr">
        <is>
          <t>1411/01/06</t>
        </is>
      </c>
    </row>
    <row r="4756">
      <c r="A4756" t="n">
        <v>14110107</v>
      </c>
      <c r="B4756" t="n">
        <v>48299</v>
      </c>
      <c r="C4756" t="inlineStr">
        <is>
          <t>1411/01/07</t>
        </is>
      </c>
    </row>
    <row r="4757">
      <c r="A4757" t="n">
        <v>14110108</v>
      </c>
      <c r="B4757" t="n">
        <v>48300</v>
      </c>
      <c r="C4757" t="inlineStr">
        <is>
          <t>1411/01/08</t>
        </is>
      </c>
    </row>
    <row r="4758">
      <c r="A4758" t="n">
        <v>14110109</v>
      </c>
      <c r="B4758" t="n">
        <v>48301</v>
      </c>
      <c r="C4758" t="inlineStr">
        <is>
          <t>1411/01/09</t>
        </is>
      </c>
    </row>
    <row r="4759">
      <c r="A4759" t="n">
        <v>14110110</v>
      </c>
      <c r="B4759" t="n">
        <v>48302</v>
      </c>
      <c r="C4759" t="inlineStr">
        <is>
          <t>1411/01/10</t>
        </is>
      </c>
    </row>
    <row r="4760">
      <c r="A4760" t="n">
        <v>14110111</v>
      </c>
      <c r="B4760" t="n">
        <v>48303</v>
      </c>
      <c r="C4760" t="inlineStr">
        <is>
          <t>1411/01/11</t>
        </is>
      </c>
    </row>
    <row r="4761">
      <c r="A4761" t="n">
        <v>14110112</v>
      </c>
      <c r="B4761" t="n">
        <v>48304</v>
      </c>
      <c r="C4761" t="inlineStr">
        <is>
          <t>1411/01/12</t>
        </is>
      </c>
    </row>
    <row r="4762">
      <c r="A4762" t="n">
        <v>14110113</v>
      </c>
      <c r="B4762" t="n">
        <v>48305</v>
      </c>
      <c r="C4762" t="inlineStr">
        <is>
          <t>1411/01/13</t>
        </is>
      </c>
    </row>
    <row r="4763">
      <c r="A4763" t="n">
        <v>14110114</v>
      </c>
      <c r="B4763" t="n">
        <v>48306</v>
      </c>
      <c r="C4763" t="inlineStr">
        <is>
          <t>1411/01/14</t>
        </is>
      </c>
    </row>
    <row r="4764">
      <c r="A4764" t="n">
        <v>14110115</v>
      </c>
      <c r="B4764" t="n">
        <v>48307</v>
      </c>
      <c r="C4764" t="inlineStr">
        <is>
          <t>1411/01/15</t>
        </is>
      </c>
    </row>
    <row r="4765">
      <c r="A4765" t="n">
        <v>14110116</v>
      </c>
      <c r="B4765" t="n">
        <v>48308</v>
      </c>
      <c r="C4765" t="inlineStr">
        <is>
          <t>1411/01/16</t>
        </is>
      </c>
    </row>
    <row r="4766">
      <c r="A4766" t="n">
        <v>14110117</v>
      </c>
      <c r="B4766" t="n">
        <v>48309</v>
      </c>
      <c r="C4766" t="inlineStr">
        <is>
          <t>1411/01/17</t>
        </is>
      </c>
    </row>
    <row r="4767">
      <c r="A4767" t="n">
        <v>14110118</v>
      </c>
      <c r="B4767" t="n">
        <v>48310</v>
      </c>
      <c r="C4767" t="inlineStr">
        <is>
          <t>1411/01/18</t>
        </is>
      </c>
    </row>
    <row r="4768">
      <c r="A4768" t="n">
        <v>14110119</v>
      </c>
      <c r="B4768" t="n">
        <v>48311</v>
      </c>
      <c r="C4768" t="inlineStr">
        <is>
          <t>1411/01/19</t>
        </is>
      </c>
    </row>
    <row r="4769">
      <c r="A4769" t="n">
        <v>14110120</v>
      </c>
      <c r="B4769" t="n">
        <v>48312</v>
      </c>
      <c r="C4769" t="inlineStr">
        <is>
          <t>1411/01/20</t>
        </is>
      </c>
    </row>
    <row r="4770">
      <c r="A4770" t="n">
        <v>14110121</v>
      </c>
      <c r="B4770" t="n">
        <v>48313</v>
      </c>
      <c r="C4770" t="inlineStr">
        <is>
          <t>1411/01/21</t>
        </is>
      </c>
    </row>
    <row r="4771">
      <c r="A4771" t="n">
        <v>14110122</v>
      </c>
      <c r="B4771" t="n">
        <v>48314</v>
      </c>
      <c r="C4771" t="inlineStr">
        <is>
          <t>1411/01/22</t>
        </is>
      </c>
    </row>
    <row r="4772">
      <c r="A4772" t="n">
        <v>14110123</v>
      </c>
      <c r="B4772" t="n">
        <v>48315</v>
      </c>
      <c r="C4772" t="inlineStr">
        <is>
          <t>1411/01/23</t>
        </is>
      </c>
    </row>
    <row r="4773">
      <c r="A4773" t="n">
        <v>14110124</v>
      </c>
      <c r="B4773" t="n">
        <v>48316</v>
      </c>
      <c r="C4773" t="inlineStr">
        <is>
          <t>1411/01/24</t>
        </is>
      </c>
    </row>
    <row r="4774">
      <c r="A4774" t="n">
        <v>14110125</v>
      </c>
      <c r="B4774" t="n">
        <v>48317</v>
      </c>
      <c r="C4774" t="inlineStr">
        <is>
          <t>1411/01/25</t>
        </is>
      </c>
    </row>
    <row r="4775">
      <c r="A4775" t="n">
        <v>14110126</v>
      </c>
      <c r="B4775" t="n">
        <v>48318</v>
      </c>
      <c r="C4775" t="inlineStr">
        <is>
          <t>1411/01/26</t>
        </is>
      </c>
    </row>
    <row r="4776">
      <c r="A4776" t="n">
        <v>14110127</v>
      </c>
      <c r="B4776" t="n">
        <v>48319</v>
      </c>
      <c r="C4776" t="inlineStr">
        <is>
          <t>1411/01/27</t>
        </is>
      </c>
    </row>
    <row r="4777">
      <c r="A4777" t="n">
        <v>14110128</v>
      </c>
      <c r="B4777" t="n">
        <v>48320</v>
      </c>
      <c r="C4777" t="inlineStr">
        <is>
          <t>1411/01/28</t>
        </is>
      </c>
    </row>
    <row r="4778">
      <c r="A4778" t="n">
        <v>14110129</v>
      </c>
      <c r="B4778" t="n">
        <v>48321</v>
      </c>
      <c r="C4778" t="inlineStr">
        <is>
          <t>1411/01/29</t>
        </is>
      </c>
    </row>
    <row r="4779">
      <c r="A4779" t="n">
        <v>14110130</v>
      </c>
      <c r="B4779" t="n">
        <v>48322</v>
      </c>
      <c r="C4779" t="inlineStr">
        <is>
          <t>1411/01/30</t>
        </is>
      </c>
    </row>
    <row r="4780">
      <c r="A4780" t="n">
        <v>14110131</v>
      </c>
      <c r="B4780" t="n">
        <v>48323</v>
      </c>
      <c r="C4780" t="inlineStr">
        <is>
          <t>1411/01/31</t>
        </is>
      </c>
    </row>
    <row r="4781">
      <c r="A4781" t="n">
        <v>14110201</v>
      </c>
      <c r="B4781" t="n">
        <v>48324</v>
      </c>
      <c r="C4781" t="inlineStr">
        <is>
          <t>1411/02/01</t>
        </is>
      </c>
    </row>
    <row r="4782">
      <c r="A4782" t="n">
        <v>14110202</v>
      </c>
      <c r="B4782" t="n">
        <v>48325</v>
      </c>
      <c r="C4782" t="inlineStr">
        <is>
          <t>1411/02/02</t>
        </is>
      </c>
    </row>
    <row r="4783">
      <c r="A4783" t="n">
        <v>14110203</v>
      </c>
      <c r="B4783" t="n">
        <v>48326</v>
      </c>
      <c r="C4783" t="inlineStr">
        <is>
          <t>1411/02/03</t>
        </is>
      </c>
    </row>
    <row r="4784">
      <c r="A4784" t="n">
        <v>14110204</v>
      </c>
      <c r="B4784" t="n">
        <v>48327</v>
      </c>
      <c r="C4784" t="inlineStr">
        <is>
          <t>1411/02/04</t>
        </is>
      </c>
    </row>
    <row r="4785">
      <c r="A4785" t="n">
        <v>14110205</v>
      </c>
      <c r="B4785" t="n">
        <v>48328</v>
      </c>
      <c r="C4785" t="inlineStr">
        <is>
          <t>1411/02/05</t>
        </is>
      </c>
    </row>
    <row r="4786">
      <c r="A4786" t="n">
        <v>14110206</v>
      </c>
      <c r="B4786" t="n">
        <v>48329</v>
      </c>
      <c r="C4786" t="inlineStr">
        <is>
          <t>1411/02/06</t>
        </is>
      </c>
    </row>
    <row r="4787">
      <c r="A4787" t="n">
        <v>14110207</v>
      </c>
      <c r="B4787" t="n">
        <v>48330</v>
      </c>
      <c r="C4787" t="inlineStr">
        <is>
          <t>1411/02/07</t>
        </is>
      </c>
    </row>
    <row r="4788">
      <c r="A4788" t="n">
        <v>14110208</v>
      </c>
      <c r="B4788" t="n">
        <v>48331</v>
      </c>
      <c r="C4788" t="inlineStr">
        <is>
          <t>1411/02/08</t>
        </is>
      </c>
    </row>
    <row r="4789">
      <c r="A4789" t="n">
        <v>14110209</v>
      </c>
      <c r="B4789" t="n">
        <v>48332</v>
      </c>
      <c r="C4789" t="inlineStr">
        <is>
          <t>1411/02/09</t>
        </is>
      </c>
    </row>
    <row r="4790">
      <c r="A4790" t="n">
        <v>14110210</v>
      </c>
      <c r="B4790" t="n">
        <v>48333</v>
      </c>
      <c r="C4790" t="inlineStr">
        <is>
          <t>1411/02/10</t>
        </is>
      </c>
    </row>
    <row r="4791">
      <c r="A4791" t="n">
        <v>14110211</v>
      </c>
      <c r="B4791" t="n">
        <v>48334</v>
      </c>
      <c r="C4791" t="inlineStr">
        <is>
          <t>1411/02/11</t>
        </is>
      </c>
    </row>
    <row r="4792">
      <c r="A4792" t="n">
        <v>14110212</v>
      </c>
      <c r="B4792" t="n">
        <v>48335</v>
      </c>
      <c r="C4792" t="inlineStr">
        <is>
          <t>1411/02/12</t>
        </is>
      </c>
    </row>
    <row r="4793">
      <c r="A4793" t="n">
        <v>14110213</v>
      </c>
      <c r="B4793" t="n">
        <v>48336</v>
      </c>
      <c r="C4793" t="inlineStr">
        <is>
          <t>1411/02/13</t>
        </is>
      </c>
    </row>
    <row r="4794">
      <c r="A4794" t="n">
        <v>14110214</v>
      </c>
      <c r="B4794" t="n">
        <v>48337</v>
      </c>
      <c r="C4794" t="inlineStr">
        <is>
          <t>1411/02/14</t>
        </is>
      </c>
    </row>
    <row r="4795">
      <c r="A4795" t="n">
        <v>14110215</v>
      </c>
      <c r="B4795" t="n">
        <v>48338</v>
      </c>
      <c r="C4795" t="inlineStr">
        <is>
          <t>1411/02/15</t>
        </is>
      </c>
    </row>
    <row r="4796">
      <c r="A4796" t="n">
        <v>14110216</v>
      </c>
      <c r="B4796" t="n">
        <v>48339</v>
      </c>
      <c r="C4796" t="inlineStr">
        <is>
          <t>1411/02/16</t>
        </is>
      </c>
    </row>
    <row r="4797">
      <c r="A4797" t="n">
        <v>14110217</v>
      </c>
      <c r="B4797" t="n">
        <v>48340</v>
      </c>
      <c r="C4797" t="inlineStr">
        <is>
          <t>1411/02/17</t>
        </is>
      </c>
    </row>
    <row r="4798">
      <c r="A4798" t="n">
        <v>14110218</v>
      </c>
      <c r="B4798" t="n">
        <v>48341</v>
      </c>
      <c r="C4798" t="inlineStr">
        <is>
          <t>1411/02/18</t>
        </is>
      </c>
    </row>
    <row r="4799">
      <c r="A4799" t="n">
        <v>14110219</v>
      </c>
      <c r="B4799" t="n">
        <v>48342</v>
      </c>
      <c r="C4799" t="inlineStr">
        <is>
          <t>1411/02/19</t>
        </is>
      </c>
    </row>
    <row r="4800">
      <c r="A4800" t="n">
        <v>14110220</v>
      </c>
      <c r="B4800" t="n">
        <v>48343</v>
      </c>
      <c r="C4800" t="inlineStr">
        <is>
          <t>1411/02/20</t>
        </is>
      </c>
    </row>
    <row r="4801">
      <c r="A4801" t="n">
        <v>14110221</v>
      </c>
      <c r="B4801" t="n">
        <v>48344</v>
      </c>
      <c r="C4801" t="inlineStr">
        <is>
          <t>1411/02/21</t>
        </is>
      </c>
    </row>
    <row r="4802">
      <c r="A4802" t="n">
        <v>14110222</v>
      </c>
      <c r="B4802" t="n">
        <v>48345</v>
      </c>
      <c r="C4802" t="inlineStr">
        <is>
          <t>1411/02/22</t>
        </is>
      </c>
    </row>
    <row r="4803">
      <c r="A4803" t="n">
        <v>14110223</v>
      </c>
      <c r="B4803" t="n">
        <v>48346</v>
      </c>
      <c r="C4803" t="inlineStr">
        <is>
          <t>1411/02/23</t>
        </is>
      </c>
    </row>
    <row r="4804">
      <c r="A4804" t="n">
        <v>14110224</v>
      </c>
      <c r="B4804" t="n">
        <v>48347</v>
      </c>
      <c r="C4804" t="inlineStr">
        <is>
          <t>1411/02/24</t>
        </is>
      </c>
    </row>
    <row r="4805">
      <c r="A4805" t="n">
        <v>14110225</v>
      </c>
      <c r="B4805" t="n">
        <v>48348</v>
      </c>
      <c r="C4805" t="inlineStr">
        <is>
          <t>1411/02/25</t>
        </is>
      </c>
    </row>
    <row r="4806">
      <c r="A4806" t="n">
        <v>14110226</v>
      </c>
      <c r="B4806" t="n">
        <v>48349</v>
      </c>
      <c r="C4806" t="inlineStr">
        <is>
          <t>1411/02/26</t>
        </is>
      </c>
    </row>
    <row r="4807">
      <c r="A4807" t="n">
        <v>14110227</v>
      </c>
      <c r="B4807" t="n">
        <v>48350</v>
      </c>
      <c r="C4807" t="inlineStr">
        <is>
          <t>1411/02/27</t>
        </is>
      </c>
    </row>
    <row r="4808">
      <c r="A4808" t="n">
        <v>14110228</v>
      </c>
      <c r="B4808" t="n">
        <v>48351</v>
      </c>
      <c r="C4808" t="inlineStr">
        <is>
          <t>1411/02/28</t>
        </is>
      </c>
    </row>
    <row r="4809">
      <c r="A4809" t="n">
        <v>14110229</v>
      </c>
      <c r="B4809" t="n">
        <v>48352</v>
      </c>
      <c r="C4809" t="inlineStr">
        <is>
          <t>1411/02/29</t>
        </is>
      </c>
    </row>
    <row r="4810">
      <c r="A4810" t="n">
        <v>14110230</v>
      </c>
      <c r="B4810" t="n">
        <v>48353</v>
      </c>
      <c r="C4810" t="inlineStr">
        <is>
          <t>1411/02/30</t>
        </is>
      </c>
    </row>
    <row r="4811">
      <c r="A4811" t="n">
        <v>14110231</v>
      </c>
      <c r="B4811" t="n">
        <v>48354</v>
      </c>
      <c r="C4811" t="inlineStr">
        <is>
          <t>1411/02/31</t>
        </is>
      </c>
    </row>
    <row r="4812">
      <c r="A4812" t="n">
        <v>14110301</v>
      </c>
      <c r="B4812" t="n">
        <v>48355</v>
      </c>
      <c r="C4812" t="inlineStr">
        <is>
          <t>1411/03/01</t>
        </is>
      </c>
    </row>
    <row r="4813">
      <c r="A4813" t="n">
        <v>14110302</v>
      </c>
      <c r="B4813" t="n">
        <v>48356</v>
      </c>
      <c r="C4813" t="inlineStr">
        <is>
          <t>1411/03/02</t>
        </is>
      </c>
    </row>
    <row r="4814">
      <c r="A4814" t="n">
        <v>14110303</v>
      </c>
      <c r="B4814" t="n">
        <v>48357</v>
      </c>
      <c r="C4814" t="inlineStr">
        <is>
          <t>1411/03/03</t>
        </is>
      </c>
    </row>
    <row r="4815">
      <c r="A4815" t="n">
        <v>14110304</v>
      </c>
      <c r="B4815" t="n">
        <v>48358</v>
      </c>
      <c r="C4815" t="inlineStr">
        <is>
          <t>1411/03/04</t>
        </is>
      </c>
    </row>
    <row r="4816">
      <c r="A4816" t="n">
        <v>14110305</v>
      </c>
      <c r="B4816" t="n">
        <v>48359</v>
      </c>
      <c r="C4816" t="inlineStr">
        <is>
          <t>1411/03/05</t>
        </is>
      </c>
    </row>
    <row r="4817">
      <c r="A4817" t="n">
        <v>14110306</v>
      </c>
      <c r="B4817" t="n">
        <v>48360</v>
      </c>
      <c r="C4817" t="inlineStr">
        <is>
          <t>1411/03/06</t>
        </is>
      </c>
    </row>
    <row r="4818">
      <c r="A4818" t="n">
        <v>14110307</v>
      </c>
      <c r="B4818" t="n">
        <v>48361</v>
      </c>
      <c r="C4818" t="inlineStr">
        <is>
          <t>1411/03/07</t>
        </is>
      </c>
    </row>
    <row r="4819">
      <c r="A4819" t="n">
        <v>14110308</v>
      </c>
      <c r="B4819" t="n">
        <v>48362</v>
      </c>
      <c r="C4819" t="inlineStr">
        <is>
          <t>1411/03/08</t>
        </is>
      </c>
    </row>
    <row r="4820">
      <c r="A4820" t="n">
        <v>14110309</v>
      </c>
      <c r="B4820" t="n">
        <v>48363</v>
      </c>
      <c r="C4820" t="inlineStr">
        <is>
          <t>1411/03/09</t>
        </is>
      </c>
    </row>
    <row r="4821">
      <c r="A4821" t="n">
        <v>14110310</v>
      </c>
      <c r="B4821" t="n">
        <v>48364</v>
      </c>
      <c r="C4821" t="inlineStr">
        <is>
          <t>1411/03/10</t>
        </is>
      </c>
    </row>
    <row r="4822">
      <c r="A4822" t="n">
        <v>14110311</v>
      </c>
      <c r="B4822" t="n">
        <v>48365</v>
      </c>
      <c r="C4822" t="inlineStr">
        <is>
          <t>1411/03/11</t>
        </is>
      </c>
    </row>
    <row r="4823">
      <c r="A4823" t="n">
        <v>14110312</v>
      </c>
      <c r="B4823" t="n">
        <v>48366</v>
      </c>
      <c r="C4823" t="inlineStr">
        <is>
          <t>1411/03/12</t>
        </is>
      </c>
    </row>
    <row r="4824">
      <c r="A4824" t="n">
        <v>14110313</v>
      </c>
      <c r="B4824" t="n">
        <v>48367</v>
      </c>
      <c r="C4824" t="inlineStr">
        <is>
          <t>1411/03/13</t>
        </is>
      </c>
    </row>
    <row r="4825">
      <c r="A4825" t="n">
        <v>14110314</v>
      </c>
      <c r="B4825" t="n">
        <v>48368</v>
      </c>
      <c r="C4825" t="inlineStr">
        <is>
          <t>1411/03/14</t>
        </is>
      </c>
    </row>
    <row r="4826">
      <c r="A4826" t="n">
        <v>14110315</v>
      </c>
      <c r="B4826" t="n">
        <v>48369</v>
      </c>
      <c r="C4826" t="inlineStr">
        <is>
          <t>1411/03/15</t>
        </is>
      </c>
    </row>
    <row r="4827">
      <c r="A4827" t="n">
        <v>14110316</v>
      </c>
      <c r="B4827" t="n">
        <v>48370</v>
      </c>
      <c r="C4827" t="inlineStr">
        <is>
          <t>1411/03/16</t>
        </is>
      </c>
    </row>
    <row r="4828">
      <c r="A4828" t="n">
        <v>14110317</v>
      </c>
      <c r="B4828" t="n">
        <v>48371</v>
      </c>
      <c r="C4828" t="inlineStr">
        <is>
          <t>1411/03/17</t>
        </is>
      </c>
    </row>
    <row r="4829">
      <c r="A4829" t="n">
        <v>14110318</v>
      </c>
      <c r="B4829" t="n">
        <v>48372</v>
      </c>
      <c r="C4829" t="inlineStr">
        <is>
          <t>1411/03/18</t>
        </is>
      </c>
    </row>
    <row r="4830">
      <c r="A4830" t="n">
        <v>14110319</v>
      </c>
      <c r="B4830" t="n">
        <v>48373</v>
      </c>
      <c r="C4830" t="inlineStr">
        <is>
          <t>1411/03/19</t>
        </is>
      </c>
    </row>
    <row r="4831">
      <c r="A4831" t="n">
        <v>14110320</v>
      </c>
      <c r="B4831" t="n">
        <v>48374</v>
      </c>
      <c r="C4831" t="inlineStr">
        <is>
          <t>1411/03/20</t>
        </is>
      </c>
    </row>
    <row r="4832">
      <c r="A4832" t="n">
        <v>14110321</v>
      </c>
      <c r="B4832" t="n">
        <v>48375</v>
      </c>
      <c r="C4832" t="inlineStr">
        <is>
          <t>1411/03/21</t>
        </is>
      </c>
    </row>
    <row r="4833">
      <c r="A4833" t="n">
        <v>14110322</v>
      </c>
      <c r="B4833" t="n">
        <v>48376</v>
      </c>
      <c r="C4833" t="inlineStr">
        <is>
          <t>1411/03/22</t>
        </is>
      </c>
    </row>
    <row r="4834">
      <c r="A4834" t="n">
        <v>14110323</v>
      </c>
      <c r="B4834" t="n">
        <v>48377</v>
      </c>
      <c r="C4834" t="inlineStr">
        <is>
          <t>1411/03/23</t>
        </is>
      </c>
    </row>
    <row r="4835">
      <c r="A4835" t="n">
        <v>14110324</v>
      </c>
      <c r="B4835" t="n">
        <v>48378</v>
      </c>
      <c r="C4835" t="inlineStr">
        <is>
          <t>1411/03/24</t>
        </is>
      </c>
    </row>
    <row r="4836">
      <c r="A4836" t="n">
        <v>14110325</v>
      </c>
      <c r="B4836" t="n">
        <v>48379</v>
      </c>
      <c r="C4836" t="inlineStr">
        <is>
          <t>1411/03/25</t>
        </is>
      </c>
    </row>
    <row r="4837">
      <c r="A4837" t="n">
        <v>14110326</v>
      </c>
      <c r="B4837" t="n">
        <v>48380</v>
      </c>
      <c r="C4837" t="inlineStr">
        <is>
          <t>1411/03/26</t>
        </is>
      </c>
    </row>
    <row r="4838">
      <c r="A4838" t="n">
        <v>14110327</v>
      </c>
      <c r="B4838" t="n">
        <v>48381</v>
      </c>
      <c r="C4838" t="inlineStr">
        <is>
          <t>1411/03/27</t>
        </is>
      </c>
    </row>
    <row r="4839">
      <c r="A4839" t="n">
        <v>14110328</v>
      </c>
      <c r="B4839" t="n">
        <v>48382</v>
      </c>
      <c r="C4839" t="inlineStr">
        <is>
          <t>1411/03/28</t>
        </is>
      </c>
    </row>
    <row r="4840">
      <c r="A4840" t="n">
        <v>14110329</v>
      </c>
      <c r="B4840" t="n">
        <v>48383</v>
      </c>
      <c r="C4840" t="inlineStr">
        <is>
          <t>1411/03/29</t>
        </is>
      </c>
    </row>
    <row r="4841">
      <c r="A4841" t="n">
        <v>14110330</v>
      </c>
      <c r="B4841" t="n">
        <v>48384</v>
      </c>
      <c r="C4841" t="inlineStr">
        <is>
          <t>1411/03/30</t>
        </is>
      </c>
    </row>
    <row r="4842">
      <c r="A4842" t="n">
        <v>14110331</v>
      </c>
      <c r="B4842" t="n">
        <v>48385</v>
      </c>
      <c r="C4842" t="inlineStr">
        <is>
          <t>1411/03/31</t>
        </is>
      </c>
    </row>
    <row r="4843">
      <c r="A4843" t="n">
        <v>14110401</v>
      </c>
      <c r="B4843" t="n">
        <v>48386</v>
      </c>
      <c r="C4843" t="inlineStr">
        <is>
          <t>1411/04/01</t>
        </is>
      </c>
    </row>
    <row r="4844">
      <c r="A4844" t="n">
        <v>14110402</v>
      </c>
      <c r="B4844" t="n">
        <v>48387</v>
      </c>
      <c r="C4844" t="inlineStr">
        <is>
          <t>1411/04/02</t>
        </is>
      </c>
    </row>
    <row r="4845">
      <c r="A4845" t="n">
        <v>14110403</v>
      </c>
      <c r="B4845" t="n">
        <v>48388</v>
      </c>
      <c r="C4845" t="inlineStr">
        <is>
          <t>1411/04/03</t>
        </is>
      </c>
    </row>
    <row r="4846">
      <c r="A4846" t="n">
        <v>14110404</v>
      </c>
      <c r="B4846" t="n">
        <v>48389</v>
      </c>
      <c r="C4846" t="inlineStr">
        <is>
          <t>1411/04/04</t>
        </is>
      </c>
    </row>
    <row r="4847">
      <c r="A4847" t="n">
        <v>14110405</v>
      </c>
      <c r="B4847" t="n">
        <v>48390</v>
      </c>
      <c r="C4847" t="inlineStr">
        <is>
          <t>1411/04/05</t>
        </is>
      </c>
    </row>
    <row r="4848">
      <c r="A4848" t="n">
        <v>14110406</v>
      </c>
      <c r="B4848" t="n">
        <v>48391</v>
      </c>
      <c r="C4848" t="inlineStr">
        <is>
          <t>1411/04/06</t>
        </is>
      </c>
    </row>
    <row r="4849">
      <c r="A4849" t="n">
        <v>14110407</v>
      </c>
      <c r="B4849" t="n">
        <v>48392</v>
      </c>
      <c r="C4849" t="inlineStr">
        <is>
          <t>1411/04/07</t>
        </is>
      </c>
    </row>
    <row r="4850">
      <c r="A4850" t="n">
        <v>14110408</v>
      </c>
      <c r="B4850" t="n">
        <v>48393</v>
      </c>
      <c r="C4850" t="inlineStr">
        <is>
          <t>1411/04/08</t>
        </is>
      </c>
    </row>
    <row r="4851">
      <c r="A4851" t="n">
        <v>14110409</v>
      </c>
      <c r="B4851" t="n">
        <v>48394</v>
      </c>
      <c r="C4851" t="inlineStr">
        <is>
          <t>1411/04/09</t>
        </is>
      </c>
    </row>
    <row r="4852">
      <c r="A4852" t="n">
        <v>14110410</v>
      </c>
      <c r="B4852" t="n">
        <v>48395</v>
      </c>
      <c r="C4852" t="inlineStr">
        <is>
          <t>1411/04/10</t>
        </is>
      </c>
    </row>
    <row r="4853">
      <c r="A4853" t="n">
        <v>14110411</v>
      </c>
      <c r="B4853" t="n">
        <v>48396</v>
      </c>
      <c r="C4853" t="inlineStr">
        <is>
          <t>1411/04/11</t>
        </is>
      </c>
    </row>
    <row r="4854">
      <c r="A4854" t="n">
        <v>14110412</v>
      </c>
      <c r="B4854" t="n">
        <v>48397</v>
      </c>
      <c r="C4854" t="inlineStr">
        <is>
          <t>1411/04/12</t>
        </is>
      </c>
    </row>
    <row r="4855">
      <c r="A4855" t="n">
        <v>14110413</v>
      </c>
      <c r="B4855" t="n">
        <v>48398</v>
      </c>
      <c r="C4855" t="inlineStr">
        <is>
          <t>1411/04/13</t>
        </is>
      </c>
    </row>
    <row r="4856">
      <c r="A4856" t="n">
        <v>14110414</v>
      </c>
      <c r="B4856" t="n">
        <v>48399</v>
      </c>
      <c r="C4856" t="inlineStr">
        <is>
          <t>1411/04/14</t>
        </is>
      </c>
    </row>
    <row r="4857">
      <c r="A4857" t="n">
        <v>14110415</v>
      </c>
      <c r="B4857" t="n">
        <v>48400</v>
      </c>
      <c r="C4857" t="inlineStr">
        <is>
          <t>1411/04/15</t>
        </is>
      </c>
    </row>
    <row r="4858">
      <c r="A4858" t="n">
        <v>14110416</v>
      </c>
      <c r="B4858" t="n">
        <v>48401</v>
      </c>
      <c r="C4858" t="inlineStr">
        <is>
          <t>1411/04/16</t>
        </is>
      </c>
    </row>
    <row r="4859">
      <c r="A4859" t="n">
        <v>14110417</v>
      </c>
      <c r="B4859" t="n">
        <v>48402</v>
      </c>
      <c r="C4859" t="inlineStr">
        <is>
          <t>1411/04/17</t>
        </is>
      </c>
    </row>
    <row r="4860">
      <c r="A4860" t="n">
        <v>14110418</v>
      </c>
      <c r="B4860" t="n">
        <v>48403</v>
      </c>
      <c r="C4860" t="inlineStr">
        <is>
          <t>1411/04/18</t>
        </is>
      </c>
    </row>
    <row r="4861">
      <c r="A4861" t="n">
        <v>14110419</v>
      </c>
      <c r="B4861" t="n">
        <v>48404</v>
      </c>
      <c r="C4861" t="inlineStr">
        <is>
          <t>1411/04/19</t>
        </is>
      </c>
    </row>
    <row r="4862">
      <c r="A4862" t="n">
        <v>14110420</v>
      </c>
      <c r="B4862" t="n">
        <v>48405</v>
      </c>
      <c r="C4862" t="inlineStr">
        <is>
          <t>1411/04/20</t>
        </is>
      </c>
    </row>
    <row r="4863">
      <c r="A4863" t="n">
        <v>14110421</v>
      </c>
      <c r="B4863" t="n">
        <v>48406</v>
      </c>
      <c r="C4863" t="inlineStr">
        <is>
          <t>1411/04/21</t>
        </is>
      </c>
    </row>
    <row r="4864">
      <c r="A4864" t="n">
        <v>14110422</v>
      </c>
      <c r="B4864" t="n">
        <v>48407</v>
      </c>
      <c r="C4864" t="inlineStr">
        <is>
          <t>1411/04/22</t>
        </is>
      </c>
    </row>
    <row r="4865">
      <c r="A4865" t="n">
        <v>14110423</v>
      </c>
      <c r="B4865" t="n">
        <v>48408</v>
      </c>
      <c r="C4865" t="inlineStr">
        <is>
          <t>1411/04/23</t>
        </is>
      </c>
    </row>
    <row r="4866">
      <c r="A4866" t="n">
        <v>14110424</v>
      </c>
      <c r="B4866" t="n">
        <v>48409</v>
      </c>
      <c r="C4866" t="inlineStr">
        <is>
          <t>1411/04/24</t>
        </is>
      </c>
    </row>
    <row r="4867">
      <c r="A4867" t="n">
        <v>14110425</v>
      </c>
      <c r="B4867" t="n">
        <v>48410</v>
      </c>
      <c r="C4867" t="inlineStr">
        <is>
          <t>1411/04/25</t>
        </is>
      </c>
    </row>
    <row r="4868">
      <c r="A4868" t="n">
        <v>14110426</v>
      </c>
      <c r="B4868" t="n">
        <v>48411</v>
      </c>
      <c r="C4868" t="inlineStr">
        <is>
          <t>1411/04/26</t>
        </is>
      </c>
    </row>
    <row r="4869">
      <c r="A4869" t="n">
        <v>14110427</v>
      </c>
      <c r="B4869" t="n">
        <v>48412</v>
      </c>
      <c r="C4869" t="inlineStr">
        <is>
          <t>1411/04/27</t>
        </is>
      </c>
    </row>
    <row r="4870">
      <c r="A4870" t="n">
        <v>14110428</v>
      </c>
      <c r="B4870" t="n">
        <v>48413</v>
      </c>
      <c r="C4870" t="inlineStr">
        <is>
          <t>1411/04/28</t>
        </is>
      </c>
    </row>
    <row r="4871">
      <c r="A4871" t="n">
        <v>14110429</v>
      </c>
      <c r="B4871" t="n">
        <v>48414</v>
      </c>
      <c r="C4871" t="inlineStr">
        <is>
          <t>1411/04/29</t>
        </is>
      </c>
    </row>
    <row r="4872">
      <c r="A4872" t="n">
        <v>14110430</v>
      </c>
      <c r="B4872" t="n">
        <v>48415</v>
      </c>
      <c r="C4872" t="inlineStr">
        <is>
          <t>1411/04/30</t>
        </is>
      </c>
    </row>
    <row r="4873">
      <c r="A4873" t="n">
        <v>14110431</v>
      </c>
      <c r="B4873" t="n">
        <v>48416</v>
      </c>
      <c r="C4873" t="inlineStr">
        <is>
          <t>1411/04/31</t>
        </is>
      </c>
    </row>
    <row r="4874">
      <c r="A4874" t="n">
        <v>14110501</v>
      </c>
      <c r="B4874" t="n">
        <v>48417</v>
      </c>
      <c r="C4874" t="inlineStr">
        <is>
          <t>1411/05/01</t>
        </is>
      </c>
    </row>
    <row r="4875">
      <c r="A4875" t="n">
        <v>14110502</v>
      </c>
      <c r="B4875" t="n">
        <v>48418</v>
      </c>
      <c r="C4875" t="inlineStr">
        <is>
          <t>1411/05/02</t>
        </is>
      </c>
    </row>
    <row r="4876">
      <c r="A4876" t="n">
        <v>14110503</v>
      </c>
      <c r="B4876" t="n">
        <v>48419</v>
      </c>
      <c r="C4876" t="inlineStr">
        <is>
          <t>1411/05/03</t>
        </is>
      </c>
    </row>
    <row r="4877">
      <c r="A4877" t="n">
        <v>14110504</v>
      </c>
      <c r="B4877" t="n">
        <v>48420</v>
      </c>
      <c r="C4877" t="inlineStr">
        <is>
          <t>1411/05/04</t>
        </is>
      </c>
    </row>
    <row r="4878">
      <c r="A4878" t="n">
        <v>14110505</v>
      </c>
      <c r="B4878" t="n">
        <v>48421</v>
      </c>
      <c r="C4878" t="inlineStr">
        <is>
          <t>1411/05/05</t>
        </is>
      </c>
    </row>
    <row r="4879">
      <c r="A4879" t="n">
        <v>14110506</v>
      </c>
      <c r="B4879" t="n">
        <v>48422</v>
      </c>
      <c r="C4879" t="inlineStr">
        <is>
          <t>1411/05/06</t>
        </is>
      </c>
    </row>
    <row r="4880">
      <c r="A4880" t="n">
        <v>14110507</v>
      </c>
      <c r="B4880" t="n">
        <v>48423</v>
      </c>
      <c r="C4880" t="inlineStr">
        <is>
          <t>1411/05/07</t>
        </is>
      </c>
    </row>
    <row r="4881">
      <c r="A4881" t="n">
        <v>14110508</v>
      </c>
      <c r="B4881" t="n">
        <v>48424</v>
      </c>
      <c r="C4881" t="inlineStr">
        <is>
          <t>1411/05/08</t>
        </is>
      </c>
    </row>
    <row r="4882">
      <c r="A4882" t="n">
        <v>14110509</v>
      </c>
      <c r="B4882" t="n">
        <v>48425</v>
      </c>
      <c r="C4882" t="inlineStr">
        <is>
          <t>1411/05/09</t>
        </is>
      </c>
    </row>
    <row r="4883">
      <c r="A4883" t="n">
        <v>14110510</v>
      </c>
      <c r="B4883" t="n">
        <v>48426</v>
      </c>
      <c r="C4883" t="inlineStr">
        <is>
          <t>1411/05/10</t>
        </is>
      </c>
    </row>
    <row r="4884">
      <c r="A4884" t="n">
        <v>14110511</v>
      </c>
      <c r="B4884" t="n">
        <v>48427</v>
      </c>
      <c r="C4884" t="inlineStr">
        <is>
          <t>1411/05/11</t>
        </is>
      </c>
    </row>
    <row r="4885">
      <c r="A4885" t="n">
        <v>14110512</v>
      </c>
      <c r="B4885" t="n">
        <v>48428</v>
      </c>
      <c r="C4885" t="inlineStr">
        <is>
          <t>1411/05/12</t>
        </is>
      </c>
    </row>
    <row r="4886">
      <c r="A4886" t="n">
        <v>14110513</v>
      </c>
      <c r="B4886" t="n">
        <v>48429</v>
      </c>
      <c r="C4886" t="inlineStr">
        <is>
          <t>1411/05/13</t>
        </is>
      </c>
    </row>
    <row r="4887">
      <c r="A4887" t="n">
        <v>14110514</v>
      </c>
      <c r="B4887" t="n">
        <v>48430</v>
      </c>
      <c r="C4887" t="inlineStr">
        <is>
          <t>1411/05/14</t>
        </is>
      </c>
    </row>
    <row r="4888">
      <c r="A4888" t="n">
        <v>14110515</v>
      </c>
      <c r="B4888" t="n">
        <v>48431</v>
      </c>
      <c r="C4888" t="inlineStr">
        <is>
          <t>1411/05/15</t>
        </is>
      </c>
    </row>
    <row r="4889">
      <c r="A4889" t="n">
        <v>14110516</v>
      </c>
      <c r="B4889" t="n">
        <v>48432</v>
      </c>
      <c r="C4889" t="inlineStr">
        <is>
          <t>1411/05/16</t>
        </is>
      </c>
    </row>
    <row r="4890">
      <c r="A4890" t="n">
        <v>14110517</v>
      </c>
      <c r="B4890" t="n">
        <v>48433</v>
      </c>
      <c r="C4890" t="inlineStr">
        <is>
          <t>1411/05/17</t>
        </is>
      </c>
    </row>
    <row r="4891">
      <c r="A4891" t="n">
        <v>14110518</v>
      </c>
      <c r="B4891" t="n">
        <v>48434</v>
      </c>
      <c r="C4891" t="inlineStr">
        <is>
          <t>1411/05/18</t>
        </is>
      </c>
    </row>
    <row r="4892">
      <c r="A4892" t="n">
        <v>14110519</v>
      </c>
      <c r="B4892" t="n">
        <v>48435</v>
      </c>
      <c r="C4892" t="inlineStr">
        <is>
          <t>1411/05/19</t>
        </is>
      </c>
    </row>
    <row r="4893">
      <c r="A4893" t="n">
        <v>14110520</v>
      </c>
      <c r="B4893" t="n">
        <v>48436</v>
      </c>
      <c r="C4893" t="inlineStr">
        <is>
          <t>1411/05/20</t>
        </is>
      </c>
    </row>
    <row r="4894">
      <c r="A4894" t="n">
        <v>14110521</v>
      </c>
      <c r="B4894" t="n">
        <v>48437</v>
      </c>
      <c r="C4894" t="inlineStr">
        <is>
          <t>1411/05/21</t>
        </is>
      </c>
    </row>
    <row r="4895">
      <c r="A4895" t="n">
        <v>14110522</v>
      </c>
      <c r="B4895" t="n">
        <v>48438</v>
      </c>
      <c r="C4895" t="inlineStr">
        <is>
          <t>1411/05/22</t>
        </is>
      </c>
    </row>
    <row r="4896">
      <c r="A4896" t="n">
        <v>14110523</v>
      </c>
      <c r="B4896" t="n">
        <v>48439</v>
      </c>
      <c r="C4896" t="inlineStr">
        <is>
          <t>1411/05/23</t>
        </is>
      </c>
    </row>
    <row r="4897">
      <c r="A4897" t="n">
        <v>14110524</v>
      </c>
      <c r="B4897" t="n">
        <v>48440</v>
      </c>
      <c r="C4897" t="inlineStr">
        <is>
          <t>1411/05/24</t>
        </is>
      </c>
    </row>
    <row r="4898">
      <c r="A4898" t="n">
        <v>14110525</v>
      </c>
      <c r="B4898" t="n">
        <v>48441</v>
      </c>
      <c r="C4898" t="inlineStr">
        <is>
          <t>1411/05/25</t>
        </is>
      </c>
    </row>
    <row r="4899">
      <c r="A4899" t="n">
        <v>14110526</v>
      </c>
      <c r="B4899" t="n">
        <v>48442</v>
      </c>
      <c r="C4899" t="inlineStr">
        <is>
          <t>1411/05/26</t>
        </is>
      </c>
    </row>
    <row r="4900">
      <c r="A4900" t="n">
        <v>14110527</v>
      </c>
      <c r="B4900" t="n">
        <v>48443</v>
      </c>
      <c r="C4900" t="inlineStr">
        <is>
          <t>1411/05/27</t>
        </is>
      </c>
    </row>
    <row r="4901">
      <c r="A4901" t="n">
        <v>14110528</v>
      </c>
      <c r="B4901" t="n">
        <v>48444</v>
      </c>
      <c r="C4901" t="inlineStr">
        <is>
          <t>1411/05/28</t>
        </is>
      </c>
    </row>
    <row r="4902">
      <c r="A4902" t="n">
        <v>14110529</v>
      </c>
      <c r="B4902" t="n">
        <v>48445</v>
      </c>
      <c r="C4902" t="inlineStr">
        <is>
          <t>1411/05/29</t>
        </is>
      </c>
    </row>
    <row r="4903">
      <c r="A4903" t="n">
        <v>14110530</v>
      </c>
      <c r="B4903" t="n">
        <v>48446</v>
      </c>
      <c r="C4903" t="inlineStr">
        <is>
          <t>1411/05/30</t>
        </is>
      </c>
    </row>
    <row r="4904">
      <c r="A4904" t="n">
        <v>14110531</v>
      </c>
      <c r="B4904" t="n">
        <v>48447</v>
      </c>
      <c r="C4904" t="inlineStr">
        <is>
          <t>1411/05/31</t>
        </is>
      </c>
    </row>
    <row r="4905">
      <c r="A4905" t="n">
        <v>14110601</v>
      </c>
      <c r="B4905" t="n">
        <v>48448</v>
      </c>
      <c r="C4905" t="inlineStr">
        <is>
          <t>1411/06/01</t>
        </is>
      </c>
    </row>
    <row r="4906">
      <c r="A4906" t="n">
        <v>14110602</v>
      </c>
      <c r="B4906" t="n">
        <v>48449</v>
      </c>
      <c r="C4906" t="inlineStr">
        <is>
          <t>1411/06/02</t>
        </is>
      </c>
    </row>
    <row r="4907">
      <c r="A4907" t="n">
        <v>14110603</v>
      </c>
      <c r="B4907" t="n">
        <v>48450</v>
      </c>
      <c r="C4907" t="inlineStr">
        <is>
          <t>1411/06/03</t>
        </is>
      </c>
    </row>
    <row r="4908">
      <c r="A4908" t="n">
        <v>14110604</v>
      </c>
      <c r="B4908" t="n">
        <v>48451</v>
      </c>
      <c r="C4908" t="inlineStr">
        <is>
          <t>1411/06/04</t>
        </is>
      </c>
    </row>
    <row r="4909">
      <c r="A4909" t="n">
        <v>14110605</v>
      </c>
      <c r="B4909" t="n">
        <v>48452</v>
      </c>
      <c r="C4909" t="inlineStr">
        <is>
          <t>1411/06/05</t>
        </is>
      </c>
    </row>
    <row r="4910">
      <c r="A4910" t="n">
        <v>14110606</v>
      </c>
      <c r="B4910" t="n">
        <v>48453</v>
      </c>
      <c r="C4910" t="inlineStr">
        <is>
          <t>1411/06/06</t>
        </is>
      </c>
    </row>
    <row r="4911">
      <c r="A4911" t="n">
        <v>14110607</v>
      </c>
      <c r="B4911" t="n">
        <v>48454</v>
      </c>
      <c r="C4911" t="inlineStr">
        <is>
          <t>1411/06/07</t>
        </is>
      </c>
    </row>
    <row r="4912">
      <c r="A4912" t="n">
        <v>14110608</v>
      </c>
      <c r="B4912" t="n">
        <v>48455</v>
      </c>
      <c r="C4912" t="inlineStr">
        <is>
          <t>1411/06/08</t>
        </is>
      </c>
    </row>
    <row r="4913">
      <c r="A4913" t="n">
        <v>14110609</v>
      </c>
      <c r="B4913" t="n">
        <v>48456</v>
      </c>
      <c r="C4913" t="inlineStr">
        <is>
          <t>1411/06/09</t>
        </is>
      </c>
    </row>
    <row r="4914">
      <c r="A4914" t="n">
        <v>14110610</v>
      </c>
      <c r="B4914" t="n">
        <v>48457</v>
      </c>
      <c r="C4914" t="inlineStr">
        <is>
          <t>1411/06/10</t>
        </is>
      </c>
    </row>
    <row r="4915">
      <c r="A4915" t="n">
        <v>14110611</v>
      </c>
      <c r="B4915" t="n">
        <v>48458</v>
      </c>
      <c r="C4915" t="inlineStr">
        <is>
          <t>1411/06/11</t>
        </is>
      </c>
    </row>
    <row r="4916">
      <c r="A4916" t="n">
        <v>14110612</v>
      </c>
      <c r="B4916" t="n">
        <v>48459</v>
      </c>
      <c r="C4916" t="inlineStr">
        <is>
          <t>1411/06/12</t>
        </is>
      </c>
    </row>
    <row r="4917">
      <c r="A4917" t="n">
        <v>14110613</v>
      </c>
      <c r="B4917" t="n">
        <v>48460</v>
      </c>
      <c r="C4917" t="inlineStr">
        <is>
          <t>1411/06/13</t>
        </is>
      </c>
    </row>
    <row r="4918">
      <c r="A4918" t="n">
        <v>14110614</v>
      </c>
      <c r="B4918" t="n">
        <v>48461</v>
      </c>
      <c r="C4918" t="inlineStr">
        <is>
          <t>1411/06/14</t>
        </is>
      </c>
    </row>
    <row r="4919">
      <c r="A4919" t="n">
        <v>14110615</v>
      </c>
      <c r="B4919" t="n">
        <v>48462</v>
      </c>
      <c r="C4919" t="inlineStr">
        <is>
          <t>1411/06/15</t>
        </is>
      </c>
    </row>
    <row r="4920">
      <c r="A4920" t="n">
        <v>14110616</v>
      </c>
      <c r="B4920" t="n">
        <v>48463</v>
      </c>
      <c r="C4920" t="inlineStr">
        <is>
          <t>1411/06/16</t>
        </is>
      </c>
    </row>
    <row r="4921">
      <c r="A4921" t="n">
        <v>14110617</v>
      </c>
      <c r="B4921" t="n">
        <v>48464</v>
      </c>
      <c r="C4921" t="inlineStr">
        <is>
          <t>1411/06/17</t>
        </is>
      </c>
    </row>
    <row r="4922">
      <c r="A4922" t="n">
        <v>14110618</v>
      </c>
      <c r="B4922" t="n">
        <v>48465</v>
      </c>
      <c r="C4922" t="inlineStr">
        <is>
          <t>1411/06/18</t>
        </is>
      </c>
    </row>
    <row r="4923">
      <c r="A4923" t="n">
        <v>14110619</v>
      </c>
      <c r="B4923" t="n">
        <v>48466</v>
      </c>
      <c r="C4923" t="inlineStr">
        <is>
          <t>1411/06/19</t>
        </is>
      </c>
    </row>
    <row r="4924">
      <c r="A4924" t="n">
        <v>14110620</v>
      </c>
      <c r="B4924" t="n">
        <v>48467</v>
      </c>
      <c r="C4924" t="inlineStr">
        <is>
          <t>1411/06/20</t>
        </is>
      </c>
    </row>
    <row r="4925">
      <c r="A4925" t="n">
        <v>14110621</v>
      </c>
      <c r="B4925" t="n">
        <v>48468</v>
      </c>
      <c r="C4925" t="inlineStr">
        <is>
          <t>1411/06/21</t>
        </is>
      </c>
    </row>
    <row r="4926">
      <c r="A4926" t="n">
        <v>14110622</v>
      </c>
      <c r="B4926" t="n">
        <v>48469</v>
      </c>
      <c r="C4926" t="inlineStr">
        <is>
          <t>1411/06/22</t>
        </is>
      </c>
    </row>
    <row r="4927">
      <c r="A4927" t="n">
        <v>14110623</v>
      </c>
      <c r="B4927" t="n">
        <v>48470</v>
      </c>
      <c r="C4927" t="inlineStr">
        <is>
          <t>1411/06/23</t>
        </is>
      </c>
    </row>
    <row r="4928">
      <c r="A4928" t="n">
        <v>14110624</v>
      </c>
      <c r="B4928" t="n">
        <v>48471</v>
      </c>
      <c r="C4928" t="inlineStr">
        <is>
          <t>1411/06/24</t>
        </is>
      </c>
    </row>
    <row r="4929">
      <c r="A4929" t="n">
        <v>14110625</v>
      </c>
      <c r="B4929" t="n">
        <v>48472</v>
      </c>
      <c r="C4929" t="inlineStr">
        <is>
          <t>1411/06/25</t>
        </is>
      </c>
    </row>
    <row r="4930">
      <c r="A4930" t="n">
        <v>14110626</v>
      </c>
      <c r="B4930" t="n">
        <v>48473</v>
      </c>
      <c r="C4930" t="inlineStr">
        <is>
          <t>1411/06/26</t>
        </is>
      </c>
    </row>
    <row r="4931">
      <c r="A4931" t="n">
        <v>14110627</v>
      </c>
      <c r="B4931" t="n">
        <v>48474</v>
      </c>
      <c r="C4931" t="inlineStr">
        <is>
          <t>1411/06/27</t>
        </is>
      </c>
    </row>
    <row r="4932">
      <c r="A4932" t="n">
        <v>14110628</v>
      </c>
      <c r="B4932" t="n">
        <v>48475</v>
      </c>
      <c r="C4932" t="inlineStr">
        <is>
          <t>1411/06/28</t>
        </is>
      </c>
    </row>
    <row r="4933">
      <c r="A4933" t="n">
        <v>14110629</v>
      </c>
      <c r="B4933" t="n">
        <v>48476</v>
      </c>
      <c r="C4933" t="inlineStr">
        <is>
          <t>1411/06/29</t>
        </is>
      </c>
    </row>
    <row r="4934">
      <c r="A4934" t="n">
        <v>14110630</v>
      </c>
      <c r="B4934" t="n">
        <v>48477</v>
      </c>
      <c r="C4934" t="inlineStr">
        <is>
          <t>1411/06/30</t>
        </is>
      </c>
    </row>
    <row r="4935">
      <c r="A4935" t="n">
        <v>14110631</v>
      </c>
      <c r="B4935" t="n">
        <v>48478</v>
      </c>
      <c r="C4935" t="inlineStr">
        <is>
          <t>1411/06/31</t>
        </is>
      </c>
    </row>
    <row r="4936">
      <c r="A4936" t="n">
        <v>14110701</v>
      </c>
      <c r="B4936" t="n">
        <v>48479</v>
      </c>
      <c r="C4936" t="inlineStr">
        <is>
          <t>1411/07/01</t>
        </is>
      </c>
    </row>
    <row r="4937">
      <c r="A4937" t="n">
        <v>14110702</v>
      </c>
      <c r="B4937" t="n">
        <v>48480</v>
      </c>
      <c r="C4937" t="inlineStr">
        <is>
          <t>1411/07/02</t>
        </is>
      </c>
    </row>
    <row r="4938">
      <c r="A4938" t="n">
        <v>14110703</v>
      </c>
      <c r="B4938" t="n">
        <v>48481</v>
      </c>
      <c r="C4938" t="inlineStr">
        <is>
          <t>1411/07/03</t>
        </is>
      </c>
    </row>
    <row r="4939">
      <c r="A4939" t="n">
        <v>14110704</v>
      </c>
      <c r="B4939" t="n">
        <v>48482</v>
      </c>
      <c r="C4939" t="inlineStr">
        <is>
          <t>1411/07/04</t>
        </is>
      </c>
    </row>
    <row r="4940">
      <c r="A4940" t="n">
        <v>14110705</v>
      </c>
      <c r="B4940" t="n">
        <v>48483</v>
      </c>
      <c r="C4940" t="inlineStr">
        <is>
          <t>1411/07/05</t>
        </is>
      </c>
    </row>
    <row r="4941">
      <c r="A4941" t="n">
        <v>14110706</v>
      </c>
      <c r="B4941" t="n">
        <v>48484</v>
      </c>
      <c r="C4941" t="inlineStr">
        <is>
          <t>1411/07/06</t>
        </is>
      </c>
    </row>
    <row r="4942">
      <c r="A4942" t="n">
        <v>14110707</v>
      </c>
      <c r="B4942" t="n">
        <v>48485</v>
      </c>
      <c r="C4942" t="inlineStr">
        <is>
          <t>1411/07/07</t>
        </is>
      </c>
    </row>
    <row r="4943">
      <c r="A4943" t="n">
        <v>14110708</v>
      </c>
      <c r="B4943" t="n">
        <v>48486</v>
      </c>
      <c r="C4943" t="inlineStr">
        <is>
          <t>1411/07/08</t>
        </is>
      </c>
    </row>
    <row r="4944">
      <c r="A4944" t="n">
        <v>14110709</v>
      </c>
      <c r="B4944" t="n">
        <v>48487</v>
      </c>
      <c r="C4944" t="inlineStr">
        <is>
          <t>1411/07/09</t>
        </is>
      </c>
    </row>
    <row r="4945">
      <c r="A4945" t="n">
        <v>14110710</v>
      </c>
      <c r="B4945" t="n">
        <v>48488</v>
      </c>
      <c r="C4945" t="inlineStr">
        <is>
          <t>1411/07/10</t>
        </is>
      </c>
    </row>
    <row r="4946">
      <c r="A4946" t="n">
        <v>14110711</v>
      </c>
      <c r="B4946" t="n">
        <v>48489</v>
      </c>
      <c r="C4946" t="inlineStr">
        <is>
          <t>1411/07/11</t>
        </is>
      </c>
    </row>
    <row r="4947">
      <c r="A4947" t="n">
        <v>14110712</v>
      </c>
      <c r="B4947" t="n">
        <v>48490</v>
      </c>
      <c r="C4947" t="inlineStr">
        <is>
          <t>1411/07/12</t>
        </is>
      </c>
    </row>
    <row r="4948">
      <c r="A4948" t="n">
        <v>14110713</v>
      </c>
      <c r="B4948" t="n">
        <v>48491</v>
      </c>
      <c r="C4948" t="inlineStr">
        <is>
          <t>1411/07/13</t>
        </is>
      </c>
    </row>
    <row r="4949">
      <c r="A4949" t="n">
        <v>14110714</v>
      </c>
      <c r="B4949" t="n">
        <v>48492</v>
      </c>
      <c r="C4949" t="inlineStr">
        <is>
          <t>1411/07/14</t>
        </is>
      </c>
    </row>
    <row r="4950">
      <c r="A4950" t="n">
        <v>14110715</v>
      </c>
      <c r="B4950" t="n">
        <v>48493</v>
      </c>
      <c r="C4950" t="inlineStr">
        <is>
          <t>1411/07/15</t>
        </is>
      </c>
    </row>
    <row r="4951">
      <c r="A4951" t="n">
        <v>14110716</v>
      </c>
      <c r="B4951" t="n">
        <v>48494</v>
      </c>
      <c r="C4951" t="inlineStr">
        <is>
          <t>1411/07/16</t>
        </is>
      </c>
    </row>
    <row r="4952">
      <c r="A4952" t="n">
        <v>14110717</v>
      </c>
      <c r="B4952" t="n">
        <v>48495</v>
      </c>
      <c r="C4952" t="inlineStr">
        <is>
          <t>1411/07/17</t>
        </is>
      </c>
    </row>
    <row r="4953">
      <c r="A4953" t="n">
        <v>14110718</v>
      </c>
      <c r="B4953" t="n">
        <v>48496</v>
      </c>
      <c r="C4953" t="inlineStr">
        <is>
          <t>1411/07/18</t>
        </is>
      </c>
    </row>
    <row r="4954">
      <c r="A4954" t="n">
        <v>14110719</v>
      </c>
      <c r="B4954" t="n">
        <v>48497</v>
      </c>
      <c r="C4954" t="inlineStr">
        <is>
          <t>1411/07/19</t>
        </is>
      </c>
    </row>
    <row r="4955">
      <c r="A4955" t="n">
        <v>14110720</v>
      </c>
      <c r="B4955" t="n">
        <v>48498</v>
      </c>
      <c r="C4955" t="inlineStr">
        <is>
          <t>1411/07/20</t>
        </is>
      </c>
    </row>
    <row r="4956">
      <c r="A4956" t="n">
        <v>14110721</v>
      </c>
      <c r="B4956" t="n">
        <v>48499</v>
      </c>
      <c r="C4956" t="inlineStr">
        <is>
          <t>1411/07/21</t>
        </is>
      </c>
    </row>
    <row r="4957">
      <c r="A4957" t="n">
        <v>14110722</v>
      </c>
      <c r="B4957" t="n">
        <v>48500</v>
      </c>
      <c r="C4957" t="inlineStr">
        <is>
          <t>1411/07/22</t>
        </is>
      </c>
    </row>
    <row r="4958">
      <c r="A4958" t="n">
        <v>14110723</v>
      </c>
      <c r="B4958" t="n">
        <v>48501</v>
      </c>
      <c r="C4958" t="inlineStr">
        <is>
          <t>1411/07/23</t>
        </is>
      </c>
    </row>
    <row r="4959">
      <c r="A4959" t="n">
        <v>14110724</v>
      </c>
      <c r="B4959" t="n">
        <v>48502</v>
      </c>
      <c r="C4959" t="inlineStr">
        <is>
          <t>1411/07/24</t>
        </is>
      </c>
    </row>
    <row r="4960">
      <c r="A4960" t="n">
        <v>14110725</v>
      </c>
      <c r="B4960" t="n">
        <v>48503</v>
      </c>
      <c r="C4960" t="inlineStr">
        <is>
          <t>1411/07/25</t>
        </is>
      </c>
    </row>
    <row r="4961">
      <c r="A4961" t="n">
        <v>14110726</v>
      </c>
      <c r="B4961" t="n">
        <v>48504</v>
      </c>
      <c r="C4961" t="inlineStr">
        <is>
          <t>1411/07/26</t>
        </is>
      </c>
    </row>
    <row r="4962">
      <c r="A4962" t="n">
        <v>14110727</v>
      </c>
      <c r="B4962" t="n">
        <v>48505</v>
      </c>
      <c r="C4962" t="inlineStr">
        <is>
          <t>1411/07/27</t>
        </is>
      </c>
    </row>
    <row r="4963">
      <c r="A4963" t="n">
        <v>14110728</v>
      </c>
      <c r="B4963" t="n">
        <v>48506</v>
      </c>
      <c r="C4963" t="inlineStr">
        <is>
          <t>1411/07/28</t>
        </is>
      </c>
    </row>
    <row r="4964">
      <c r="A4964" t="n">
        <v>14110729</v>
      </c>
      <c r="B4964" t="n">
        <v>48507</v>
      </c>
      <c r="C4964" t="inlineStr">
        <is>
          <t>1411/07/29</t>
        </is>
      </c>
    </row>
    <row r="4965">
      <c r="A4965" t="n">
        <v>14110730</v>
      </c>
      <c r="B4965" t="n">
        <v>48508</v>
      </c>
      <c r="C4965" t="inlineStr">
        <is>
          <t>1411/07/30</t>
        </is>
      </c>
    </row>
    <row r="4966">
      <c r="A4966" t="n">
        <v>14110801</v>
      </c>
      <c r="B4966" t="n">
        <v>48509</v>
      </c>
      <c r="C4966" t="inlineStr">
        <is>
          <t>1411/08/01</t>
        </is>
      </c>
    </row>
    <row r="4967">
      <c r="A4967" t="n">
        <v>14110802</v>
      </c>
      <c r="B4967" t="n">
        <v>48510</v>
      </c>
      <c r="C4967" t="inlineStr">
        <is>
          <t>1411/08/02</t>
        </is>
      </c>
    </row>
    <row r="4968">
      <c r="A4968" t="n">
        <v>14110803</v>
      </c>
      <c r="B4968" t="n">
        <v>48511</v>
      </c>
      <c r="C4968" t="inlineStr">
        <is>
          <t>1411/08/03</t>
        </is>
      </c>
    </row>
    <row r="4969">
      <c r="A4969" t="n">
        <v>14110804</v>
      </c>
      <c r="B4969" t="n">
        <v>48512</v>
      </c>
      <c r="C4969" t="inlineStr">
        <is>
          <t>1411/08/04</t>
        </is>
      </c>
    </row>
    <row r="4970">
      <c r="A4970" t="n">
        <v>14110805</v>
      </c>
      <c r="B4970" t="n">
        <v>48513</v>
      </c>
      <c r="C4970" t="inlineStr">
        <is>
          <t>1411/08/05</t>
        </is>
      </c>
    </row>
    <row r="4971">
      <c r="A4971" t="n">
        <v>14110806</v>
      </c>
      <c r="B4971" t="n">
        <v>48514</v>
      </c>
      <c r="C4971" t="inlineStr">
        <is>
          <t>1411/08/06</t>
        </is>
      </c>
    </row>
    <row r="4972">
      <c r="A4972" t="n">
        <v>14110807</v>
      </c>
      <c r="B4972" t="n">
        <v>48515</v>
      </c>
      <c r="C4972" t="inlineStr">
        <is>
          <t>1411/08/07</t>
        </is>
      </c>
    </row>
    <row r="4973">
      <c r="A4973" t="n">
        <v>14110808</v>
      </c>
      <c r="B4973" t="n">
        <v>48516</v>
      </c>
      <c r="C4973" t="inlineStr">
        <is>
          <t>1411/08/08</t>
        </is>
      </c>
    </row>
    <row r="4974">
      <c r="A4974" t="n">
        <v>14110809</v>
      </c>
      <c r="B4974" t="n">
        <v>48517</v>
      </c>
      <c r="C4974" t="inlineStr">
        <is>
          <t>1411/08/09</t>
        </is>
      </c>
    </row>
    <row r="4975">
      <c r="A4975" t="n">
        <v>14110810</v>
      </c>
      <c r="B4975" t="n">
        <v>48518</v>
      </c>
      <c r="C4975" t="inlineStr">
        <is>
          <t>1411/08/10</t>
        </is>
      </c>
    </row>
    <row r="4976">
      <c r="A4976" t="n">
        <v>14110811</v>
      </c>
      <c r="B4976" t="n">
        <v>48519</v>
      </c>
      <c r="C4976" t="inlineStr">
        <is>
          <t>1411/08/11</t>
        </is>
      </c>
    </row>
    <row r="4977">
      <c r="A4977" t="n">
        <v>14110812</v>
      </c>
      <c r="B4977" t="n">
        <v>48520</v>
      </c>
      <c r="C4977" t="inlineStr">
        <is>
          <t>1411/08/12</t>
        </is>
      </c>
    </row>
    <row r="4978">
      <c r="A4978" t="n">
        <v>14110813</v>
      </c>
      <c r="B4978" t="n">
        <v>48521</v>
      </c>
      <c r="C4978" t="inlineStr">
        <is>
          <t>1411/08/13</t>
        </is>
      </c>
    </row>
    <row r="4979">
      <c r="A4979" t="n">
        <v>14110814</v>
      </c>
      <c r="B4979" t="n">
        <v>48522</v>
      </c>
      <c r="C4979" t="inlineStr">
        <is>
          <t>1411/08/14</t>
        </is>
      </c>
    </row>
    <row r="4980">
      <c r="A4980" t="n">
        <v>14110815</v>
      </c>
      <c r="B4980" t="n">
        <v>48523</v>
      </c>
      <c r="C4980" t="inlineStr">
        <is>
          <t>1411/08/15</t>
        </is>
      </c>
    </row>
    <row r="4981">
      <c r="A4981" t="n">
        <v>14110816</v>
      </c>
      <c r="B4981" t="n">
        <v>48524</v>
      </c>
      <c r="C4981" t="inlineStr">
        <is>
          <t>1411/08/16</t>
        </is>
      </c>
    </row>
    <row r="4982">
      <c r="A4982" t="n">
        <v>14110817</v>
      </c>
      <c r="B4982" t="n">
        <v>48525</v>
      </c>
      <c r="C4982" t="inlineStr">
        <is>
          <t>1411/08/17</t>
        </is>
      </c>
    </row>
    <row r="4983">
      <c r="A4983" t="n">
        <v>14110818</v>
      </c>
      <c r="B4983" t="n">
        <v>48526</v>
      </c>
      <c r="C4983" t="inlineStr">
        <is>
          <t>1411/08/18</t>
        </is>
      </c>
    </row>
    <row r="4984">
      <c r="A4984" t="n">
        <v>14110819</v>
      </c>
      <c r="B4984" t="n">
        <v>48527</v>
      </c>
      <c r="C4984" t="inlineStr">
        <is>
          <t>1411/08/19</t>
        </is>
      </c>
    </row>
    <row r="4985">
      <c r="A4985" t="n">
        <v>14110820</v>
      </c>
      <c r="B4985" t="n">
        <v>48528</v>
      </c>
      <c r="C4985" t="inlineStr">
        <is>
          <t>1411/08/20</t>
        </is>
      </c>
    </row>
    <row r="4986">
      <c r="A4986" t="n">
        <v>14110821</v>
      </c>
      <c r="B4986" t="n">
        <v>48529</v>
      </c>
      <c r="C4986" t="inlineStr">
        <is>
          <t>1411/08/21</t>
        </is>
      </c>
    </row>
    <row r="4987">
      <c r="A4987" t="n">
        <v>14110822</v>
      </c>
      <c r="B4987" t="n">
        <v>48530</v>
      </c>
      <c r="C4987" t="inlineStr">
        <is>
          <t>1411/08/22</t>
        </is>
      </c>
    </row>
    <row r="4988">
      <c r="A4988" t="n">
        <v>14110823</v>
      </c>
      <c r="B4988" t="n">
        <v>48531</v>
      </c>
      <c r="C4988" t="inlineStr">
        <is>
          <t>1411/08/23</t>
        </is>
      </c>
    </row>
    <row r="4989">
      <c r="A4989" t="n">
        <v>14110824</v>
      </c>
      <c r="B4989" t="n">
        <v>48532</v>
      </c>
      <c r="C4989" t="inlineStr">
        <is>
          <t>1411/08/24</t>
        </is>
      </c>
    </row>
    <row r="4990">
      <c r="A4990" t="n">
        <v>14110825</v>
      </c>
      <c r="B4990" t="n">
        <v>48533</v>
      </c>
      <c r="C4990" t="inlineStr">
        <is>
          <t>1411/08/25</t>
        </is>
      </c>
    </row>
    <row r="4991">
      <c r="A4991" t="n">
        <v>14110826</v>
      </c>
      <c r="B4991" t="n">
        <v>48534</v>
      </c>
      <c r="C4991" t="inlineStr">
        <is>
          <t>1411/08/26</t>
        </is>
      </c>
    </row>
    <row r="4992">
      <c r="A4992" t="n">
        <v>14110827</v>
      </c>
      <c r="B4992" t="n">
        <v>48535</v>
      </c>
      <c r="C4992" t="inlineStr">
        <is>
          <t>1411/08/27</t>
        </is>
      </c>
    </row>
    <row r="4993">
      <c r="A4993" t="n">
        <v>14110828</v>
      </c>
      <c r="B4993" t="n">
        <v>48536</v>
      </c>
      <c r="C4993" t="inlineStr">
        <is>
          <t>1411/08/28</t>
        </is>
      </c>
    </row>
    <row r="4994">
      <c r="A4994" t="n">
        <v>14110829</v>
      </c>
      <c r="B4994" t="n">
        <v>48537</v>
      </c>
      <c r="C4994" t="inlineStr">
        <is>
          <t>1411/08/29</t>
        </is>
      </c>
    </row>
    <row r="4995">
      <c r="A4995" t="n">
        <v>14110830</v>
      </c>
      <c r="B4995" t="n">
        <v>48538</v>
      </c>
      <c r="C4995" t="inlineStr">
        <is>
          <t>1411/08/30</t>
        </is>
      </c>
    </row>
    <row r="4996">
      <c r="A4996" t="n">
        <v>14110901</v>
      </c>
      <c r="B4996" t="n">
        <v>48539</v>
      </c>
      <c r="C4996" t="inlineStr">
        <is>
          <t>1411/09/01</t>
        </is>
      </c>
    </row>
    <row r="4997">
      <c r="A4997" t="n">
        <v>14110902</v>
      </c>
      <c r="B4997" t="n">
        <v>48540</v>
      </c>
      <c r="C4997" t="inlineStr">
        <is>
          <t>1411/09/02</t>
        </is>
      </c>
    </row>
    <row r="4998">
      <c r="A4998" t="n">
        <v>14110903</v>
      </c>
      <c r="B4998" t="n">
        <v>48541</v>
      </c>
      <c r="C4998" t="inlineStr">
        <is>
          <t>1411/09/03</t>
        </is>
      </c>
    </row>
    <row r="4999">
      <c r="A4999" t="n">
        <v>14110904</v>
      </c>
      <c r="B4999" t="n">
        <v>48542</v>
      </c>
      <c r="C4999" t="inlineStr">
        <is>
          <t>1411/09/04</t>
        </is>
      </c>
    </row>
    <row r="5000">
      <c r="A5000" t="n">
        <v>14110905</v>
      </c>
      <c r="B5000" t="n">
        <v>48543</v>
      </c>
      <c r="C5000" t="inlineStr">
        <is>
          <t>1411/09/05</t>
        </is>
      </c>
    </row>
    <row r="5001">
      <c r="A5001" t="n">
        <v>14110906</v>
      </c>
      <c r="B5001" t="n">
        <v>48544</v>
      </c>
      <c r="C5001" t="inlineStr">
        <is>
          <t>1411/09/06</t>
        </is>
      </c>
    </row>
    <row r="5002">
      <c r="A5002" t="n">
        <v>14110907</v>
      </c>
      <c r="B5002" t="n">
        <v>48545</v>
      </c>
      <c r="C5002" t="inlineStr">
        <is>
          <t>1411/09/07</t>
        </is>
      </c>
    </row>
    <row r="5003">
      <c r="A5003" t="n">
        <v>14110908</v>
      </c>
      <c r="B5003" t="n">
        <v>48546</v>
      </c>
      <c r="C5003" t="inlineStr">
        <is>
          <t>1411/09/08</t>
        </is>
      </c>
    </row>
    <row r="5004">
      <c r="A5004" t="n">
        <v>14110909</v>
      </c>
      <c r="B5004" t="n">
        <v>48547</v>
      </c>
      <c r="C5004" t="inlineStr">
        <is>
          <t>1411/09/09</t>
        </is>
      </c>
    </row>
    <row r="5005">
      <c r="A5005" t="n">
        <v>14110910</v>
      </c>
      <c r="B5005" t="n">
        <v>48548</v>
      </c>
      <c r="C5005" t="inlineStr">
        <is>
          <t>1411/09/10</t>
        </is>
      </c>
    </row>
    <row r="5006">
      <c r="A5006" t="n">
        <v>14110911</v>
      </c>
      <c r="B5006" t="n">
        <v>48549</v>
      </c>
      <c r="C5006" t="inlineStr">
        <is>
          <t>1411/09/11</t>
        </is>
      </c>
    </row>
    <row r="5007">
      <c r="A5007" t="n">
        <v>14110912</v>
      </c>
      <c r="B5007" t="n">
        <v>48550</v>
      </c>
      <c r="C5007" t="inlineStr">
        <is>
          <t>1411/09/12</t>
        </is>
      </c>
    </row>
    <row r="5008">
      <c r="A5008" t="n">
        <v>14110913</v>
      </c>
      <c r="B5008" t="n">
        <v>48551</v>
      </c>
      <c r="C5008" t="inlineStr">
        <is>
          <t>1411/09/13</t>
        </is>
      </c>
    </row>
    <row r="5009">
      <c r="A5009" t="n">
        <v>14110914</v>
      </c>
      <c r="B5009" t="n">
        <v>48552</v>
      </c>
      <c r="C5009" t="inlineStr">
        <is>
          <t>1411/09/14</t>
        </is>
      </c>
    </row>
    <row r="5010">
      <c r="A5010" t="n">
        <v>14110915</v>
      </c>
      <c r="B5010" t="n">
        <v>48553</v>
      </c>
      <c r="C5010" t="inlineStr">
        <is>
          <t>1411/09/15</t>
        </is>
      </c>
    </row>
    <row r="5011">
      <c r="A5011" t="n">
        <v>14110916</v>
      </c>
      <c r="B5011" t="n">
        <v>48554</v>
      </c>
      <c r="C5011" t="inlineStr">
        <is>
          <t>1411/09/16</t>
        </is>
      </c>
    </row>
    <row r="5012">
      <c r="A5012" t="n">
        <v>14110917</v>
      </c>
      <c r="B5012" t="n">
        <v>48555</v>
      </c>
      <c r="C5012" t="inlineStr">
        <is>
          <t>1411/09/17</t>
        </is>
      </c>
    </row>
    <row r="5013">
      <c r="A5013" t="n">
        <v>14110918</v>
      </c>
      <c r="B5013" t="n">
        <v>48556</v>
      </c>
      <c r="C5013" t="inlineStr">
        <is>
          <t>1411/09/18</t>
        </is>
      </c>
    </row>
    <row r="5014">
      <c r="A5014" t="n">
        <v>14110919</v>
      </c>
      <c r="B5014" t="n">
        <v>48557</v>
      </c>
      <c r="C5014" t="inlineStr">
        <is>
          <t>1411/09/19</t>
        </is>
      </c>
    </row>
    <row r="5015">
      <c r="A5015" t="n">
        <v>14110920</v>
      </c>
      <c r="B5015" t="n">
        <v>48558</v>
      </c>
      <c r="C5015" t="inlineStr">
        <is>
          <t>1411/09/20</t>
        </is>
      </c>
    </row>
    <row r="5016">
      <c r="A5016" t="n">
        <v>14110921</v>
      </c>
      <c r="B5016" t="n">
        <v>48559</v>
      </c>
      <c r="C5016" t="inlineStr">
        <is>
          <t>1411/09/21</t>
        </is>
      </c>
    </row>
    <row r="5017">
      <c r="A5017" t="n">
        <v>14110922</v>
      </c>
      <c r="B5017" t="n">
        <v>48560</v>
      </c>
      <c r="C5017" t="inlineStr">
        <is>
          <t>1411/09/22</t>
        </is>
      </c>
    </row>
    <row r="5018">
      <c r="A5018" t="n">
        <v>14110923</v>
      </c>
      <c r="B5018" t="n">
        <v>48561</v>
      </c>
      <c r="C5018" t="inlineStr">
        <is>
          <t>1411/09/23</t>
        </is>
      </c>
    </row>
    <row r="5019">
      <c r="A5019" t="n">
        <v>14110924</v>
      </c>
      <c r="B5019" t="n">
        <v>48562</v>
      </c>
      <c r="C5019" t="inlineStr">
        <is>
          <t>1411/09/24</t>
        </is>
      </c>
    </row>
    <row r="5020">
      <c r="A5020" t="n">
        <v>14110925</v>
      </c>
      <c r="B5020" t="n">
        <v>48563</v>
      </c>
      <c r="C5020" t="inlineStr">
        <is>
          <t>1411/09/25</t>
        </is>
      </c>
    </row>
    <row r="5021">
      <c r="A5021" t="n">
        <v>14110926</v>
      </c>
      <c r="B5021" t="n">
        <v>48564</v>
      </c>
      <c r="C5021" t="inlineStr">
        <is>
          <t>1411/09/26</t>
        </is>
      </c>
    </row>
    <row r="5022">
      <c r="A5022" t="n">
        <v>14110927</v>
      </c>
      <c r="B5022" t="n">
        <v>48565</v>
      </c>
      <c r="C5022" t="inlineStr">
        <is>
          <t>1411/09/27</t>
        </is>
      </c>
    </row>
    <row r="5023">
      <c r="A5023" t="n">
        <v>14110928</v>
      </c>
      <c r="B5023" t="n">
        <v>48566</v>
      </c>
      <c r="C5023" t="inlineStr">
        <is>
          <t>1411/09/28</t>
        </is>
      </c>
    </row>
    <row r="5024">
      <c r="A5024" t="n">
        <v>14110929</v>
      </c>
      <c r="B5024" t="n">
        <v>48567</v>
      </c>
      <c r="C5024" t="inlineStr">
        <is>
          <t>1411/09/29</t>
        </is>
      </c>
    </row>
    <row r="5025">
      <c r="A5025" t="n">
        <v>14110930</v>
      </c>
      <c r="B5025" t="n">
        <v>48568</v>
      </c>
      <c r="C5025" t="inlineStr">
        <is>
          <t>1411/09/30</t>
        </is>
      </c>
    </row>
    <row r="5026">
      <c r="A5026" t="n">
        <v>14111001</v>
      </c>
      <c r="B5026" t="n">
        <v>48569</v>
      </c>
      <c r="C5026" t="inlineStr">
        <is>
          <t>1411/10/01</t>
        </is>
      </c>
    </row>
    <row r="5027">
      <c r="A5027" t="n">
        <v>14111002</v>
      </c>
      <c r="B5027" t="n">
        <v>48570</v>
      </c>
      <c r="C5027" t="inlineStr">
        <is>
          <t>1411/10/02</t>
        </is>
      </c>
    </row>
    <row r="5028">
      <c r="A5028" t="n">
        <v>14111003</v>
      </c>
      <c r="B5028" t="n">
        <v>48571</v>
      </c>
      <c r="C5028" t="inlineStr">
        <is>
          <t>1411/10/03</t>
        </is>
      </c>
    </row>
    <row r="5029">
      <c r="A5029" t="n">
        <v>14111004</v>
      </c>
      <c r="B5029" t="n">
        <v>48572</v>
      </c>
      <c r="C5029" t="inlineStr">
        <is>
          <t>1411/10/04</t>
        </is>
      </c>
    </row>
    <row r="5030">
      <c r="A5030" t="n">
        <v>14111005</v>
      </c>
      <c r="B5030" t="n">
        <v>48573</v>
      </c>
      <c r="C5030" t="inlineStr">
        <is>
          <t>1411/10/05</t>
        </is>
      </c>
    </row>
    <row r="5031">
      <c r="A5031" t="n">
        <v>14111006</v>
      </c>
      <c r="B5031" t="n">
        <v>48574</v>
      </c>
      <c r="C5031" t="inlineStr">
        <is>
          <t>1411/10/06</t>
        </is>
      </c>
    </row>
    <row r="5032">
      <c r="A5032" t="n">
        <v>14111007</v>
      </c>
      <c r="B5032" t="n">
        <v>48575</v>
      </c>
      <c r="C5032" t="inlineStr">
        <is>
          <t>1411/10/07</t>
        </is>
      </c>
    </row>
    <row r="5033">
      <c r="A5033" t="n">
        <v>14111008</v>
      </c>
      <c r="B5033" t="n">
        <v>48576</v>
      </c>
      <c r="C5033" t="inlineStr">
        <is>
          <t>1411/10/08</t>
        </is>
      </c>
    </row>
    <row r="5034">
      <c r="A5034" t="n">
        <v>14111009</v>
      </c>
      <c r="B5034" t="n">
        <v>48577</v>
      </c>
      <c r="C5034" t="inlineStr">
        <is>
          <t>1411/10/09</t>
        </is>
      </c>
    </row>
    <row r="5035">
      <c r="A5035" t="n">
        <v>14111010</v>
      </c>
      <c r="B5035" t="n">
        <v>48578</v>
      </c>
      <c r="C5035" t="inlineStr">
        <is>
          <t>1411/10/10</t>
        </is>
      </c>
    </row>
    <row r="5036">
      <c r="A5036" t="n">
        <v>14111011</v>
      </c>
      <c r="B5036" t="n">
        <v>48579</v>
      </c>
      <c r="C5036" t="inlineStr">
        <is>
          <t>1411/10/11</t>
        </is>
      </c>
    </row>
    <row r="5037">
      <c r="A5037" t="n">
        <v>14111012</v>
      </c>
      <c r="B5037" t="n">
        <v>48580</v>
      </c>
      <c r="C5037" t="inlineStr">
        <is>
          <t>1411/10/12</t>
        </is>
      </c>
    </row>
    <row r="5038">
      <c r="A5038" t="n">
        <v>14111013</v>
      </c>
      <c r="B5038" t="n">
        <v>48581</v>
      </c>
      <c r="C5038" t="inlineStr">
        <is>
          <t>1411/10/13</t>
        </is>
      </c>
    </row>
    <row r="5039">
      <c r="A5039" t="n">
        <v>14111014</v>
      </c>
      <c r="B5039" t="n">
        <v>48582</v>
      </c>
      <c r="C5039" t="inlineStr">
        <is>
          <t>1411/10/14</t>
        </is>
      </c>
    </row>
    <row r="5040">
      <c r="A5040" t="n">
        <v>14111015</v>
      </c>
      <c r="B5040" t="n">
        <v>48583</v>
      </c>
      <c r="C5040" t="inlineStr">
        <is>
          <t>1411/10/15</t>
        </is>
      </c>
    </row>
    <row r="5041">
      <c r="A5041" t="n">
        <v>14111016</v>
      </c>
      <c r="B5041" t="n">
        <v>48584</v>
      </c>
      <c r="C5041" t="inlineStr">
        <is>
          <t>1411/10/16</t>
        </is>
      </c>
    </row>
    <row r="5042">
      <c r="A5042" t="n">
        <v>14111017</v>
      </c>
      <c r="B5042" t="n">
        <v>48585</v>
      </c>
      <c r="C5042" t="inlineStr">
        <is>
          <t>1411/10/17</t>
        </is>
      </c>
    </row>
    <row r="5043">
      <c r="A5043" t="n">
        <v>14111018</v>
      </c>
      <c r="B5043" t="n">
        <v>48586</v>
      </c>
      <c r="C5043" t="inlineStr">
        <is>
          <t>1411/10/18</t>
        </is>
      </c>
    </row>
    <row r="5044">
      <c r="A5044" t="n">
        <v>14111019</v>
      </c>
      <c r="B5044" t="n">
        <v>48587</v>
      </c>
      <c r="C5044" t="inlineStr">
        <is>
          <t>1411/10/19</t>
        </is>
      </c>
    </row>
    <row r="5045">
      <c r="A5045" t="n">
        <v>14111020</v>
      </c>
      <c r="B5045" t="n">
        <v>48588</v>
      </c>
      <c r="C5045" t="inlineStr">
        <is>
          <t>1411/10/20</t>
        </is>
      </c>
    </row>
    <row r="5046">
      <c r="A5046" t="n">
        <v>14111021</v>
      </c>
      <c r="B5046" t="n">
        <v>48589</v>
      </c>
      <c r="C5046" t="inlineStr">
        <is>
          <t>1411/10/21</t>
        </is>
      </c>
    </row>
    <row r="5047">
      <c r="A5047" t="n">
        <v>14111022</v>
      </c>
      <c r="B5047" t="n">
        <v>48590</v>
      </c>
      <c r="C5047" t="inlineStr">
        <is>
          <t>1411/10/22</t>
        </is>
      </c>
    </row>
    <row r="5048">
      <c r="A5048" t="n">
        <v>14111023</v>
      </c>
      <c r="B5048" t="n">
        <v>48591</v>
      </c>
      <c r="C5048" t="inlineStr">
        <is>
          <t>1411/10/23</t>
        </is>
      </c>
    </row>
    <row r="5049">
      <c r="A5049" t="n">
        <v>14111024</v>
      </c>
      <c r="B5049" t="n">
        <v>48592</v>
      </c>
      <c r="C5049" t="inlineStr">
        <is>
          <t>1411/10/24</t>
        </is>
      </c>
    </row>
    <row r="5050">
      <c r="A5050" t="n">
        <v>14111025</v>
      </c>
      <c r="B5050" t="n">
        <v>48593</v>
      </c>
      <c r="C5050" t="inlineStr">
        <is>
          <t>1411/10/25</t>
        </is>
      </c>
    </row>
    <row r="5051">
      <c r="A5051" t="n">
        <v>14111026</v>
      </c>
      <c r="B5051" t="n">
        <v>48594</v>
      </c>
      <c r="C5051" t="inlineStr">
        <is>
          <t>1411/10/26</t>
        </is>
      </c>
    </row>
    <row r="5052">
      <c r="A5052" t="n">
        <v>14111027</v>
      </c>
      <c r="B5052" t="n">
        <v>48595</v>
      </c>
      <c r="C5052" t="inlineStr">
        <is>
          <t>1411/10/27</t>
        </is>
      </c>
    </row>
    <row r="5053">
      <c r="A5053" t="n">
        <v>14111028</v>
      </c>
      <c r="B5053" t="n">
        <v>48596</v>
      </c>
      <c r="C5053" t="inlineStr">
        <is>
          <t>1411/10/28</t>
        </is>
      </c>
    </row>
    <row r="5054">
      <c r="A5054" t="n">
        <v>14111029</v>
      </c>
      <c r="B5054" t="n">
        <v>48597</v>
      </c>
      <c r="C5054" t="inlineStr">
        <is>
          <t>1411/10/29</t>
        </is>
      </c>
    </row>
    <row r="5055">
      <c r="A5055" t="n">
        <v>14111030</v>
      </c>
      <c r="B5055" t="n">
        <v>48598</v>
      </c>
      <c r="C5055" t="inlineStr">
        <is>
          <t>1411/10/30</t>
        </is>
      </c>
    </row>
    <row r="5056">
      <c r="A5056" t="n">
        <v>14111101</v>
      </c>
      <c r="B5056" t="n">
        <v>48599</v>
      </c>
      <c r="C5056" t="inlineStr">
        <is>
          <t>1411/11/01</t>
        </is>
      </c>
    </row>
    <row r="5057">
      <c r="A5057" t="n">
        <v>14111102</v>
      </c>
      <c r="B5057" t="n">
        <v>48600</v>
      </c>
      <c r="C5057" t="inlineStr">
        <is>
          <t>1411/11/02</t>
        </is>
      </c>
    </row>
    <row r="5058">
      <c r="A5058" t="n">
        <v>14111103</v>
      </c>
      <c r="B5058" t="n">
        <v>48601</v>
      </c>
      <c r="C5058" t="inlineStr">
        <is>
          <t>1411/11/03</t>
        </is>
      </c>
    </row>
    <row r="5059">
      <c r="A5059" t="n">
        <v>14111104</v>
      </c>
      <c r="B5059" t="n">
        <v>48602</v>
      </c>
      <c r="C5059" t="inlineStr">
        <is>
          <t>1411/11/04</t>
        </is>
      </c>
    </row>
    <row r="5060">
      <c r="A5060" t="n">
        <v>14111105</v>
      </c>
      <c r="B5060" t="n">
        <v>48603</v>
      </c>
      <c r="C5060" t="inlineStr">
        <is>
          <t>1411/11/05</t>
        </is>
      </c>
    </row>
    <row r="5061">
      <c r="A5061" t="n">
        <v>14111106</v>
      </c>
      <c r="B5061" t="n">
        <v>48604</v>
      </c>
      <c r="C5061" t="inlineStr">
        <is>
          <t>1411/11/06</t>
        </is>
      </c>
    </row>
    <row r="5062">
      <c r="A5062" t="n">
        <v>14111107</v>
      </c>
      <c r="B5062" t="n">
        <v>48605</v>
      </c>
      <c r="C5062" t="inlineStr">
        <is>
          <t>1411/11/07</t>
        </is>
      </c>
    </row>
    <row r="5063">
      <c r="A5063" t="n">
        <v>14111108</v>
      </c>
      <c r="B5063" t="n">
        <v>48606</v>
      </c>
      <c r="C5063" t="inlineStr">
        <is>
          <t>1411/11/08</t>
        </is>
      </c>
    </row>
    <row r="5064">
      <c r="A5064" t="n">
        <v>14111109</v>
      </c>
      <c r="B5064" t="n">
        <v>48607</v>
      </c>
      <c r="C5064" t="inlineStr">
        <is>
          <t>1411/11/09</t>
        </is>
      </c>
    </row>
    <row r="5065">
      <c r="A5065" t="n">
        <v>14111110</v>
      </c>
      <c r="B5065" t="n">
        <v>48608</v>
      </c>
      <c r="C5065" t="inlineStr">
        <is>
          <t>1411/11/10</t>
        </is>
      </c>
    </row>
    <row r="5066">
      <c r="A5066" t="n">
        <v>14111111</v>
      </c>
      <c r="B5066" t="n">
        <v>48609</v>
      </c>
      <c r="C5066" t="inlineStr">
        <is>
          <t>1411/11/11</t>
        </is>
      </c>
    </row>
    <row r="5067">
      <c r="A5067" t="n">
        <v>14111112</v>
      </c>
      <c r="B5067" t="n">
        <v>48610</v>
      </c>
      <c r="C5067" t="inlineStr">
        <is>
          <t>1411/11/12</t>
        </is>
      </c>
    </row>
    <row r="5068">
      <c r="A5068" t="n">
        <v>14111113</v>
      </c>
      <c r="B5068" t="n">
        <v>48611</v>
      </c>
      <c r="C5068" t="inlineStr">
        <is>
          <t>1411/11/13</t>
        </is>
      </c>
    </row>
    <row r="5069">
      <c r="A5069" t="n">
        <v>14111114</v>
      </c>
      <c r="B5069" t="n">
        <v>48612</v>
      </c>
      <c r="C5069" t="inlineStr">
        <is>
          <t>1411/11/14</t>
        </is>
      </c>
    </row>
    <row r="5070">
      <c r="A5070" t="n">
        <v>14111115</v>
      </c>
      <c r="B5070" t="n">
        <v>48613</v>
      </c>
      <c r="C5070" t="inlineStr">
        <is>
          <t>1411/11/15</t>
        </is>
      </c>
    </row>
    <row r="5071">
      <c r="A5071" t="n">
        <v>14111116</v>
      </c>
      <c r="B5071" t="n">
        <v>48614</v>
      </c>
      <c r="C5071" t="inlineStr">
        <is>
          <t>1411/11/16</t>
        </is>
      </c>
    </row>
    <row r="5072">
      <c r="A5072" t="n">
        <v>14111117</v>
      </c>
      <c r="B5072" t="n">
        <v>48615</v>
      </c>
      <c r="C5072" t="inlineStr">
        <is>
          <t>1411/11/17</t>
        </is>
      </c>
    </row>
    <row r="5073">
      <c r="A5073" t="n">
        <v>14111118</v>
      </c>
      <c r="B5073" t="n">
        <v>48616</v>
      </c>
      <c r="C5073" t="inlineStr">
        <is>
          <t>1411/11/18</t>
        </is>
      </c>
    </row>
    <row r="5074">
      <c r="A5074" t="n">
        <v>14111119</v>
      </c>
      <c r="B5074" t="n">
        <v>48617</v>
      </c>
      <c r="C5074" t="inlineStr">
        <is>
          <t>1411/11/19</t>
        </is>
      </c>
    </row>
    <row r="5075">
      <c r="A5075" t="n">
        <v>14111120</v>
      </c>
      <c r="B5075" t="n">
        <v>48618</v>
      </c>
      <c r="C5075" t="inlineStr">
        <is>
          <t>1411/11/20</t>
        </is>
      </c>
    </row>
    <row r="5076">
      <c r="A5076" t="n">
        <v>14111121</v>
      </c>
      <c r="B5076" t="n">
        <v>48619</v>
      </c>
      <c r="C5076" t="inlineStr">
        <is>
          <t>1411/11/21</t>
        </is>
      </c>
    </row>
    <row r="5077">
      <c r="A5077" t="n">
        <v>14111122</v>
      </c>
      <c r="B5077" t="n">
        <v>48620</v>
      </c>
      <c r="C5077" t="inlineStr">
        <is>
          <t>1411/11/22</t>
        </is>
      </c>
    </row>
    <row r="5078">
      <c r="A5078" t="n">
        <v>14111123</v>
      </c>
      <c r="B5078" t="n">
        <v>48621</v>
      </c>
      <c r="C5078" t="inlineStr">
        <is>
          <t>1411/11/23</t>
        </is>
      </c>
    </row>
    <row r="5079">
      <c r="A5079" t="n">
        <v>14111124</v>
      </c>
      <c r="B5079" t="n">
        <v>48622</v>
      </c>
      <c r="C5079" t="inlineStr">
        <is>
          <t>1411/11/24</t>
        </is>
      </c>
    </row>
    <row r="5080">
      <c r="A5080" t="n">
        <v>14111125</v>
      </c>
      <c r="B5080" t="n">
        <v>48623</v>
      </c>
      <c r="C5080" t="inlineStr">
        <is>
          <t>1411/11/25</t>
        </is>
      </c>
    </row>
    <row r="5081">
      <c r="A5081" t="n">
        <v>14111126</v>
      </c>
      <c r="B5081" t="n">
        <v>48624</v>
      </c>
      <c r="C5081" t="inlineStr">
        <is>
          <t>1411/11/26</t>
        </is>
      </c>
    </row>
    <row r="5082">
      <c r="A5082" t="n">
        <v>14111127</v>
      </c>
      <c r="B5082" t="n">
        <v>48625</v>
      </c>
      <c r="C5082" t="inlineStr">
        <is>
          <t>1411/11/27</t>
        </is>
      </c>
    </row>
    <row r="5083">
      <c r="A5083" t="n">
        <v>14111128</v>
      </c>
      <c r="B5083" t="n">
        <v>48626</v>
      </c>
      <c r="C5083" t="inlineStr">
        <is>
          <t>1411/11/28</t>
        </is>
      </c>
    </row>
    <row r="5084">
      <c r="A5084" t="n">
        <v>14111129</v>
      </c>
      <c r="B5084" t="n">
        <v>48627</v>
      </c>
      <c r="C5084" t="inlineStr">
        <is>
          <t>1411/11/29</t>
        </is>
      </c>
    </row>
    <row r="5085">
      <c r="A5085" t="n">
        <v>14111130</v>
      </c>
      <c r="B5085" t="n">
        <v>48628</v>
      </c>
      <c r="C5085" t="inlineStr">
        <is>
          <t>1411/11/30</t>
        </is>
      </c>
    </row>
    <row r="5086">
      <c r="A5086" t="n">
        <v>14111201</v>
      </c>
      <c r="B5086" t="n">
        <v>48629</v>
      </c>
      <c r="C5086" t="inlineStr">
        <is>
          <t>1411/12/01</t>
        </is>
      </c>
    </row>
    <row r="5087">
      <c r="A5087" t="n">
        <v>14111202</v>
      </c>
      <c r="B5087" t="n">
        <v>48630</v>
      </c>
      <c r="C5087" t="inlineStr">
        <is>
          <t>1411/12/02</t>
        </is>
      </c>
    </row>
    <row r="5088">
      <c r="A5088" t="n">
        <v>14111203</v>
      </c>
      <c r="B5088" t="n">
        <v>48631</v>
      </c>
      <c r="C5088" t="inlineStr">
        <is>
          <t>1411/12/03</t>
        </is>
      </c>
    </row>
    <row r="5089">
      <c r="A5089" t="n">
        <v>14111204</v>
      </c>
      <c r="B5089" t="n">
        <v>48632</v>
      </c>
      <c r="C5089" t="inlineStr">
        <is>
          <t>1411/12/04</t>
        </is>
      </c>
    </row>
    <row r="5090">
      <c r="A5090" t="n">
        <v>14111205</v>
      </c>
      <c r="B5090" t="n">
        <v>48633</v>
      </c>
      <c r="C5090" t="inlineStr">
        <is>
          <t>1411/12/05</t>
        </is>
      </c>
    </row>
    <row r="5091">
      <c r="A5091" t="n">
        <v>14111206</v>
      </c>
      <c r="B5091" t="n">
        <v>48634</v>
      </c>
      <c r="C5091" t="inlineStr">
        <is>
          <t>1411/12/06</t>
        </is>
      </c>
    </row>
    <row r="5092">
      <c r="A5092" t="n">
        <v>14111207</v>
      </c>
      <c r="B5092" t="n">
        <v>48635</v>
      </c>
      <c r="C5092" t="inlineStr">
        <is>
          <t>1411/12/07</t>
        </is>
      </c>
    </row>
    <row r="5093">
      <c r="A5093" t="n">
        <v>14111208</v>
      </c>
      <c r="B5093" t="n">
        <v>48636</v>
      </c>
      <c r="C5093" t="inlineStr">
        <is>
          <t>1411/12/08</t>
        </is>
      </c>
    </row>
    <row r="5094">
      <c r="A5094" t="n">
        <v>14111209</v>
      </c>
      <c r="B5094" t="n">
        <v>48637</v>
      </c>
      <c r="C5094" t="inlineStr">
        <is>
          <t>1411/12/09</t>
        </is>
      </c>
    </row>
    <row r="5095">
      <c r="A5095" t="n">
        <v>14111210</v>
      </c>
      <c r="B5095" t="n">
        <v>48638</v>
      </c>
      <c r="C5095" t="inlineStr">
        <is>
          <t>1411/12/10</t>
        </is>
      </c>
    </row>
    <row r="5096">
      <c r="A5096" t="n">
        <v>14111211</v>
      </c>
      <c r="B5096" t="n">
        <v>48639</v>
      </c>
      <c r="C5096" t="inlineStr">
        <is>
          <t>1411/12/11</t>
        </is>
      </c>
    </row>
    <row r="5097">
      <c r="A5097" t="n">
        <v>14111212</v>
      </c>
      <c r="B5097" t="n">
        <v>48640</v>
      </c>
      <c r="C5097" t="inlineStr">
        <is>
          <t>1411/12/12</t>
        </is>
      </c>
    </row>
    <row r="5098">
      <c r="A5098" t="n">
        <v>14111213</v>
      </c>
      <c r="B5098" t="n">
        <v>48641</v>
      </c>
      <c r="C5098" t="inlineStr">
        <is>
          <t>1411/12/13</t>
        </is>
      </c>
    </row>
    <row r="5099">
      <c r="A5099" t="n">
        <v>14111214</v>
      </c>
      <c r="B5099" t="n">
        <v>48642</v>
      </c>
      <c r="C5099" t="inlineStr">
        <is>
          <t>1411/12/14</t>
        </is>
      </c>
    </row>
    <row r="5100">
      <c r="A5100" t="n">
        <v>14111215</v>
      </c>
      <c r="B5100" t="n">
        <v>48643</v>
      </c>
      <c r="C5100" t="inlineStr">
        <is>
          <t>1411/12/15</t>
        </is>
      </c>
    </row>
    <row r="5101">
      <c r="A5101" t="n">
        <v>14111216</v>
      </c>
      <c r="B5101" t="n">
        <v>48644</v>
      </c>
      <c r="C5101" t="inlineStr">
        <is>
          <t>1411/12/16</t>
        </is>
      </c>
    </row>
    <row r="5102">
      <c r="A5102" t="n">
        <v>14111217</v>
      </c>
      <c r="B5102" t="n">
        <v>48645</v>
      </c>
      <c r="C5102" t="inlineStr">
        <is>
          <t>1411/12/17</t>
        </is>
      </c>
    </row>
    <row r="5103">
      <c r="A5103" t="n">
        <v>14111218</v>
      </c>
      <c r="B5103" t="n">
        <v>48646</v>
      </c>
      <c r="C5103" t="inlineStr">
        <is>
          <t>1411/12/18</t>
        </is>
      </c>
    </row>
    <row r="5104">
      <c r="A5104" t="n">
        <v>14111219</v>
      </c>
      <c r="B5104" t="n">
        <v>48647</v>
      </c>
      <c r="C5104" t="inlineStr">
        <is>
          <t>1411/12/19</t>
        </is>
      </c>
    </row>
    <row r="5105">
      <c r="A5105" t="n">
        <v>14111220</v>
      </c>
      <c r="B5105" t="n">
        <v>48648</v>
      </c>
      <c r="C5105" t="inlineStr">
        <is>
          <t>1411/12/20</t>
        </is>
      </c>
    </row>
    <row r="5106">
      <c r="A5106" t="n">
        <v>14111221</v>
      </c>
      <c r="B5106" t="n">
        <v>48649</v>
      </c>
      <c r="C5106" t="inlineStr">
        <is>
          <t>1411/12/21</t>
        </is>
      </c>
    </row>
    <row r="5107">
      <c r="A5107" t="n">
        <v>14111222</v>
      </c>
      <c r="B5107" t="n">
        <v>48650</v>
      </c>
      <c r="C5107" t="inlineStr">
        <is>
          <t>1411/12/22</t>
        </is>
      </c>
    </row>
    <row r="5108">
      <c r="A5108" t="n">
        <v>14111223</v>
      </c>
      <c r="B5108" t="n">
        <v>48651</v>
      </c>
      <c r="C5108" t="inlineStr">
        <is>
          <t>1411/12/23</t>
        </is>
      </c>
    </row>
    <row r="5109">
      <c r="A5109" t="n">
        <v>14111224</v>
      </c>
      <c r="B5109" t="n">
        <v>48652</v>
      </c>
      <c r="C5109" t="inlineStr">
        <is>
          <t>1411/12/24</t>
        </is>
      </c>
    </row>
    <row r="5110">
      <c r="A5110" t="n">
        <v>14111225</v>
      </c>
      <c r="B5110" t="n">
        <v>48653</v>
      </c>
      <c r="C5110" t="inlineStr">
        <is>
          <t>1411/12/25</t>
        </is>
      </c>
    </row>
    <row r="5111">
      <c r="A5111" t="n">
        <v>14111226</v>
      </c>
      <c r="B5111" t="n">
        <v>48654</v>
      </c>
      <c r="C5111" t="inlineStr">
        <is>
          <t>1411/12/26</t>
        </is>
      </c>
    </row>
    <row r="5112">
      <c r="A5112" t="n">
        <v>14111227</v>
      </c>
      <c r="B5112" t="n">
        <v>48655</v>
      </c>
      <c r="C5112" t="inlineStr">
        <is>
          <t>1411/12/27</t>
        </is>
      </c>
    </row>
    <row r="5113">
      <c r="A5113" t="n">
        <v>14111228</v>
      </c>
      <c r="B5113" t="n">
        <v>48656</v>
      </c>
      <c r="C5113" t="inlineStr">
        <is>
          <t>1411/12/28</t>
        </is>
      </c>
    </row>
    <row r="5114">
      <c r="A5114" t="n">
        <v>14111229</v>
      </c>
      <c r="B5114" t="n">
        <v>48657</v>
      </c>
      <c r="C5114" t="inlineStr">
        <is>
          <t>1411/12/29</t>
        </is>
      </c>
    </row>
    <row r="5115">
      <c r="A5115" t="n">
        <v>14120101</v>
      </c>
      <c r="B5115" t="n">
        <v>48658</v>
      </c>
      <c r="C5115" t="inlineStr">
        <is>
          <t>1412/01/01</t>
        </is>
      </c>
    </row>
    <row r="5116">
      <c r="A5116" t="n">
        <v>14120102</v>
      </c>
      <c r="B5116" t="n">
        <v>48659</v>
      </c>
      <c r="C5116" t="inlineStr">
        <is>
          <t>1412/01/02</t>
        </is>
      </c>
    </row>
    <row r="5117">
      <c r="A5117" t="n">
        <v>14120103</v>
      </c>
      <c r="B5117" t="n">
        <v>48660</v>
      </c>
      <c r="C5117" t="inlineStr">
        <is>
          <t>1412/01/03</t>
        </is>
      </c>
    </row>
    <row r="5118">
      <c r="A5118" t="n">
        <v>14120104</v>
      </c>
      <c r="B5118" t="n">
        <v>48661</v>
      </c>
      <c r="C5118" t="inlineStr">
        <is>
          <t>1412/01/04</t>
        </is>
      </c>
    </row>
    <row r="5119">
      <c r="A5119" t="n">
        <v>14120105</v>
      </c>
      <c r="B5119" t="n">
        <v>48662</v>
      </c>
      <c r="C5119" t="inlineStr">
        <is>
          <t>1412/01/05</t>
        </is>
      </c>
    </row>
    <row r="5120">
      <c r="A5120" t="n">
        <v>14120106</v>
      </c>
      <c r="B5120" t="n">
        <v>48663</v>
      </c>
      <c r="C5120" t="inlineStr">
        <is>
          <t>1412/01/06</t>
        </is>
      </c>
    </row>
    <row r="5121">
      <c r="A5121" t="n">
        <v>14120107</v>
      </c>
      <c r="B5121" t="n">
        <v>48664</v>
      </c>
      <c r="C5121" t="inlineStr">
        <is>
          <t>1412/01/07</t>
        </is>
      </c>
    </row>
    <row r="5122">
      <c r="A5122" t="n">
        <v>14120108</v>
      </c>
      <c r="B5122" t="n">
        <v>48665</v>
      </c>
      <c r="C5122" t="inlineStr">
        <is>
          <t>1412/01/08</t>
        </is>
      </c>
    </row>
    <row r="5123">
      <c r="A5123" t="n">
        <v>14120109</v>
      </c>
      <c r="B5123" t="n">
        <v>48666</v>
      </c>
      <c r="C5123" t="inlineStr">
        <is>
          <t>1412/01/09</t>
        </is>
      </c>
    </row>
    <row r="5124">
      <c r="A5124" t="n">
        <v>14120110</v>
      </c>
      <c r="B5124" t="n">
        <v>48667</v>
      </c>
      <c r="C5124" t="inlineStr">
        <is>
          <t>1412/01/10</t>
        </is>
      </c>
    </row>
    <row r="5125">
      <c r="A5125" t="n">
        <v>14120111</v>
      </c>
      <c r="B5125" t="n">
        <v>48668</v>
      </c>
      <c r="C5125" t="inlineStr">
        <is>
          <t>1412/01/11</t>
        </is>
      </c>
    </row>
    <row r="5126">
      <c r="A5126" t="n">
        <v>14120112</v>
      </c>
      <c r="B5126" t="n">
        <v>48669</v>
      </c>
      <c r="C5126" t="inlineStr">
        <is>
          <t>1412/01/12</t>
        </is>
      </c>
    </row>
    <row r="5127">
      <c r="A5127" t="n">
        <v>14120113</v>
      </c>
      <c r="B5127" t="n">
        <v>48670</v>
      </c>
      <c r="C5127" t="inlineStr">
        <is>
          <t>1412/01/13</t>
        </is>
      </c>
    </row>
    <row r="5128">
      <c r="A5128" t="n">
        <v>14120114</v>
      </c>
      <c r="B5128" t="n">
        <v>48671</v>
      </c>
      <c r="C5128" t="inlineStr">
        <is>
          <t>1412/01/14</t>
        </is>
      </c>
    </row>
    <row r="5129">
      <c r="A5129" t="n">
        <v>14120115</v>
      </c>
      <c r="B5129" t="n">
        <v>48672</v>
      </c>
      <c r="C5129" t="inlineStr">
        <is>
          <t>1412/01/15</t>
        </is>
      </c>
    </row>
    <row r="5130">
      <c r="A5130" t="n">
        <v>14120116</v>
      </c>
      <c r="B5130" t="n">
        <v>48673</v>
      </c>
      <c r="C5130" t="inlineStr">
        <is>
          <t>1412/01/16</t>
        </is>
      </c>
    </row>
    <row r="5131">
      <c r="A5131" t="n">
        <v>14120117</v>
      </c>
      <c r="B5131" t="n">
        <v>48674</v>
      </c>
      <c r="C5131" t="inlineStr">
        <is>
          <t>1412/01/17</t>
        </is>
      </c>
    </row>
    <row r="5132">
      <c r="A5132" t="n">
        <v>14120118</v>
      </c>
      <c r="B5132" t="n">
        <v>48675</v>
      </c>
      <c r="C5132" t="inlineStr">
        <is>
          <t>1412/01/18</t>
        </is>
      </c>
    </row>
    <row r="5133">
      <c r="A5133" t="n">
        <v>14120119</v>
      </c>
      <c r="B5133" t="n">
        <v>48676</v>
      </c>
      <c r="C5133" t="inlineStr">
        <is>
          <t>1412/01/19</t>
        </is>
      </c>
    </row>
    <row r="5134">
      <c r="A5134" t="n">
        <v>14120120</v>
      </c>
      <c r="B5134" t="n">
        <v>48677</v>
      </c>
      <c r="C5134" t="inlineStr">
        <is>
          <t>1412/01/20</t>
        </is>
      </c>
    </row>
    <row r="5135">
      <c r="A5135" t="n">
        <v>14120121</v>
      </c>
      <c r="B5135" t="n">
        <v>48678</v>
      </c>
      <c r="C5135" t="inlineStr">
        <is>
          <t>1412/01/21</t>
        </is>
      </c>
    </row>
    <row r="5136">
      <c r="A5136" t="n">
        <v>14120122</v>
      </c>
      <c r="B5136" t="n">
        <v>48679</v>
      </c>
      <c r="C5136" t="inlineStr">
        <is>
          <t>1412/01/22</t>
        </is>
      </c>
    </row>
    <row r="5137">
      <c r="A5137" t="n">
        <v>14120123</v>
      </c>
      <c r="B5137" t="n">
        <v>48680</v>
      </c>
      <c r="C5137" t="inlineStr">
        <is>
          <t>1412/01/23</t>
        </is>
      </c>
    </row>
    <row r="5138">
      <c r="A5138" t="n">
        <v>14120124</v>
      </c>
      <c r="B5138" t="n">
        <v>48681</v>
      </c>
      <c r="C5138" t="inlineStr">
        <is>
          <t>1412/01/24</t>
        </is>
      </c>
    </row>
    <row r="5139">
      <c r="A5139" t="n">
        <v>14120125</v>
      </c>
      <c r="B5139" t="n">
        <v>48682</v>
      </c>
      <c r="C5139" t="inlineStr">
        <is>
          <t>1412/01/25</t>
        </is>
      </c>
    </row>
    <row r="5140">
      <c r="A5140" t="n">
        <v>14120126</v>
      </c>
      <c r="B5140" t="n">
        <v>48683</v>
      </c>
      <c r="C5140" t="inlineStr">
        <is>
          <t>1412/01/26</t>
        </is>
      </c>
    </row>
    <row r="5141">
      <c r="A5141" t="n">
        <v>14120127</v>
      </c>
      <c r="B5141" t="n">
        <v>48684</v>
      </c>
      <c r="C5141" t="inlineStr">
        <is>
          <t>1412/01/27</t>
        </is>
      </c>
    </row>
    <row r="5142">
      <c r="A5142" t="n">
        <v>14120128</v>
      </c>
      <c r="B5142" t="n">
        <v>48685</v>
      </c>
      <c r="C5142" t="inlineStr">
        <is>
          <t>1412/01/28</t>
        </is>
      </c>
    </row>
    <row r="5143">
      <c r="A5143" t="n">
        <v>14120129</v>
      </c>
      <c r="B5143" t="n">
        <v>48686</v>
      </c>
      <c r="C5143" t="inlineStr">
        <is>
          <t>1412/01/29</t>
        </is>
      </c>
    </row>
    <row r="5144">
      <c r="A5144" t="n">
        <v>14120130</v>
      </c>
      <c r="B5144" t="n">
        <v>48687</v>
      </c>
      <c r="C5144" t="inlineStr">
        <is>
          <t>1412/01/30</t>
        </is>
      </c>
    </row>
    <row r="5145">
      <c r="A5145" t="n">
        <v>14120131</v>
      </c>
      <c r="B5145" t="n">
        <v>48688</v>
      </c>
      <c r="C5145" t="inlineStr">
        <is>
          <t>1412/01/31</t>
        </is>
      </c>
    </row>
    <row r="5146">
      <c r="A5146" t="n">
        <v>14120201</v>
      </c>
      <c r="B5146" t="n">
        <v>48689</v>
      </c>
      <c r="C5146" t="inlineStr">
        <is>
          <t>1412/02/01</t>
        </is>
      </c>
    </row>
    <row r="5147">
      <c r="A5147" t="n">
        <v>14120202</v>
      </c>
      <c r="B5147" t="n">
        <v>48690</v>
      </c>
      <c r="C5147" t="inlineStr">
        <is>
          <t>1412/02/02</t>
        </is>
      </c>
    </row>
    <row r="5148">
      <c r="A5148" t="n">
        <v>14120203</v>
      </c>
      <c r="B5148" t="n">
        <v>48691</v>
      </c>
      <c r="C5148" t="inlineStr">
        <is>
          <t>1412/02/03</t>
        </is>
      </c>
    </row>
    <row r="5149">
      <c r="A5149" t="n">
        <v>14120204</v>
      </c>
      <c r="B5149" t="n">
        <v>48692</v>
      </c>
      <c r="C5149" t="inlineStr">
        <is>
          <t>1412/02/04</t>
        </is>
      </c>
    </row>
    <row r="5150">
      <c r="A5150" t="n">
        <v>14120205</v>
      </c>
      <c r="B5150" t="n">
        <v>48693</v>
      </c>
      <c r="C5150" t="inlineStr">
        <is>
          <t>1412/02/05</t>
        </is>
      </c>
    </row>
    <row r="5151">
      <c r="A5151" t="n">
        <v>14120206</v>
      </c>
      <c r="B5151" t="n">
        <v>48694</v>
      </c>
      <c r="C5151" t="inlineStr">
        <is>
          <t>1412/02/06</t>
        </is>
      </c>
    </row>
    <row r="5152">
      <c r="A5152" t="n">
        <v>14120207</v>
      </c>
      <c r="B5152" t="n">
        <v>48695</v>
      </c>
      <c r="C5152" t="inlineStr">
        <is>
          <t>1412/02/07</t>
        </is>
      </c>
    </row>
    <row r="5153">
      <c r="A5153" t="n">
        <v>14120208</v>
      </c>
      <c r="B5153" t="n">
        <v>48696</v>
      </c>
      <c r="C5153" t="inlineStr">
        <is>
          <t>1412/02/08</t>
        </is>
      </c>
    </row>
    <row r="5154">
      <c r="A5154" t="n">
        <v>14120209</v>
      </c>
      <c r="B5154" t="n">
        <v>48697</v>
      </c>
      <c r="C5154" t="inlineStr">
        <is>
          <t>1412/02/09</t>
        </is>
      </c>
    </row>
    <row r="5155">
      <c r="A5155" t="n">
        <v>14120210</v>
      </c>
      <c r="B5155" t="n">
        <v>48698</v>
      </c>
      <c r="C5155" t="inlineStr">
        <is>
          <t>1412/02/10</t>
        </is>
      </c>
    </row>
    <row r="5156">
      <c r="A5156" t="n">
        <v>14120211</v>
      </c>
      <c r="B5156" t="n">
        <v>48699</v>
      </c>
      <c r="C5156" t="inlineStr">
        <is>
          <t>1412/02/11</t>
        </is>
      </c>
    </row>
    <row r="5157">
      <c r="A5157" t="n">
        <v>14120212</v>
      </c>
      <c r="B5157" t="n">
        <v>48700</v>
      </c>
      <c r="C5157" t="inlineStr">
        <is>
          <t>1412/02/12</t>
        </is>
      </c>
    </row>
    <row r="5158">
      <c r="A5158" t="n">
        <v>14120213</v>
      </c>
      <c r="B5158" t="n">
        <v>48701</v>
      </c>
      <c r="C5158" t="inlineStr">
        <is>
          <t>1412/02/13</t>
        </is>
      </c>
    </row>
    <row r="5159">
      <c r="A5159" t="n">
        <v>14120214</v>
      </c>
      <c r="B5159" t="n">
        <v>48702</v>
      </c>
      <c r="C5159" t="inlineStr">
        <is>
          <t>1412/02/14</t>
        </is>
      </c>
    </row>
    <row r="5160">
      <c r="A5160" t="n">
        <v>14120215</v>
      </c>
      <c r="B5160" t="n">
        <v>48703</v>
      </c>
      <c r="C5160" t="inlineStr">
        <is>
          <t>1412/02/15</t>
        </is>
      </c>
    </row>
    <row r="5161">
      <c r="A5161" t="n">
        <v>14120216</v>
      </c>
      <c r="B5161" t="n">
        <v>48704</v>
      </c>
      <c r="C5161" t="inlineStr">
        <is>
          <t>1412/02/16</t>
        </is>
      </c>
    </row>
    <row r="5162">
      <c r="A5162" t="n">
        <v>14120217</v>
      </c>
      <c r="B5162" t="n">
        <v>48705</v>
      </c>
      <c r="C5162" t="inlineStr">
        <is>
          <t>1412/02/17</t>
        </is>
      </c>
    </row>
    <row r="5163">
      <c r="A5163" t="n">
        <v>14120218</v>
      </c>
      <c r="B5163" t="n">
        <v>48706</v>
      </c>
      <c r="C5163" t="inlineStr">
        <is>
          <t>1412/02/18</t>
        </is>
      </c>
    </row>
    <row r="5164">
      <c r="A5164" t="n">
        <v>14120219</v>
      </c>
      <c r="B5164" t="n">
        <v>48707</v>
      </c>
      <c r="C5164" t="inlineStr">
        <is>
          <t>1412/02/19</t>
        </is>
      </c>
    </row>
    <row r="5165">
      <c r="A5165" t="n">
        <v>14120220</v>
      </c>
      <c r="B5165" t="n">
        <v>48708</v>
      </c>
      <c r="C5165" t="inlineStr">
        <is>
          <t>1412/02/20</t>
        </is>
      </c>
    </row>
    <row r="5166">
      <c r="A5166" t="n">
        <v>14120221</v>
      </c>
      <c r="B5166" t="n">
        <v>48709</v>
      </c>
      <c r="C5166" t="inlineStr">
        <is>
          <t>1412/02/21</t>
        </is>
      </c>
    </row>
    <row r="5167">
      <c r="A5167" t="n">
        <v>14120222</v>
      </c>
      <c r="B5167" t="n">
        <v>48710</v>
      </c>
      <c r="C5167" t="inlineStr">
        <is>
          <t>1412/02/22</t>
        </is>
      </c>
    </row>
    <row r="5168">
      <c r="A5168" t="n">
        <v>14120223</v>
      </c>
      <c r="B5168" t="n">
        <v>48711</v>
      </c>
      <c r="C5168" t="inlineStr">
        <is>
          <t>1412/02/23</t>
        </is>
      </c>
    </row>
    <row r="5169">
      <c r="A5169" t="n">
        <v>14120224</v>
      </c>
      <c r="B5169" t="n">
        <v>48712</v>
      </c>
      <c r="C5169" t="inlineStr">
        <is>
          <t>1412/02/24</t>
        </is>
      </c>
    </row>
    <row r="5170">
      <c r="A5170" t="n">
        <v>14120225</v>
      </c>
      <c r="B5170" t="n">
        <v>48713</v>
      </c>
      <c r="C5170" t="inlineStr">
        <is>
          <t>1412/02/25</t>
        </is>
      </c>
    </row>
    <row r="5171">
      <c r="A5171" t="n">
        <v>14120226</v>
      </c>
      <c r="B5171" t="n">
        <v>48714</v>
      </c>
      <c r="C5171" t="inlineStr">
        <is>
          <t>1412/02/26</t>
        </is>
      </c>
    </row>
    <row r="5172">
      <c r="A5172" t="n">
        <v>14120227</v>
      </c>
      <c r="B5172" t="n">
        <v>48715</v>
      </c>
      <c r="C5172" t="inlineStr">
        <is>
          <t>1412/02/27</t>
        </is>
      </c>
    </row>
    <row r="5173">
      <c r="A5173" t="n">
        <v>14120228</v>
      </c>
      <c r="B5173" t="n">
        <v>48716</v>
      </c>
      <c r="C5173" t="inlineStr">
        <is>
          <t>1412/02/28</t>
        </is>
      </c>
    </row>
    <row r="5174">
      <c r="A5174" t="n">
        <v>14120229</v>
      </c>
      <c r="B5174" t="n">
        <v>48717</v>
      </c>
      <c r="C5174" t="inlineStr">
        <is>
          <t>1412/02/29</t>
        </is>
      </c>
    </row>
    <row r="5175">
      <c r="A5175" t="n">
        <v>14120230</v>
      </c>
      <c r="B5175" t="n">
        <v>48718</v>
      </c>
      <c r="C5175" t="inlineStr">
        <is>
          <t>1412/02/30</t>
        </is>
      </c>
    </row>
    <row r="5176">
      <c r="A5176" t="n">
        <v>14120231</v>
      </c>
      <c r="B5176" t="n">
        <v>48719</v>
      </c>
      <c r="C5176" t="inlineStr">
        <is>
          <t>1412/02/31</t>
        </is>
      </c>
    </row>
    <row r="5177">
      <c r="A5177" t="n">
        <v>14120301</v>
      </c>
      <c r="B5177" t="n">
        <v>48720</v>
      </c>
      <c r="C5177" t="inlineStr">
        <is>
          <t>1412/03/01</t>
        </is>
      </c>
    </row>
    <row r="5178">
      <c r="A5178" t="n">
        <v>14120302</v>
      </c>
      <c r="B5178" t="n">
        <v>48721</v>
      </c>
      <c r="C5178" t="inlineStr">
        <is>
          <t>1412/03/02</t>
        </is>
      </c>
    </row>
    <row r="5179">
      <c r="A5179" t="n">
        <v>14120303</v>
      </c>
      <c r="B5179" t="n">
        <v>48722</v>
      </c>
      <c r="C5179" t="inlineStr">
        <is>
          <t>1412/03/03</t>
        </is>
      </c>
    </row>
    <row r="5180">
      <c r="A5180" t="n">
        <v>14120304</v>
      </c>
      <c r="B5180" t="n">
        <v>48723</v>
      </c>
      <c r="C5180" t="inlineStr">
        <is>
          <t>1412/03/04</t>
        </is>
      </c>
    </row>
    <row r="5181">
      <c r="A5181" t="n">
        <v>14120305</v>
      </c>
      <c r="B5181" t="n">
        <v>48724</v>
      </c>
      <c r="C5181" t="inlineStr">
        <is>
          <t>1412/03/05</t>
        </is>
      </c>
    </row>
    <row r="5182">
      <c r="A5182" t="n">
        <v>14120306</v>
      </c>
      <c r="B5182" t="n">
        <v>48725</v>
      </c>
      <c r="C5182" t="inlineStr">
        <is>
          <t>1412/03/06</t>
        </is>
      </c>
    </row>
    <row r="5183">
      <c r="A5183" t="n">
        <v>14120307</v>
      </c>
      <c r="B5183" t="n">
        <v>48726</v>
      </c>
      <c r="C5183" t="inlineStr">
        <is>
          <t>1412/03/07</t>
        </is>
      </c>
    </row>
    <row r="5184">
      <c r="A5184" t="n">
        <v>14120308</v>
      </c>
      <c r="B5184" t="n">
        <v>48727</v>
      </c>
      <c r="C5184" t="inlineStr">
        <is>
          <t>1412/03/08</t>
        </is>
      </c>
    </row>
    <row r="5185">
      <c r="A5185" t="n">
        <v>14120309</v>
      </c>
      <c r="B5185" t="n">
        <v>48728</v>
      </c>
      <c r="C5185" t="inlineStr">
        <is>
          <t>1412/03/09</t>
        </is>
      </c>
    </row>
    <row r="5186">
      <c r="A5186" t="n">
        <v>14120310</v>
      </c>
      <c r="B5186" t="n">
        <v>48729</v>
      </c>
      <c r="C5186" t="inlineStr">
        <is>
          <t>1412/03/10</t>
        </is>
      </c>
    </row>
    <row r="5187">
      <c r="A5187" t="n">
        <v>14120311</v>
      </c>
      <c r="B5187" t="n">
        <v>48730</v>
      </c>
      <c r="C5187" t="inlineStr">
        <is>
          <t>1412/03/11</t>
        </is>
      </c>
    </row>
    <row r="5188">
      <c r="A5188" t="n">
        <v>14120312</v>
      </c>
      <c r="B5188" t="n">
        <v>48731</v>
      </c>
      <c r="C5188" t="inlineStr">
        <is>
          <t>1412/03/12</t>
        </is>
      </c>
    </row>
    <row r="5189">
      <c r="A5189" t="n">
        <v>14120313</v>
      </c>
      <c r="B5189" t="n">
        <v>48732</v>
      </c>
      <c r="C5189" t="inlineStr">
        <is>
          <t>1412/03/13</t>
        </is>
      </c>
    </row>
    <row r="5190">
      <c r="A5190" t="n">
        <v>14120314</v>
      </c>
      <c r="B5190" t="n">
        <v>48733</v>
      </c>
      <c r="C5190" t="inlineStr">
        <is>
          <t>1412/03/14</t>
        </is>
      </c>
    </row>
    <row r="5191">
      <c r="A5191" t="n">
        <v>14120315</v>
      </c>
      <c r="B5191" t="n">
        <v>48734</v>
      </c>
      <c r="C5191" t="inlineStr">
        <is>
          <t>1412/03/15</t>
        </is>
      </c>
    </row>
    <row r="5192">
      <c r="A5192" t="n">
        <v>14120316</v>
      </c>
      <c r="B5192" t="n">
        <v>48735</v>
      </c>
      <c r="C5192" t="inlineStr">
        <is>
          <t>1412/03/16</t>
        </is>
      </c>
    </row>
    <row r="5193">
      <c r="A5193" t="n">
        <v>14120317</v>
      </c>
      <c r="B5193" t="n">
        <v>48736</v>
      </c>
      <c r="C5193" t="inlineStr">
        <is>
          <t>1412/03/17</t>
        </is>
      </c>
    </row>
    <row r="5194">
      <c r="A5194" t="n">
        <v>14120318</v>
      </c>
      <c r="B5194" t="n">
        <v>48737</v>
      </c>
      <c r="C5194" t="inlineStr">
        <is>
          <t>1412/03/18</t>
        </is>
      </c>
    </row>
    <row r="5195">
      <c r="A5195" t="n">
        <v>14120319</v>
      </c>
      <c r="B5195" t="n">
        <v>48738</v>
      </c>
      <c r="C5195" t="inlineStr">
        <is>
          <t>1412/03/19</t>
        </is>
      </c>
    </row>
    <row r="5196">
      <c r="A5196" t="n">
        <v>14120320</v>
      </c>
      <c r="B5196" t="n">
        <v>48739</v>
      </c>
      <c r="C5196" t="inlineStr">
        <is>
          <t>1412/03/20</t>
        </is>
      </c>
    </row>
    <row r="5197">
      <c r="A5197" t="n">
        <v>14120321</v>
      </c>
      <c r="B5197" t="n">
        <v>48740</v>
      </c>
      <c r="C5197" t="inlineStr">
        <is>
          <t>1412/03/21</t>
        </is>
      </c>
    </row>
    <row r="5198">
      <c r="A5198" t="n">
        <v>14120322</v>
      </c>
      <c r="B5198" t="n">
        <v>48741</v>
      </c>
      <c r="C5198" t="inlineStr">
        <is>
          <t>1412/03/22</t>
        </is>
      </c>
    </row>
    <row r="5199">
      <c r="A5199" t="n">
        <v>14120323</v>
      </c>
      <c r="B5199" t="n">
        <v>48742</v>
      </c>
      <c r="C5199" t="inlineStr">
        <is>
          <t>1412/03/23</t>
        </is>
      </c>
    </row>
    <row r="5200">
      <c r="A5200" t="n">
        <v>14120324</v>
      </c>
      <c r="B5200" t="n">
        <v>48743</v>
      </c>
      <c r="C5200" t="inlineStr">
        <is>
          <t>1412/03/24</t>
        </is>
      </c>
    </row>
    <row r="5201">
      <c r="A5201" t="n">
        <v>14120325</v>
      </c>
      <c r="B5201" t="n">
        <v>48744</v>
      </c>
      <c r="C5201" t="inlineStr">
        <is>
          <t>1412/03/25</t>
        </is>
      </c>
    </row>
    <row r="5202">
      <c r="A5202" t="n">
        <v>14120326</v>
      </c>
      <c r="B5202" t="n">
        <v>48745</v>
      </c>
      <c r="C5202" t="inlineStr">
        <is>
          <t>1412/03/26</t>
        </is>
      </c>
    </row>
    <row r="5203">
      <c r="A5203" t="n">
        <v>14120327</v>
      </c>
      <c r="B5203" t="n">
        <v>48746</v>
      </c>
      <c r="C5203" t="inlineStr">
        <is>
          <t>1412/03/27</t>
        </is>
      </c>
    </row>
    <row r="5204">
      <c r="A5204" t="n">
        <v>14120328</v>
      </c>
      <c r="B5204" t="n">
        <v>48747</v>
      </c>
      <c r="C5204" t="inlineStr">
        <is>
          <t>1412/03/28</t>
        </is>
      </c>
    </row>
    <row r="5205">
      <c r="A5205" t="n">
        <v>14120329</v>
      </c>
      <c r="B5205" t="n">
        <v>48748</v>
      </c>
      <c r="C5205" t="inlineStr">
        <is>
          <t>1412/03/29</t>
        </is>
      </c>
    </row>
    <row r="5206">
      <c r="A5206" t="n">
        <v>14120330</v>
      </c>
      <c r="B5206" t="n">
        <v>48749</v>
      </c>
      <c r="C5206" t="inlineStr">
        <is>
          <t>1412/03/30</t>
        </is>
      </c>
    </row>
    <row r="5207">
      <c r="A5207" t="n">
        <v>14120331</v>
      </c>
      <c r="B5207" t="n">
        <v>48750</v>
      </c>
      <c r="C5207" t="inlineStr">
        <is>
          <t>1412/03/31</t>
        </is>
      </c>
    </row>
    <row r="5208">
      <c r="A5208" t="n">
        <v>14120401</v>
      </c>
      <c r="B5208" t="n">
        <v>48751</v>
      </c>
      <c r="C5208" t="inlineStr">
        <is>
          <t>1412/04/01</t>
        </is>
      </c>
    </row>
    <row r="5209">
      <c r="A5209" t="n">
        <v>14120402</v>
      </c>
      <c r="B5209" t="n">
        <v>48752</v>
      </c>
      <c r="C5209" t="inlineStr">
        <is>
          <t>1412/04/02</t>
        </is>
      </c>
    </row>
    <row r="5210">
      <c r="A5210" t="n">
        <v>14120403</v>
      </c>
      <c r="B5210" t="n">
        <v>48753</v>
      </c>
      <c r="C5210" t="inlineStr">
        <is>
          <t>1412/04/03</t>
        </is>
      </c>
    </row>
    <row r="5211">
      <c r="A5211" t="n">
        <v>14120404</v>
      </c>
      <c r="B5211" t="n">
        <v>48754</v>
      </c>
      <c r="C5211" t="inlineStr">
        <is>
          <t>1412/04/04</t>
        </is>
      </c>
    </row>
    <row r="5212">
      <c r="A5212" t="n">
        <v>14120405</v>
      </c>
      <c r="B5212" t="n">
        <v>48755</v>
      </c>
      <c r="C5212" t="inlineStr">
        <is>
          <t>1412/04/05</t>
        </is>
      </c>
    </row>
    <row r="5213">
      <c r="A5213" t="n">
        <v>14120406</v>
      </c>
      <c r="B5213" t="n">
        <v>48756</v>
      </c>
      <c r="C5213" t="inlineStr">
        <is>
          <t>1412/04/06</t>
        </is>
      </c>
    </row>
    <row r="5214">
      <c r="A5214" t="n">
        <v>14120407</v>
      </c>
      <c r="B5214" t="n">
        <v>48757</v>
      </c>
      <c r="C5214" t="inlineStr">
        <is>
          <t>1412/04/07</t>
        </is>
      </c>
    </row>
    <row r="5215">
      <c r="A5215" t="n">
        <v>14120408</v>
      </c>
      <c r="B5215" t="n">
        <v>48758</v>
      </c>
      <c r="C5215" t="inlineStr">
        <is>
          <t>1412/04/08</t>
        </is>
      </c>
    </row>
    <row r="5216">
      <c r="A5216" t="n">
        <v>14120409</v>
      </c>
      <c r="B5216" t="n">
        <v>48759</v>
      </c>
      <c r="C5216" t="inlineStr">
        <is>
          <t>1412/04/09</t>
        </is>
      </c>
    </row>
    <row r="5217">
      <c r="A5217" t="n">
        <v>14120410</v>
      </c>
      <c r="B5217" t="n">
        <v>48760</v>
      </c>
      <c r="C5217" t="inlineStr">
        <is>
          <t>1412/04/10</t>
        </is>
      </c>
    </row>
    <row r="5218">
      <c r="A5218" t="n">
        <v>14120411</v>
      </c>
      <c r="B5218" t="n">
        <v>48761</v>
      </c>
      <c r="C5218" t="inlineStr">
        <is>
          <t>1412/04/11</t>
        </is>
      </c>
    </row>
    <row r="5219">
      <c r="A5219" t="n">
        <v>14120412</v>
      </c>
      <c r="B5219" t="n">
        <v>48762</v>
      </c>
      <c r="C5219" t="inlineStr">
        <is>
          <t>1412/04/12</t>
        </is>
      </c>
    </row>
    <row r="5220">
      <c r="A5220" t="n">
        <v>14120413</v>
      </c>
      <c r="B5220" t="n">
        <v>48763</v>
      </c>
      <c r="C5220" t="inlineStr">
        <is>
          <t>1412/04/13</t>
        </is>
      </c>
    </row>
    <row r="5221">
      <c r="A5221" t="n">
        <v>14120414</v>
      </c>
      <c r="B5221" t="n">
        <v>48764</v>
      </c>
      <c r="C5221" t="inlineStr">
        <is>
          <t>1412/04/14</t>
        </is>
      </c>
    </row>
    <row r="5222">
      <c r="A5222" t="n">
        <v>14120415</v>
      </c>
      <c r="B5222" t="n">
        <v>48765</v>
      </c>
      <c r="C5222" t="inlineStr">
        <is>
          <t>1412/04/15</t>
        </is>
      </c>
    </row>
    <row r="5223">
      <c r="A5223" t="n">
        <v>14120416</v>
      </c>
      <c r="B5223" t="n">
        <v>48766</v>
      </c>
      <c r="C5223" t="inlineStr">
        <is>
          <t>1412/04/16</t>
        </is>
      </c>
    </row>
    <row r="5224">
      <c r="A5224" t="n">
        <v>14120417</v>
      </c>
      <c r="B5224" t="n">
        <v>48767</v>
      </c>
      <c r="C5224" t="inlineStr">
        <is>
          <t>1412/04/17</t>
        </is>
      </c>
    </row>
    <row r="5225">
      <c r="A5225" t="n">
        <v>14120418</v>
      </c>
      <c r="B5225" t="n">
        <v>48768</v>
      </c>
      <c r="C5225" t="inlineStr">
        <is>
          <t>1412/04/18</t>
        </is>
      </c>
    </row>
    <row r="5226">
      <c r="A5226" t="n">
        <v>14120419</v>
      </c>
      <c r="B5226" t="n">
        <v>48769</v>
      </c>
      <c r="C5226" t="inlineStr">
        <is>
          <t>1412/04/19</t>
        </is>
      </c>
    </row>
    <row r="5227">
      <c r="A5227" t="n">
        <v>14120420</v>
      </c>
      <c r="B5227" t="n">
        <v>48770</v>
      </c>
      <c r="C5227" t="inlineStr">
        <is>
          <t>1412/04/20</t>
        </is>
      </c>
    </row>
    <row r="5228">
      <c r="A5228" t="n">
        <v>14120421</v>
      </c>
      <c r="B5228" t="n">
        <v>48771</v>
      </c>
      <c r="C5228" t="inlineStr">
        <is>
          <t>1412/04/21</t>
        </is>
      </c>
    </row>
    <row r="5229">
      <c r="A5229" t="n">
        <v>14120422</v>
      </c>
      <c r="B5229" t="n">
        <v>48772</v>
      </c>
      <c r="C5229" t="inlineStr">
        <is>
          <t>1412/04/22</t>
        </is>
      </c>
    </row>
    <row r="5230">
      <c r="A5230" t="n">
        <v>14120423</v>
      </c>
      <c r="B5230" t="n">
        <v>48773</v>
      </c>
      <c r="C5230" t="inlineStr">
        <is>
          <t>1412/04/23</t>
        </is>
      </c>
    </row>
    <row r="5231">
      <c r="A5231" t="n">
        <v>14120424</v>
      </c>
      <c r="B5231" t="n">
        <v>48774</v>
      </c>
      <c r="C5231" t="inlineStr">
        <is>
          <t>1412/04/24</t>
        </is>
      </c>
    </row>
    <row r="5232">
      <c r="A5232" t="n">
        <v>14120425</v>
      </c>
      <c r="B5232" t="n">
        <v>48775</v>
      </c>
      <c r="C5232" t="inlineStr">
        <is>
          <t>1412/04/25</t>
        </is>
      </c>
    </row>
    <row r="5233">
      <c r="A5233" t="n">
        <v>14120426</v>
      </c>
      <c r="B5233" t="n">
        <v>48776</v>
      </c>
      <c r="C5233" t="inlineStr">
        <is>
          <t>1412/04/26</t>
        </is>
      </c>
    </row>
    <row r="5234">
      <c r="A5234" t="n">
        <v>14120427</v>
      </c>
      <c r="B5234" t="n">
        <v>48777</v>
      </c>
      <c r="C5234" t="inlineStr">
        <is>
          <t>1412/04/27</t>
        </is>
      </c>
    </row>
    <row r="5235">
      <c r="A5235" t="n">
        <v>14120428</v>
      </c>
      <c r="B5235" t="n">
        <v>48778</v>
      </c>
      <c r="C5235" t="inlineStr">
        <is>
          <t>1412/04/28</t>
        </is>
      </c>
    </row>
    <row r="5236">
      <c r="A5236" t="n">
        <v>14120429</v>
      </c>
      <c r="B5236" t="n">
        <v>48779</v>
      </c>
      <c r="C5236" t="inlineStr">
        <is>
          <t>1412/04/29</t>
        </is>
      </c>
    </row>
    <row r="5237">
      <c r="A5237" t="n">
        <v>14120430</v>
      </c>
      <c r="B5237" t="n">
        <v>48780</v>
      </c>
      <c r="C5237" t="inlineStr">
        <is>
          <t>1412/04/30</t>
        </is>
      </c>
    </row>
    <row r="5238">
      <c r="A5238" t="n">
        <v>14120431</v>
      </c>
      <c r="B5238" t="n">
        <v>48781</v>
      </c>
      <c r="C5238" t="inlineStr">
        <is>
          <t>1412/04/31</t>
        </is>
      </c>
    </row>
    <row r="5239">
      <c r="A5239" t="n">
        <v>14120501</v>
      </c>
      <c r="B5239" t="n">
        <v>48782</v>
      </c>
      <c r="C5239" t="inlineStr">
        <is>
          <t>1412/05/01</t>
        </is>
      </c>
    </row>
    <row r="5240">
      <c r="A5240" t="n">
        <v>14120502</v>
      </c>
      <c r="B5240" t="n">
        <v>48783</v>
      </c>
      <c r="C5240" t="inlineStr">
        <is>
          <t>1412/05/02</t>
        </is>
      </c>
    </row>
    <row r="5241">
      <c r="A5241" t="n">
        <v>14120503</v>
      </c>
      <c r="B5241" t="n">
        <v>48784</v>
      </c>
      <c r="C5241" t="inlineStr">
        <is>
          <t>1412/05/03</t>
        </is>
      </c>
    </row>
    <row r="5242">
      <c r="A5242" t="n">
        <v>14120504</v>
      </c>
      <c r="B5242" t="n">
        <v>48785</v>
      </c>
      <c r="C5242" t="inlineStr">
        <is>
          <t>1412/05/04</t>
        </is>
      </c>
    </row>
    <row r="5243">
      <c r="A5243" t="n">
        <v>14120505</v>
      </c>
      <c r="B5243" t="n">
        <v>48786</v>
      </c>
      <c r="C5243" t="inlineStr">
        <is>
          <t>1412/05/05</t>
        </is>
      </c>
    </row>
    <row r="5244">
      <c r="A5244" t="n">
        <v>14120506</v>
      </c>
      <c r="B5244" t="n">
        <v>48787</v>
      </c>
      <c r="C5244" t="inlineStr">
        <is>
          <t>1412/05/06</t>
        </is>
      </c>
    </row>
    <row r="5245">
      <c r="A5245" t="n">
        <v>14120507</v>
      </c>
      <c r="B5245" t="n">
        <v>48788</v>
      </c>
      <c r="C5245" t="inlineStr">
        <is>
          <t>1412/05/07</t>
        </is>
      </c>
    </row>
    <row r="5246">
      <c r="A5246" t="n">
        <v>14120508</v>
      </c>
      <c r="B5246" t="n">
        <v>48789</v>
      </c>
      <c r="C5246" t="inlineStr">
        <is>
          <t>1412/05/08</t>
        </is>
      </c>
    </row>
    <row r="5247">
      <c r="A5247" t="n">
        <v>14120509</v>
      </c>
      <c r="B5247" t="n">
        <v>48790</v>
      </c>
      <c r="C5247" t="inlineStr">
        <is>
          <t>1412/05/09</t>
        </is>
      </c>
    </row>
    <row r="5248">
      <c r="A5248" t="n">
        <v>14120510</v>
      </c>
      <c r="B5248" t="n">
        <v>48791</v>
      </c>
      <c r="C5248" t="inlineStr">
        <is>
          <t>1412/05/10</t>
        </is>
      </c>
    </row>
    <row r="5249">
      <c r="A5249" t="n">
        <v>14120511</v>
      </c>
      <c r="B5249" t="n">
        <v>48792</v>
      </c>
      <c r="C5249" t="inlineStr">
        <is>
          <t>1412/05/11</t>
        </is>
      </c>
    </row>
    <row r="5250">
      <c r="A5250" t="n">
        <v>14120512</v>
      </c>
      <c r="B5250" t="n">
        <v>48793</v>
      </c>
      <c r="C5250" t="inlineStr">
        <is>
          <t>1412/05/12</t>
        </is>
      </c>
    </row>
    <row r="5251">
      <c r="A5251" t="n">
        <v>14120513</v>
      </c>
      <c r="B5251" t="n">
        <v>48794</v>
      </c>
      <c r="C5251" t="inlineStr">
        <is>
          <t>1412/05/13</t>
        </is>
      </c>
    </row>
    <row r="5252">
      <c r="A5252" t="n">
        <v>14120514</v>
      </c>
      <c r="B5252" t="n">
        <v>48795</v>
      </c>
      <c r="C5252" t="inlineStr">
        <is>
          <t>1412/05/14</t>
        </is>
      </c>
    </row>
    <row r="5253">
      <c r="A5253" t="n">
        <v>14120515</v>
      </c>
      <c r="B5253" t="n">
        <v>48796</v>
      </c>
      <c r="C5253" t="inlineStr">
        <is>
          <t>1412/05/15</t>
        </is>
      </c>
    </row>
    <row r="5254">
      <c r="A5254" t="n">
        <v>14120516</v>
      </c>
      <c r="B5254" t="n">
        <v>48797</v>
      </c>
      <c r="C5254" t="inlineStr">
        <is>
          <t>1412/05/16</t>
        </is>
      </c>
    </row>
    <row r="5255">
      <c r="A5255" t="n">
        <v>14120517</v>
      </c>
      <c r="B5255" t="n">
        <v>48798</v>
      </c>
      <c r="C5255" t="inlineStr">
        <is>
          <t>1412/05/17</t>
        </is>
      </c>
    </row>
    <row r="5256">
      <c r="A5256" t="n">
        <v>14120518</v>
      </c>
      <c r="B5256" t="n">
        <v>48799</v>
      </c>
      <c r="C5256" t="inlineStr">
        <is>
          <t>1412/05/18</t>
        </is>
      </c>
    </row>
    <row r="5257">
      <c r="A5257" t="n">
        <v>14120519</v>
      </c>
      <c r="B5257" t="n">
        <v>48800</v>
      </c>
      <c r="C5257" t="inlineStr">
        <is>
          <t>1412/05/19</t>
        </is>
      </c>
    </row>
    <row r="5258">
      <c r="A5258" t="n">
        <v>14120520</v>
      </c>
      <c r="B5258" t="n">
        <v>48801</v>
      </c>
      <c r="C5258" t="inlineStr">
        <is>
          <t>1412/05/20</t>
        </is>
      </c>
    </row>
    <row r="5259">
      <c r="A5259" t="n">
        <v>14120521</v>
      </c>
      <c r="B5259" t="n">
        <v>48802</v>
      </c>
      <c r="C5259" t="inlineStr">
        <is>
          <t>1412/05/21</t>
        </is>
      </c>
    </row>
    <row r="5260">
      <c r="A5260" t="n">
        <v>14120522</v>
      </c>
      <c r="B5260" t="n">
        <v>48803</v>
      </c>
      <c r="C5260" t="inlineStr">
        <is>
          <t>1412/05/22</t>
        </is>
      </c>
    </row>
    <row r="5261">
      <c r="A5261" t="n">
        <v>14120523</v>
      </c>
      <c r="B5261" t="n">
        <v>48804</v>
      </c>
      <c r="C5261" t="inlineStr">
        <is>
          <t>1412/05/23</t>
        </is>
      </c>
    </row>
    <row r="5262">
      <c r="A5262" t="n">
        <v>14120524</v>
      </c>
      <c r="B5262" t="n">
        <v>48805</v>
      </c>
      <c r="C5262" t="inlineStr">
        <is>
          <t>1412/05/24</t>
        </is>
      </c>
    </row>
    <row r="5263">
      <c r="A5263" t="n">
        <v>14120525</v>
      </c>
      <c r="B5263" t="n">
        <v>48806</v>
      </c>
      <c r="C5263" t="inlineStr">
        <is>
          <t>1412/05/25</t>
        </is>
      </c>
    </row>
    <row r="5264">
      <c r="A5264" t="n">
        <v>14120526</v>
      </c>
      <c r="B5264" t="n">
        <v>48807</v>
      </c>
      <c r="C5264" t="inlineStr">
        <is>
          <t>1412/05/26</t>
        </is>
      </c>
    </row>
    <row r="5265">
      <c r="A5265" t="n">
        <v>14120527</v>
      </c>
      <c r="B5265" t="n">
        <v>48808</v>
      </c>
      <c r="C5265" t="inlineStr">
        <is>
          <t>1412/05/27</t>
        </is>
      </c>
    </row>
    <row r="5266">
      <c r="A5266" t="n">
        <v>14120528</v>
      </c>
      <c r="B5266" t="n">
        <v>48809</v>
      </c>
      <c r="C5266" t="inlineStr">
        <is>
          <t>1412/05/28</t>
        </is>
      </c>
    </row>
    <row r="5267">
      <c r="A5267" t="n">
        <v>14120529</v>
      </c>
      <c r="B5267" t="n">
        <v>48810</v>
      </c>
      <c r="C5267" t="inlineStr">
        <is>
          <t>1412/05/29</t>
        </is>
      </c>
    </row>
    <row r="5268">
      <c r="A5268" t="n">
        <v>14120530</v>
      </c>
      <c r="B5268" t="n">
        <v>48811</v>
      </c>
      <c r="C5268" t="inlineStr">
        <is>
          <t>1412/05/30</t>
        </is>
      </c>
    </row>
    <row r="5269">
      <c r="A5269" t="n">
        <v>14120531</v>
      </c>
      <c r="B5269" t="n">
        <v>48812</v>
      </c>
      <c r="C5269" t="inlineStr">
        <is>
          <t>1412/05/31</t>
        </is>
      </c>
    </row>
    <row r="5270">
      <c r="A5270" t="n">
        <v>14120601</v>
      </c>
      <c r="B5270" t="n">
        <v>48813</v>
      </c>
      <c r="C5270" t="inlineStr">
        <is>
          <t>1412/06/01</t>
        </is>
      </c>
    </row>
    <row r="5271">
      <c r="A5271" t="n">
        <v>14120602</v>
      </c>
      <c r="B5271" t="n">
        <v>48814</v>
      </c>
      <c r="C5271" t="inlineStr">
        <is>
          <t>1412/06/02</t>
        </is>
      </c>
    </row>
    <row r="5272">
      <c r="A5272" t="n">
        <v>14120603</v>
      </c>
      <c r="B5272" t="n">
        <v>48815</v>
      </c>
      <c r="C5272" t="inlineStr">
        <is>
          <t>1412/06/03</t>
        </is>
      </c>
    </row>
    <row r="5273">
      <c r="A5273" t="n">
        <v>14120604</v>
      </c>
      <c r="B5273" t="n">
        <v>48816</v>
      </c>
      <c r="C5273" t="inlineStr">
        <is>
          <t>1412/06/04</t>
        </is>
      </c>
    </row>
    <row r="5274">
      <c r="A5274" t="n">
        <v>14120605</v>
      </c>
      <c r="B5274" t="n">
        <v>48817</v>
      </c>
      <c r="C5274" t="inlineStr">
        <is>
          <t>1412/06/05</t>
        </is>
      </c>
    </row>
    <row r="5275">
      <c r="A5275" t="n">
        <v>14120606</v>
      </c>
      <c r="B5275" t="n">
        <v>48818</v>
      </c>
      <c r="C5275" t="inlineStr">
        <is>
          <t>1412/06/06</t>
        </is>
      </c>
    </row>
    <row r="5276">
      <c r="A5276" t="n">
        <v>14120607</v>
      </c>
      <c r="B5276" t="n">
        <v>48819</v>
      </c>
      <c r="C5276" t="inlineStr">
        <is>
          <t>1412/06/07</t>
        </is>
      </c>
    </row>
    <row r="5277">
      <c r="A5277" t="n">
        <v>14120608</v>
      </c>
      <c r="B5277" t="n">
        <v>48820</v>
      </c>
      <c r="C5277" t="inlineStr">
        <is>
          <t>1412/06/08</t>
        </is>
      </c>
    </row>
    <row r="5278">
      <c r="A5278" t="n">
        <v>14120609</v>
      </c>
      <c r="B5278" t="n">
        <v>48821</v>
      </c>
      <c r="C5278" t="inlineStr">
        <is>
          <t>1412/06/09</t>
        </is>
      </c>
    </row>
    <row r="5279">
      <c r="A5279" t="n">
        <v>14120610</v>
      </c>
      <c r="B5279" t="n">
        <v>48822</v>
      </c>
      <c r="C5279" t="inlineStr">
        <is>
          <t>1412/06/10</t>
        </is>
      </c>
    </row>
    <row r="5280">
      <c r="A5280" t="n">
        <v>14120611</v>
      </c>
      <c r="B5280" t="n">
        <v>48823</v>
      </c>
      <c r="C5280" t="inlineStr">
        <is>
          <t>1412/06/11</t>
        </is>
      </c>
    </row>
    <row r="5281">
      <c r="A5281" t="n">
        <v>14120612</v>
      </c>
      <c r="B5281" t="n">
        <v>48824</v>
      </c>
      <c r="C5281" t="inlineStr">
        <is>
          <t>1412/06/12</t>
        </is>
      </c>
    </row>
    <row r="5282">
      <c r="A5282" t="n">
        <v>14120613</v>
      </c>
      <c r="B5282" t="n">
        <v>48825</v>
      </c>
      <c r="C5282" t="inlineStr">
        <is>
          <t>1412/06/13</t>
        </is>
      </c>
    </row>
    <row r="5283">
      <c r="A5283" t="n">
        <v>14120614</v>
      </c>
      <c r="B5283" t="n">
        <v>48826</v>
      </c>
      <c r="C5283" t="inlineStr">
        <is>
          <t>1412/06/14</t>
        </is>
      </c>
    </row>
    <row r="5284">
      <c r="A5284" t="n">
        <v>14120615</v>
      </c>
      <c r="B5284" t="n">
        <v>48827</v>
      </c>
      <c r="C5284" t="inlineStr">
        <is>
          <t>1412/06/15</t>
        </is>
      </c>
    </row>
    <row r="5285">
      <c r="A5285" t="n">
        <v>14120616</v>
      </c>
      <c r="B5285" t="n">
        <v>48828</v>
      </c>
      <c r="C5285" t="inlineStr">
        <is>
          <t>1412/06/16</t>
        </is>
      </c>
    </row>
    <row r="5286">
      <c r="A5286" t="n">
        <v>14120617</v>
      </c>
      <c r="B5286" t="n">
        <v>48829</v>
      </c>
      <c r="C5286" t="inlineStr">
        <is>
          <t>1412/06/17</t>
        </is>
      </c>
    </row>
    <row r="5287">
      <c r="A5287" t="n">
        <v>14120618</v>
      </c>
      <c r="B5287" t="n">
        <v>48830</v>
      </c>
      <c r="C5287" t="inlineStr">
        <is>
          <t>1412/06/18</t>
        </is>
      </c>
    </row>
    <row r="5288">
      <c r="A5288" t="n">
        <v>14120619</v>
      </c>
      <c r="B5288" t="n">
        <v>48831</v>
      </c>
      <c r="C5288" t="inlineStr">
        <is>
          <t>1412/06/19</t>
        </is>
      </c>
    </row>
    <row r="5289">
      <c r="A5289" t="n">
        <v>14120620</v>
      </c>
      <c r="B5289" t="n">
        <v>48832</v>
      </c>
      <c r="C5289" t="inlineStr">
        <is>
          <t>1412/06/20</t>
        </is>
      </c>
    </row>
    <row r="5290">
      <c r="A5290" t="n">
        <v>14120621</v>
      </c>
      <c r="B5290" t="n">
        <v>48833</v>
      </c>
      <c r="C5290" t="inlineStr">
        <is>
          <t>1412/06/21</t>
        </is>
      </c>
    </row>
    <row r="5291">
      <c r="A5291" t="n">
        <v>14120622</v>
      </c>
      <c r="B5291" t="n">
        <v>48834</v>
      </c>
      <c r="C5291" t="inlineStr">
        <is>
          <t>1412/06/22</t>
        </is>
      </c>
    </row>
    <row r="5292">
      <c r="A5292" t="n">
        <v>14120623</v>
      </c>
      <c r="B5292" t="n">
        <v>48835</v>
      </c>
      <c r="C5292" t="inlineStr">
        <is>
          <t>1412/06/23</t>
        </is>
      </c>
    </row>
    <row r="5293">
      <c r="A5293" t="n">
        <v>14120624</v>
      </c>
      <c r="B5293" t="n">
        <v>48836</v>
      </c>
      <c r="C5293" t="inlineStr">
        <is>
          <t>1412/06/24</t>
        </is>
      </c>
    </row>
    <row r="5294">
      <c r="A5294" t="n">
        <v>14120625</v>
      </c>
      <c r="B5294" t="n">
        <v>48837</v>
      </c>
      <c r="C5294" t="inlineStr">
        <is>
          <t>1412/06/25</t>
        </is>
      </c>
    </row>
    <row r="5295">
      <c r="A5295" t="n">
        <v>14120626</v>
      </c>
      <c r="B5295" t="n">
        <v>48838</v>
      </c>
      <c r="C5295" t="inlineStr">
        <is>
          <t>1412/06/26</t>
        </is>
      </c>
    </row>
    <row r="5296">
      <c r="A5296" t="n">
        <v>14120627</v>
      </c>
      <c r="B5296" t="n">
        <v>48839</v>
      </c>
      <c r="C5296" t="inlineStr">
        <is>
          <t>1412/06/27</t>
        </is>
      </c>
    </row>
    <row r="5297">
      <c r="A5297" t="n">
        <v>14120628</v>
      </c>
      <c r="B5297" t="n">
        <v>48840</v>
      </c>
      <c r="C5297" t="inlineStr">
        <is>
          <t>1412/06/28</t>
        </is>
      </c>
    </row>
    <row r="5298">
      <c r="A5298" t="n">
        <v>14120629</v>
      </c>
      <c r="B5298" t="n">
        <v>48841</v>
      </c>
      <c r="C5298" t="inlineStr">
        <is>
          <t>1412/06/29</t>
        </is>
      </c>
    </row>
    <row r="5299">
      <c r="A5299" t="n">
        <v>14120630</v>
      </c>
      <c r="B5299" t="n">
        <v>48842</v>
      </c>
      <c r="C5299" t="inlineStr">
        <is>
          <t>1412/06/30</t>
        </is>
      </c>
    </row>
    <row r="5300">
      <c r="A5300" t="n">
        <v>14120631</v>
      </c>
      <c r="B5300" t="n">
        <v>48843</v>
      </c>
      <c r="C5300" t="inlineStr">
        <is>
          <t>1412/06/31</t>
        </is>
      </c>
    </row>
    <row r="5301">
      <c r="A5301" t="n">
        <v>14120701</v>
      </c>
      <c r="B5301" t="n">
        <v>48844</v>
      </c>
      <c r="C5301" t="inlineStr">
        <is>
          <t>1412/07/01</t>
        </is>
      </c>
    </row>
    <row r="5302">
      <c r="A5302" t="n">
        <v>14120702</v>
      </c>
      <c r="B5302" t="n">
        <v>48845</v>
      </c>
      <c r="C5302" t="inlineStr">
        <is>
          <t>1412/07/02</t>
        </is>
      </c>
    </row>
    <row r="5303">
      <c r="A5303" t="n">
        <v>14120703</v>
      </c>
      <c r="B5303" t="n">
        <v>48846</v>
      </c>
      <c r="C5303" t="inlineStr">
        <is>
          <t>1412/07/03</t>
        </is>
      </c>
    </row>
    <row r="5304">
      <c r="A5304" t="n">
        <v>14120704</v>
      </c>
      <c r="B5304" t="n">
        <v>48847</v>
      </c>
      <c r="C5304" t="inlineStr">
        <is>
          <t>1412/07/04</t>
        </is>
      </c>
    </row>
    <row r="5305">
      <c r="A5305" t="n">
        <v>14120705</v>
      </c>
      <c r="B5305" t="n">
        <v>48848</v>
      </c>
      <c r="C5305" t="inlineStr">
        <is>
          <t>1412/07/05</t>
        </is>
      </c>
    </row>
    <row r="5306">
      <c r="A5306" t="n">
        <v>14120706</v>
      </c>
      <c r="B5306" t="n">
        <v>48849</v>
      </c>
      <c r="C5306" t="inlineStr">
        <is>
          <t>1412/07/06</t>
        </is>
      </c>
    </row>
    <row r="5307">
      <c r="A5307" t="n">
        <v>14120707</v>
      </c>
      <c r="B5307" t="n">
        <v>48850</v>
      </c>
      <c r="C5307" t="inlineStr">
        <is>
          <t>1412/07/07</t>
        </is>
      </c>
    </row>
    <row r="5308">
      <c r="A5308" t="n">
        <v>14120708</v>
      </c>
      <c r="B5308" t="n">
        <v>48851</v>
      </c>
      <c r="C5308" t="inlineStr">
        <is>
          <t>1412/07/08</t>
        </is>
      </c>
    </row>
    <row r="5309">
      <c r="A5309" t="n">
        <v>14120709</v>
      </c>
      <c r="B5309" t="n">
        <v>48852</v>
      </c>
      <c r="C5309" t="inlineStr">
        <is>
          <t>1412/07/09</t>
        </is>
      </c>
    </row>
    <row r="5310">
      <c r="A5310" t="n">
        <v>14120710</v>
      </c>
      <c r="B5310" t="n">
        <v>48853</v>
      </c>
      <c r="C5310" t="inlineStr">
        <is>
          <t>1412/07/10</t>
        </is>
      </c>
    </row>
    <row r="5311">
      <c r="A5311" t="n">
        <v>14120711</v>
      </c>
      <c r="B5311" t="n">
        <v>48854</v>
      </c>
      <c r="C5311" t="inlineStr">
        <is>
          <t>1412/07/11</t>
        </is>
      </c>
    </row>
    <row r="5312">
      <c r="A5312" t="n">
        <v>14120712</v>
      </c>
      <c r="B5312" t="n">
        <v>48855</v>
      </c>
      <c r="C5312" t="inlineStr">
        <is>
          <t>1412/07/12</t>
        </is>
      </c>
    </row>
    <row r="5313">
      <c r="A5313" t="n">
        <v>14120713</v>
      </c>
      <c r="B5313" t="n">
        <v>48856</v>
      </c>
      <c r="C5313" t="inlineStr">
        <is>
          <t>1412/07/13</t>
        </is>
      </c>
    </row>
    <row r="5314">
      <c r="A5314" t="n">
        <v>14120714</v>
      </c>
      <c r="B5314" t="n">
        <v>48857</v>
      </c>
      <c r="C5314" t="inlineStr">
        <is>
          <t>1412/07/14</t>
        </is>
      </c>
    </row>
    <row r="5315">
      <c r="A5315" t="n">
        <v>14120715</v>
      </c>
      <c r="B5315" t="n">
        <v>48858</v>
      </c>
      <c r="C5315" t="inlineStr">
        <is>
          <t>1412/07/15</t>
        </is>
      </c>
    </row>
    <row r="5316">
      <c r="A5316" t="n">
        <v>14120716</v>
      </c>
      <c r="B5316" t="n">
        <v>48859</v>
      </c>
      <c r="C5316" t="inlineStr">
        <is>
          <t>1412/07/16</t>
        </is>
      </c>
    </row>
    <row r="5317">
      <c r="A5317" t="n">
        <v>14120717</v>
      </c>
      <c r="B5317" t="n">
        <v>48860</v>
      </c>
      <c r="C5317" t="inlineStr">
        <is>
          <t>1412/07/17</t>
        </is>
      </c>
    </row>
    <row r="5318">
      <c r="A5318" t="n">
        <v>14120718</v>
      </c>
      <c r="B5318" t="n">
        <v>48861</v>
      </c>
      <c r="C5318" t="inlineStr">
        <is>
          <t>1412/07/18</t>
        </is>
      </c>
    </row>
    <row r="5319">
      <c r="A5319" t="n">
        <v>14120719</v>
      </c>
      <c r="B5319" t="n">
        <v>48862</v>
      </c>
      <c r="C5319" t="inlineStr">
        <is>
          <t>1412/07/19</t>
        </is>
      </c>
    </row>
    <row r="5320">
      <c r="A5320" t="n">
        <v>14120720</v>
      </c>
      <c r="B5320" t="n">
        <v>48863</v>
      </c>
      <c r="C5320" t="inlineStr">
        <is>
          <t>1412/07/20</t>
        </is>
      </c>
    </row>
    <row r="5321">
      <c r="A5321" t="n">
        <v>14120721</v>
      </c>
      <c r="B5321" t="n">
        <v>48864</v>
      </c>
      <c r="C5321" t="inlineStr">
        <is>
          <t>1412/07/21</t>
        </is>
      </c>
    </row>
    <row r="5322">
      <c r="A5322" t="n">
        <v>14120722</v>
      </c>
      <c r="B5322" t="n">
        <v>48865</v>
      </c>
      <c r="C5322" t="inlineStr">
        <is>
          <t>1412/07/22</t>
        </is>
      </c>
    </row>
    <row r="5323">
      <c r="A5323" t="n">
        <v>14120723</v>
      </c>
      <c r="B5323" t="n">
        <v>48866</v>
      </c>
      <c r="C5323" t="inlineStr">
        <is>
          <t>1412/07/23</t>
        </is>
      </c>
    </row>
    <row r="5324">
      <c r="A5324" t="n">
        <v>14120724</v>
      </c>
      <c r="B5324" t="n">
        <v>48867</v>
      </c>
      <c r="C5324" t="inlineStr">
        <is>
          <t>1412/07/24</t>
        </is>
      </c>
    </row>
    <row r="5325">
      <c r="A5325" t="n">
        <v>14120725</v>
      </c>
      <c r="B5325" t="n">
        <v>48868</v>
      </c>
      <c r="C5325" t="inlineStr">
        <is>
          <t>1412/07/25</t>
        </is>
      </c>
    </row>
    <row r="5326">
      <c r="A5326" t="n">
        <v>14120726</v>
      </c>
      <c r="B5326" t="n">
        <v>48869</v>
      </c>
      <c r="C5326" t="inlineStr">
        <is>
          <t>1412/07/26</t>
        </is>
      </c>
    </row>
    <row r="5327">
      <c r="A5327" t="n">
        <v>14120727</v>
      </c>
      <c r="B5327" t="n">
        <v>48870</v>
      </c>
      <c r="C5327" t="inlineStr">
        <is>
          <t>1412/07/27</t>
        </is>
      </c>
    </row>
    <row r="5328">
      <c r="A5328" t="n">
        <v>14120728</v>
      </c>
      <c r="B5328" t="n">
        <v>48871</v>
      </c>
      <c r="C5328" t="inlineStr">
        <is>
          <t>1412/07/28</t>
        </is>
      </c>
    </row>
    <row r="5329">
      <c r="A5329" t="n">
        <v>14120729</v>
      </c>
      <c r="B5329" t="n">
        <v>48872</v>
      </c>
      <c r="C5329" t="inlineStr">
        <is>
          <t>1412/07/29</t>
        </is>
      </c>
    </row>
    <row r="5330">
      <c r="A5330" t="n">
        <v>14120730</v>
      </c>
      <c r="B5330" t="n">
        <v>48873</v>
      </c>
      <c r="C5330" t="inlineStr">
        <is>
          <t>1412/07/30</t>
        </is>
      </c>
    </row>
    <row r="5331">
      <c r="A5331" t="n">
        <v>14120801</v>
      </c>
      <c r="B5331" t="n">
        <v>48874</v>
      </c>
      <c r="C5331" t="inlineStr">
        <is>
          <t>1412/08/01</t>
        </is>
      </c>
    </row>
    <row r="5332">
      <c r="A5332" t="n">
        <v>14120802</v>
      </c>
      <c r="B5332" t="n">
        <v>48875</v>
      </c>
      <c r="C5332" t="inlineStr">
        <is>
          <t>1412/08/02</t>
        </is>
      </c>
    </row>
    <row r="5333">
      <c r="A5333" t="n">
        <v>14120803</v>
      </c>
      <c r="B5333" t="n">
        <v>48876</v>
      </c>
      <c r="C5333" t="inlineStr">
        <is>
          <t>1412/08/03</t>
        </is>
      </c>
    </row>
    <row r="5334">
      <c r="A5334" t="n">
        <v>14120804</v>
      </c>
      <c r="B5334" t="n">
        <v>48877</v>
      </c>
      <c r="C5334" t="inlineStr">
        <is>
          <t>1412/08/04</t>
        </is>
      </c>
    </row>
    <row r="5335">
      <c r="A5335" t="n">
        <v>14120805</v>
      </c>
      <c r="B5335" t="n">
        <v>48878</v>
      </c>
      <c r="C5335" t="inlineStr">
        <is>
          <t>1412/08/05</t>
        </is>
      </c>
    </row>
    <row r="5336">
      <c r="A5336" t="n">
        <v>14120806</v>
      </c>
      <c r="B5336" t="n">
        <v>48879</v>
      </c>
      <c r="C5336" t="inlineStr">
        <is>
          <t>1412/08/06</t>
        </is>
      </c>
    </row>
    <row r="5337">
      <c r="A5337" t="n">
        <v>14120807</v>
      </c>
      <c r="B5337" t="n">
        <v>48880</v>
      </c>
      <c r="C5337" t="inlineStr">
        <is>
          <t>1412/08/07</t>
        </is>
      </c>
    </row>
    <row r="5338">
      <c r="A5338" t="n">
        <v>14120808</v>
      </c>
      <c r="B5338" t="n">
        <v>48881</v>
      </c>
      <c r="C5338" t="inlineStr">
        <is>
          <t>1412/08/08</t>
        </is>
      </c>
    </row>
    <row r="5339">
      <c r="A5339" t="n">
        <v>14120809</v>
      </c>
      <c r="B5339" t="n">
        <v>48882</v>
      </c>
      <c r="C5339" t="inlineStr">
        <is>
          <t>1412/08/09</t>
        </is>
      </c>
    </row>
    <row r="5340">
      <c r="A5340" t="n">
        <v>14120810</v>
      </c>
      <c r="B5340" t="n">
        <v>48883</v>
      </c>
      <c r="C5340" t="inlineStr">
        <is>
          <t>1412/08/10</t>
        </is>
      </c>
    </row>
    <row r="5341">
      <c r="A5341" t="n">
        <v>14120811</v>
      </c>
      <c r="B5341" t="n">
        <v>48884</v>
      </c>
      <c r="C5341" t="inlineStr">
        <is>
          <t>1412/08/11</t>
        </is>
      </c>
    </row>
    <row r="5342">
      <c r="A5342" t="n">
        <v>14120812</v>
      </c>
      <c r="B5342" t="n">
        <v>48885</v>
      </c>
      <c r="C5342" t="inlineStr">
        <is>
          <t>1412/08/12</t>
        </is>
      </c>
    </row>
    <row r="5343">
      <c r="A5343" t="n">
        <v>14120813</v>
      </c>
      <c r="B5343" t="n">
        <v>48886</v>
      </c>
      <c r="C5343" t="inlineStr">
        <is>
          <t>1412/08/13</t>
        </is>
      </c>
    </row>
    <row r="5344">
      <c r="A5344" t="n">
        <v>14120814</v>
      </c>
      <c r="B5344" t="n">
        <v>48887</v>
      </c>
      <c r="C5344" t="inlineStr">
        <is>
          <t>1412/08/14</t>
        </is>
      </c>
    </row>
    <row r="5345">
      <c r="A5345" t="n">
        <v>14120815</v>
      </c>
      <c r="B5345" t="n">
        <v>48888</v>
      </c>
      <c r="C5345" t="inlineStr">
        <is>
          <t>1412/08/15</t>
        </is>
      </c>
    </row>
    <row r="5346">
      <c r="A5346" t="n">
        <v>14120816</v>
      </c>
      <c r="B5346" t="n">
        <v>48889</v>
      </c>
      <c r="C5346" t="inlineStr">
        <is>
          <t>1412/08/16</t>
        </is>
      </c>
    </row>
    <row r="5347">
      <c r="A5347" t="n">
        <v>14120817</v>
      </c>
      <c r="B5347" t="n">
        <v>48890</v>
      </c>
      <c r="C5347" t="inlineStr">
        <is>
          <t>1412/08/17</t>
        </is>
      </c>
    </row>
    <row r="5348">
      <c r="A5348" t="n">
        <v>14120818</v>
      </c>
      <c r="B5348" t="n">
        <v>48891</v>
      </c>
      <c r="C5348" t="inlineStr">
        <is>
          <t>1412/08/18</t>
        </is>
      </c>
    </row>
    <row r="5349">
      <c r="A5349" t="n">
        <v>14120819</v>
      </c>
      <c r="B5349" t="n">
        <v>48892</v>
      </c>
      <c r="C5349" t="inlineStr">
        <is>
          <t>1412/08/19</t>
        </is>
      </c>
    </row>
    <row r="5350">
      <c r="A5350" t="n">
        <v>14120820</v>
      </c>
      <c r="B5350" t="n">
        <v>48893</v>
      </c>
      <c r="C5350" t="inlineStr">
        <is>
          <t>1412/08/20</t>
        </is>
      </c>
    </row>
    <row r="5351">
      <c r="A5351" t="n">
        <v>14120821</v>
      </c>
      <c r="B5351" t="n">
        <v>48894</v>
      </c>
      <c r="C5351" t="inlineStr">
        <is>
          <t>1412/08/21</t>
        </is>
      </c>
    </row>
    <row r="5352">
      <c r="A5352" t="n">
        <v>14120822</v>
      </c>
      <c r="B5352" t="n">
        <v>48895</v>
      </c>
      <c r="C5352" t="inlineStr">
        <is>
          <t>1412/08/22</t>
        </is>
      </c>
    </row>
    <row r="5353">
      <c r="A5353" t="n">
        <v>14120823</v>
      </c>
      <c r="B5353" t="n">
        <v>48896</v>
      </c>
      <c r="C5353" t="inlineStr">
        <is>
          <t>1412/08/23</t>
        </is>
      </c>
    </row>
    <row r="5354">
      <c r="A5354" t="n">
        <v>14120824</v>
      </c>
      <c r="B5354" t="n">
        <v>48897</v>
      </c>
      <c r="C5354" t="inlineStr">
        <is>
          <t>1412/08/24</t>
        </is>
      </c>
    </row>
    <row r="5355">
      <c r="A5355" t="n">
        <v>14120825</v>
      </c>
      <c r="B5355" t="n">
        <v>48898</v>
      </c>
      <c r="C5355" t="inlineStr">
        <is>
          <t>1412/08/25</t>
        </is>
      </c>
    </row>
    <row r="5356">
      <c r="A5356" t="n">
        <v>14120826</v>
      </c>
      <c r="B5356" t="n">
        <v>48899</v>
      </c>
      <c r="C5356" t="inlineStr">
        <is>
          <t>1412/08/26</t>
        </is>
      </c>
    </row>
    <row r="5357">
      <c r="A5357" t="n">
        <v>14120827</v>
      </c>
      <c r="B5357" t="n">
        <v>48900</v>
      </c>
      <c r="C5357" t="inlineStr">
        <is>
          <t>1412/08/27</t>
        </is>
      </c>
    </row>
    <row r="5358">
      <c r="A5358" t="n">
        <v>14120828</v>
      </c>
      <c r="B5358" t="n">
        <v>48901</v>
      </c>
      <c r="C5358" t="inlineStr">
        <is>
          <t>1412/08/28</t>
        </is>
      </c>
    </row>
    <row r="5359">
      <c r="A5359" t="n">
        <v>14120829</v>
      </c>
      <c r="B5359" t="n">
        <v>48902</v>
      </c>
      <c r="C5359" t="inlineStr">
        <is>
          <t>1412/08/29</t>
        </is>
      </c>
    </row>
    <row r="5360">
      <c r="A5360" t="n">
        <v>14120830</v>
      </c>
      <c r="B5360" t="n">
        <v>48903</v>
      </c>
      <c r="C5360" t="inlineStr">
        <is>
          <t>1412/08/30</t>
        </is>
      </c>
    </row>
    <row r="5361">
      <c r="A5361" t="n">
        <v>14120901</v>
      </c>
      <c r="B5361" t="n">
        <v>48904</v>
      </c>
      <c r="C5361" t="inlineStr">
        <is>
          <t>1412/09/01</t>
        </is>
      </c>
    </row>
    <row r="5362">
      <c r="A5362" t="n">
        <v>14120902</v>
      </c>
      <c r="B5362" t="n">
        <v>48905</v>
      </c>
      <c r="C5362" t="inlineStr">
        <is>
          <t>1412/09/02</t>
        </is>
      </c>
    </row>
    <row r="5363">
      <c r="A5363" t="n">
        <v>14120903</v>
      </c>
      <c r="B5363" t="n">
        <v>48906</v>
      </c>
      <c r="C5363" t="inlineStr">
        <is>
          <t>1412/09/03</t>
        </is>
      </c>
    </row>
    <row r="5364">
      <c r="A5364" t="n">
        <v>14120904</v>
      </c>
      <c r="B5364" t="n">
        <v>48907</v>
      </c>
      <c r="C5364" t="inlineStr">
        <is>
          <t>1412/09/04</t>
        </is>
      </c>
    </row>
    <row r="5365">
      <c r="A5365" t="n">
        <v>14120905</v>
      </c>
      <c r="B5365" t="n">
        <v>48908</v>
      </c>
      <c r="C5365" t="inlineStr">
        <is>
          <t>1412/09/05</t>
        </is>
      </c>
    </row>
    <row r="5366">
      <c r="A5366" t="n">
        <v>14120906</v>
      </c>
      <c r="B5366" t="n">
        <v>48909</v>
      </c>
      <c r="C5366" t="inlineStr">
        <is>
          <t>1412/09/06</t>
        </is>
      </c>
    </row>
    <row r="5367">
      <c r="A5367" t="n">
        <v>14120907</v>
      </c>
      <c r="B5367" t="n">
        <v>48910</v>
      </c>
      <c r="C5367" t="inlineStr">
        <is>
          <t>1412/09/07</t>
        </is>
      </c>
    </row>
    <row r="5368">
      <c r="A5368" t="n">
        <v>14120908</v>
      </c>
      <c r="B5368" t="n">
        <v>48911</v>
      </c>
      <c r="C5368" t="inlineStr">
        <is>
          <t>1412/09/08</t>
        </is>
      </c>
    </row>
    <row r="5369">
      <c r="A5369" t="n">
        <v>14120909</v>
      </c>
      <c r="B5369" t="n">
        <v>48912</v>
      </c>
      <c r="C5369" t="inlineStr">
        <is>
          <t>1412/09/09</t>
        </is>
      </c>
    </row>
    <row r="5370">
      <c r="A5370" t="n">
        <v>14120910</v>
      </c>
      <c r="B5370" t="n">
        <v>48913</v>
      </c>
      <c r="C5370" t="inlineStr">
        <is>
          <t>1412/09/10</t>
        </is>
      </c>
    </row>
    <row r="5371">
      <c r="A5371" t="n">
        <v>14120911</v>
      </c>
      <c r="B5371" t="n">
        <v>48914</v>
      </c>
      <c r="C5371" t="inlineStr">
        <is>
          <t>1412/09/11</t>
        </is>
      </c>
    </row>
    <row r="5372">
      <c r="A5372" t="n">
        <v>14120912</v>
      </c>
      <c r="B5372" t="n">
        <v>48915</v>
      </c>
      <c r="C5372" t="inlineStr">
        <is>
          <t>1412/09/12</t>
        </is>
      </c>
    </row>
    <row r="5373">
      <c r="A5373" t="n">
        <v>14120913</v>
      </c>
      <c r="B5373" t="n">
        <v>48916</v>
      </c>
      <c r="C5373" t="inlineStr">
        <is>
          <t>1412/09/13</t>
        </is>
      </c>
    </row>
    <row r="5374">
      <c r="A5374" t="n">
        <v>14120914</v>
      </c>
      <c r="B5374" t="n">
        <v>48917</v>
      </c>
      <c r="C5374" t="inlineStr">
        <is>
          <t>1412/09/14</t>
        </is>
      </c>
    </row>
    <row r="5375">
      <c r="A5375" t="n">
        <v>14120915</v>
      </c>
      <c r="B5375" t="n">
        <v>48918</v>
      </c>
      <c r="C5375" t="inlineStr">
        <is>
          <t>1412/09/15</t>
        </is>
      </c>
    </row>
    <row r="5376">
      <c r="A5376" t="n">
        <v>14120916</v>
      </c>
      <c r="B5376" t="n">
        <v>48919</v>
      </c>
      <c r="C5376" t="inlineStr">
        <is>
          <t>1412/09/16</t>
        </is>
      </c>
    </row>
    <row r="5377">
      <c r="A5377" t="n">
        <v>14120917</v>
      </c>
      <c r="B5377" t="n">
        <v>48920</v>
      </c>
      <c r="C5377" t="inlineStr">
        <is>
          <t>1412/09/17</t>
        </is>
      </c>
    </row>
    <row r="5378">
      <c r="A5378" t="n">
        <v>14120918</v>
      </c>
      <c r="B5378" t="n">
        <v>48921</v>
      </c>
      <c r="C5378" t="inlineStr">
        <is>
          <t>1412/09/18</t>
        </is>
      </c>
    </row>
    <row r="5379">
      <c r="A5379" t="n">
        <v>14120919</v>
      </c>
      <c r="B5379" t="n">
        <v>48922</v>
      </c>
      <c r="C5379" t="inlineStr">
        <is>
          <t>1412/09/19</t>
        </is>
      </c>
    </row>
    <row r="5380">
      <c r="A5380" t="n">
        <v>14120920</v>
      </c>
      <c r="B5380" t="n">
        <v>48923</v>
      </c>
      <c r="C5380" t="inlineStr">
        <is>
          <t>1412/09/20</t>
        </is>
      </c>
    </row>
    <row r="5381">
      <c r="A5381" t="n">
        <v>14120921</v>
      </c>
      <c r="B5381" t="n">
        <v>48924</v>
      </c>
      <c r="C5381" t="inlineStr">
        <is>
          <t>1412/09/21</t>
        </is>
      </c>
    </row>
    <row r="5382">
      <c r="A5382" t="n">
        <v>14120922</v>
      </c>
      <c r="B5382" t="n">
        <v>48925</v>
      </c>
      <c r="C5382" t="inlineStr">
        <is>
          <t>1412/09/22</t>
        </is>
      </c>
    </row>
    <row r="5383">
      <c r="A5383" t="n">
        <v>14120923</v>
      </c>
      <c r="B5383" t="n">
        <v>48926</v>
      </c>
      <c r="C5383" t="inlineStr">
        <is>
          <t>1412/09/23</t>
        </is>
      </c>
    </row>
    <row r="5384">
      <c r="A5384" t="n">
        <v>14120924</v>
      </c>
      <c r="B5384" t="n">
        <v>48927</v>
      </c>
      <c r="C5384" t="inlineStr">
        <is>
          <t>1412/09/24</t>
        </is>
      </c>
    </row>
    <row r="5385">
      <c r="A5385" t="n">
        <v>14120925</v>
      </c>
      <c r="B5385" t="n">
        <v>48928</v>
      </c>
      <c r="C5385" t="inlineStr">
        <is>
          <t>1412/09/25</t>
        </is>
      </c>
    </row>
    <row r="5386">
      <c r="A5386" t="n">
        <v>14120926</v>
      </c>
      <c r="B5386" t="n">
        <v>48929</v>
      </c>
      <c r="C5386" t="inlineStr">
        <is>
          <t>1412/09/26</t>
        </is>
      </c>
    </row>
    <row r="5387">
      <c r="A5387" t="n">
        <v>14120927</v>
      </c>
      <c r="B5387" t="n">
        <v>48930</v>
      </c>
      <c r="C5387" t="inlineStr">
        <is>
          <t>1412/09/27</t>
        </is>
      </c>
    </row>
    <row r="5388">
      <c r="A5388" t="n">
        <v>14120928</v>
      </c>
      <c r="B5388" t="n">
        <v>48931</v>
      </c>
      <c r="C5388" t="inlineStr">
        <is>
          <t>1412/09/28</t>
        </is>
      </c>
    </row>
    <row r="5389">
      <c r="A5389" t="n">
        <v>14120929</v>
      </c>
      <c r="B5389" t="n">
        <v>48932</v>
      </c>
      <c r="C5389" t="inlineStr">
        <is>
          <t>1412/09/29</t>
        </is>
      </c>
    </row>
    <row r="5390">
      <c r="A5390" t="n">
        <v>14120930</v>
      </c>
      <c r="B5390" t="n">
        <v>48933</v>
      </c>
      <c r="C5390" t="inlineStr">
        <is>
          <t>1412/09/30</t>
        </is>
      </c>
    </row>
    <row r="5391">
      <c r="A5391" t="n">
        <v>14121001</v>
      </c>
      <c r="B5391" t="n">
        <v>48934</v>
      </c>
      <c r="C5391" t="inlineStr">
        <is>
          <t>1412/10/01</t>
        </is>
      </c>
    </row>
    <row r="5392">
      <c r="A5392" t="n">
        <v>14121002</v>
      </c>
      <c r="B5392" t="n">
        <v>48935</v>
      </c>
      <c r="C5392" t="inlineStr">
        <is>
          <t>1412/10/02</t>
        </is>
      </c>
    </row>
    <row r="5393">
      <c r="A5393" t="n">
        <v>14121003</v>
      </c>
      <c r="B5393" t="n">
        <v>48936</v>
      </c>
      <c r="C5393" t="inlineStr">
        <is>
          <t>1412/10/03</t>
        </is>
      </c>
    </row>
    <row r="5394">
      <c r="A5394" t="n">
        <v>14121004</v>
      </c>
      <c r="B5394" t="n">
        <v>48937</v>
      </c>
      <c r="C5394" t="inlineStr">
        <is>
          <t>1412/10/04</t>
        </is>
      </c>
    </row>
    <row r="5395">
      <c r="A5395" t="n">
        <v>14121005</v>
      </c>
      <c r="B5395" t="n">
        <v>48938</v>
      </c>
      <c r="C5395" t="inlineStr">
        <is>
          <t>1412/10/05</t>
        </is>
      </c>
    </row>
    <row r="5396">
      <c r="A5396" t="n">
        <v>14121006</v>
      </c>
      <c r="B5396" t="n">
        <v>48939</v>
      </c>
      <c r="C5396" t="inlineStr">
        <is>
          <t>1412/10/06</t>
        </is>
      </c>
    </row>
    <row r="5397">
      <c r="A5397" t="n">
        <v>14121007</v>
      </c>
      <c r="B5397" t="n">
        <v>48940</v>
      </c>
      <c r="C5397" t="inlineStr">
        <is>
          <t>1412/10/07</t>
        </is>
      </c>
    </row>
    <row r="5398">
      <c r="A5398" t="n">
        <v>14121008</v>
      </c>
      <c r="B5398" t="n">
        <v>48941</v>
      </c>
      <c r="C5398" t="inlineStr">
        <is>
          <t>1412/10/08</t>
        </is>
      </c>
    </row>
    <row r="5399">
      <c r="A5399" t="n">
        <v>14121009</v>
      </c>
      <c r="B5399" t="n">
        <v>48942</v>
      </c>
      <c r="C5399" t="inlineStr">
        <is>
          <t>1412/10/09</t>
        </is>
      </c>
    </row>
    <row r="5400">
      <c r="A5400" t="n">
        <v>14121010</v>
      </c>
      <c r="B5400" t="n">
        <v>48943</v>
      </c>
      <c r="C5400" t="inlineStr">
        <is>
          <t>1412/10/10</t>
        </is>
      </c>
    </row>
    <row r="5401">
      <c r="A5401" t="n">
        <v>14121011</v>
      </c>
      <c r="B5401" t="n">
        <v>48944</v>
      </c>
      <c r="C5401" t="inlineStr">
        <is>
          <t>1412/10/11</t>
        </is>
      </c>
    </row>
    <row r="5402">
      <c r="A5402" t="n">
        <v>14121012</v>
      </c>
      <c r="B5402" t="n">
        <v>48945</v>
      </c>
      <c r="C5402" t="inlineStr">
        <is>
          <t>1412/10/12</t>
        </is>
      </c>
    </row>
    <row r="5403">
      <c r="A5403" t="n">
        <v>14121013</v>
      </c>
      <c r="B5403" t="n">
        <v>48946</v>
      </c>
      <c r="C5403" t="inlineStr">
        <is>
          <t>1412/10/13</t>
        </is>
      </c>
    </row>
    <row r="5404">
      <c r="A5404" t="n">
        <v>14121014</v>
      </c>
      <c r="B5404" t="n">
        <v>48947</v>
      </c>
      <c r="C5404" t="inlineStr">
        <is>
          <t>1412/10/14</t>
        </is>
      </c>
    </row>
    <row r="5405">
      <c r="A5405" t="n">
        <v>14121015</v>
      </c>
      <c r="B5405" t="n">
        <v>48948</v>
      </c>
      <c r="C5405" t="inlineStr">
        <is>
          <t>1412/10/15</t>
        </is>
      </c>
    </row>
    <row r="5406">
      <c r="A5406" t="n">
        <v>14121016</v>
      </c>
      <c r="B5406" t="n">
        <v>48949</v>
      </c>
      <c r="C5406" t="inlineStr">
        <is>
          <t>1412/10/16</t>
        </is>
      </c>
    </row>
    <row r="5407">
      <c r="A5407" t="n">
        <v>14121017</v>
      </c>
      <c r="B5407" t="n">
        <v>48950</v>
      </c>
      <c r="C5407" t="inlineStr">
        <is>
          <t>1412/10/17</t>
        </is>
      </c>
    </row>
    <row r="5408">
      <c r="A5408" t="n">
        <v>14121018</v>
      </c>
      <c r="B5408" t="n">
        <v>48951</v>
      </c>
      <c r="C5408" t="inlineStr">
        <is>
          <t>1412/10/18</t>
        </is>
      </c>
    </row>
    <row r="5409">
      <c r="A5409" t="n">
        <v>14121019</v>
      </c>
      <c r="B5409" t="n">
        <v>48952</v>
      </c>
      <c r="C5409" t="inlineStr">
        <is>
          <t>1412/10/19</t>
        </is>
      </c>
    </row>
    <row r="5410">
      <c r="A5410" t="n">
        <v>14121020</v>
      </c>
      <c r="B5410" t="n">
        <v>48953</v>
      </c>
      <c r="C5410" t="inlineStr">
        <is>
          <t>1412/10/20</t>
        </is>
      </c>
    </row>
    <row r="5411">
      <c r="A5411" t="n">
        <v>14121021</v>
      </c>
      <c r="B5411" t="n">
        <v>48954</v>
      </c>
      <c r="C5411" t="inlineStr">
        <is>
          <t>1412/10/21</t>
        </is>
      </c>
    </row>
    <row r="5412">
      <c r="A5412" t="n">
        <v>14121022</v>
      </c>
      <c r="B5412" t="n">
        <v>48955</v>
      </c>
      <c r="C5412" t="inlineStr">
        <is>
          <t>1412/10/22</t>
        </is>
      </c>
    </row>
    <row r="5413">
      <c r="A5413" t="n">
        <v>14121023</v>
      </c>
      <c r="B5413" t="n">
        <v>48956</v>
      </c>
      <c r="C5413" t="inlineStr">
        <is>
          <t>1412/10/23</t>
        </is>
      </c>
    </row>
    <row r="5414">
      <c r="A5414" t="n">
        <v>14121024</v>
      </c>
      <c r="B5414" t="n">
        <v>48957</v>
      </c>
      <c r="C5414" t="inlineStr">
        <is>
          <t>1412/10/24</t>
        </is>
      </c>
    </row>
    <row r="5415">
      <c r="A5415" t="n">
        <v>14121025</v>
      </c>
      <c r="B5415" t="n">
        <v>48958</v>
      </c>
      <c r="C5415" t="inlineStr">
        <is>
          <t>1412/10/25</t>
        </is>
      </c>
    </row>
    <row r="5416">
      <c r="A5416" t="n">
        <v>14121026</v>
      </c>
      <c r="B5416" t="n">
        <v>48959</v>
      </c>
      <c r="C5416" t="inlineStr">
        <is>
          <t>1412/10/26</t>
        </is>
      </c>
    </row>
    <row r="5417">
      <c r="A5417" t="n">
        <v>14121027</v>
      </c>
      <c r="B5417" t="n">
        <v>48960</v>
      </c>
      <c r="C5417" t="inlineStr">
        <is>
          <t>1412/10/27</t>
        </is>
      </c>
    </row>
    <row r="5418">
      <c r="A5418" t="n">
        <v>14121028</v>
      </c>
      <c r="B5418" t="n">
        <v>48961</v>
      </c>
      <c r="C5418" t="inlineStr">
        <is>
          <t>1412/10/28</t>
        </is>
      </c>
    </row>
    <row r="5419">
      <c r="A5419" t="n">
        <v>14121029</v>
      </c>
      <c r="B5419" t="n">
        <v>48962</v>
      </c>
      <c r="C5419" t="inlineStr">
        <is>
          <t>1412/10/29</t>
        </is>
      </c>
    </row>
    <row r="5420">
      <c r="A5420" t="n">
        <v>14121030</v>
      </c>
      <c r="B5420" t="n">
        <v>48963</v>
      </c>
      <c r="C5420" t="inlineStr">
        <is>
          <t>1412/10/30</t>
        </is>
      </c>
    </row>
    <row r="5421">
      <c r="A5421" t="n">
        <v>14121101</v>
      </c>
      <c r="B5421" t="n">
        <v>48964</v>
      </c>
      <c r="C5421" t="inlineStr">
        <is>
          <t>1412/11/01</t>
        </is>
      </c>
    </row>
    <row r="5422">
      <c r="A5422" t="n">
        <v>14121102</v>
      </c>
      <c r="B5422" t="n">
        <v>48965</v>
      </c>
      <c r="C5422" t="inlineStr">
        <is>
          <t>1412/11/02</t>
        </is>
      </c>
    </row>
    <row r="5423">
      <c r="A5423" t="n">
        <v>14121103</v>
      </c>
      <c r="B5423" t="n">
        <v>48966</v>
      </c>
      <c r="C5423" t="inlineStr">
        <is>
          <t>1412/11/03</t>
        </is>
      </c>
    </row>
    <row r="5424">
      <c r="A5424" t="n">
        <v>14121104</v>
      </c>
      <c r="B5424" t="n">
        <v>48967</v>
      </c>
      <c r="C5424" t="inlineStr">
        <is>
          <t>1412/11/04</t>
        </is>
      </c>
    </row>
    <row r="5425">
      <c r="A5425" t="n">
        <v>14121105</v>
      </c>
      <c r="B5425" t="n">
        <v>48968</v>
      </c>
      <c r="C5425" t="inlineStr">
        <is>
          <t>1412/11/05</t>
        </is>
      </c>
    </row>
    <row r="5426">
      <c r="A5426" t="n">
        <v>14121106</v>
      </c>
      <c r="B5426" t="n">
        <v>48969</v>
      </c>
      <c r="C5426" t="inlineStr">
        <is>
          <t>1412/11/06</t>
        </is>
      </c>
    </row>
    <row r="5427">
      <c r="A5427" t="n">
        <v>14121107</v>
      </c>
      <c r="B5427" t="n">
        <v>48970</v>
      </c>
      <c r="C5427" t="inlineStr">
        <is>
          <t>1412/11/07</t>
        </is>
      </c>
    </row>
    <row r="5428">
      <c r="A5428" t="n">
        <v>14121108</v>
      </c>
      <c r="B5428" t="n">
        <v>48971</v>
      </c>
      <c r="C5428" t="inlineStr">
        <is>
          <t>1412/11/08</t>
        </is>
      </c>
    </row>
    <row r="5429">
      <c r="A5429" t="n">
        <v>14121109</v>
      </c>
      <c r="B5429" t="n">
        <v>48972</v>
      </c>
      <c r="C5429" t="inlineStr">
        <is>
          <t>1412/11/09</t>
        </is>
      </c>
    </row>
    <row r="5430">
      <c r="A5430" t="n">
        <v>14121110</v>
      </c>
      <c r="B5430" t="n">
        <v>48973</v>
      </c>
      <c r="C5430" t="inlineStr">
        <is>
          <t>1412/11/10</t>
        </is>
      </c>
    </row>
    <row r="5431">
      <c r="A5431" t="n">
        <v>14121111</v>
      </c>
      <c r="B5431" t="n">
        <v>48974</v>
      </c>
      <c r="C5431" t="inlineStr">
        <is>
          <t>1412/11/11</t>
        </is>
      </c>
    </row>
    <row r="5432">
      <c r="A5432" t="n">
        <v>14121112</v>
      </c>
      <c r="B5432" t="n">
        <v>48975</v>
      </c>
      <c r="C5432" t="inlineStr">
        <is>
          <t>1412/11/12</t>
        </is>
      </c>
    </row>
    <row r="5433">
      <c r="A5433" t="n">
        <v>14121113</v>
      </c>
      <c r="B5433" t="n">
        <v>48976</v>
      </c>
      <c r="C5433" t="inlineStr">
        <is>
          <t>1412/11/13</t>
        </is>
      </c>
    </row>
    <row r="5434">
      <c r="A5434" t="n">
        <v>14121114</v>
      </c>
      <c r="B5434" t="n">
        <v>48977</v>
      </c>
      <c r="C5434" t="inlineStr">
        <is>
          <t>1412/11/14</t>
        </is>
      </c>
    </row>
    <row r="5435">
      <c r="A5435" t="n">
        <v>14121115</v>
      </c>
      <c r="B5435" t="n">
        <v>48978</v>
      </c>
      <c r="C5435" t="inlineStr">
        <is>
          <t>1412/11/15</t>
        </is>
      </c>
    </row>
    <row r="5436">
      <c r="A5436" t="n">
        <v>14121116</v>
      </c>
      <c r="B5436" t="n">
        <v>48979</v>
      </c>
      <c r="C5436" t="inlineStr">
        <is>
          <t>1412/11/16</t>
        </is>
      </c>
    </row>
    <row r="5437">
      <c r="A5437" t="n">
        <v>14121117</v>
      </c>
      <c r="B5437" t="n">
        <v>48980</v>
      </c>
      <c r="C5437" t="inlineStr">
        <is>
          <t>1412/11/17</t>
        </is>
      </c>
    </row>
    <row r="5438">
      <c r="A5438" t="n">
        <v>14121118</v>
      </c>
      <c r="B5438" t="n">
        <v>48981</v>
      </c>
      <c r="C5438" t="inlineStr">
        <is>
          <t>1412/11/18</t>
        </is>
      </c>
    </row>
    <row r="5439">
      <c r="A5439" t="n">
        <v>14121119</v>
      </c>
      <c r="B5439" t="n">
        <v>48982</v>
      </c>
      <c r="C5439" t="inlineStr">
        <is>
          <t>1412/11/19</t>
        </is>
      </c>
    </row>
    <row r="5440">
      <c r="A5440" t="n">
        <v>14121120</v>
      </c>
      <c r="B5440" t="n">
        <v>48983</v>
      </c>
      <c r="C5440" t="inlineStr">
        <is>
          <t>1412/11/20</t>
        </is>
      </c>
    </row>
    <row r="5441">
      <c r="A5441" t="n">
        <v>14121121</v>
      </c>
      <c r="B5441" t="n">
        <v>48984</v>
      </c>
      <c r="C5441" t="inlineStr">
        <is>
          <t>1412/11/21</t>
        </is>
      </c>
    </row>
    <row r="5442">
      <c r="A5442" t="n">
        <v>14121122</v>
      </c>
      <c r="B5442" t="n">
        <v>48985</v>
      </c>
      <c r="C5442" t="inlineStr">
        <is>
          <t>1412/11/22</t>
        </is>
      </c>
    </row>
    <row r="5443">
      <c r="A5443" t="n">
        <v>14121123</v>
      </c>
      <c r="B5443" t="n">
        <v>48986</v>
      </c>
      <c r="C5443" t="inlineStr">
        <is>
          <t>1412/11/23</t>
        </is>
      </c>
    </row>
    <row r="5444">
      <c r="A5444" t="n">
        <v>14121124</v>
      </c>
      <c r="B5444" t="n">
        <v>48987</v>
      </c>
      <c r="C5444" t="inlineStr">
        <is>
          <t>1412/11/24</t>
        </is>
      </c>
    </row>
    <row r="5445">
      <c r="A5445" t="n">
        <v>14121125</v>
      </c>
      <c r="B5445" t="n">
        <v>48988</v>
      </c>
      <c r="C5445" t="inlineStr">
        <is>
          <t>1412/11/25</t>
        </is>
      </c>
    </row>
    <row r="5446">
      <c r="A5446" t="n">
        <v>14121126</v>
      </c>
      <c r="B5446" t="n">
        <v>48989</v>
      </c>
      <c r="C5446" t="inlineStr">
        <is>
          <t>1412/11/26</t>
        </is>
      </c>
    </row>
    <row r="5447">
      <c r="A5447" t="n">
        <v>14121127</v>
      </c>
      <c r="B5447" t="n">
        <v>48990</v>
      </c>
      <c r="C5447" t="inlineStr">
        <is>
          <t>1412/11/27</t>
        </is>
      </c>
    </row>
    <row r="5448">
      <c r="A5448" t="n">
        <v>14121128</v>
      </c>
      <c r="B5448" t="n">
        <v>48991</v>
      </c>
      <c r="C5448" t="inlineStr">
        <is>
          <t>1412/11/28</t>
        </is>
      </c>
    </row>
    <row r="5449">
      <c r="A5449" t="n">
        <v>14121129</v>
      </c>
      <c r="B5449" t="n">
        <v>48992</v>
      </c>
      <c r="C5449" t="inlineStr">
        <is>
          <t>1412/11/29</t>
        </is>
      </c>
    </row>
    <row r="5450">
      <c r="A5450" t="n">
        <v>14121130</v>
      </c>
      <c r="B5450" t="n">
        <v>48993</v>
      </c>
      <c r="C5450" t="inlineStr">
        <is>
          <t>1412/11/30</t>
        </is>
      </c>
    </row>
    <row r="5451">
      <c r="A5451" t="n">
        <v>14121201</v>
      </c>
      <c r="B5451" t="n">
        <v>48994</v>
      </c>
      <c r="C5451" t="inlineStr">
        <is>
          <t>1412/12/01</t>
        </is>
      </c>
    </row>
    <row r="5452">
      <c r="A5452" t="n">
        <v>14121202</v>
      </c>
      <c r="B5452" t="n">
        <v>48995</v>
      </c>
      <c r="C5452" t="inlineStr">
        <is>
          <t>1412/12/02</t>
        </is>
      </c>
    </row>
    <row r="5453">
      <c r="A5453" t="n">
        <v>14121203</v>
      </c>
      <c r="B5453" t="n">
        <v>48996</v>
      </c>
      <c r="C5453" t="inlineStr">
        <is>
          <t>1412/12/03</t>
        </is>
      </c>
    </row>
    <row r="5454">
      <c r="A5454" t="n">
        <v>14121204</v>
      </c>
      <c r="B5454" t="n">
        <v>48997</v>
      </c>
      <c r="C5454" t="inlineStr">
        <is>
          <t>1412/12/04</t>
        </is>
      </c>
    </row>
    <row r="5455">
      <c r="A5455" t="n">
        <v>14121205</v>
      </c>
      <c r="B5455" t="n">
        <v>48998</v>
      </c>
      <c r="C5455" t="inlineStr">
        <is>
          <t>1412/12/05</t>
        </is>
      </c>
    </row>
    <row r="5456">
      <c r="A5456" t="n">
        <v>14121206</v>
      </c>
      <c r="B5456" t="n">
        <v>48999</v>
      </c>
      <c r="C5456" t="inlineStr">
        <is>
          <t>1412/12/06</t>
        </is>
      </c>
    </row>
    <row r="5457">
      <c r="A5457" t="n">
        <v>14121207</v>
      </c>
      <c r="B5457" t="n">
        <v>49000</v>
      </c>
      <c r="C5457" t="inlineStr">
        <is>
          <t>1412/12/07</t>
        </is>
      </c>
    </row>
    <row r="5458">
      <c r="A5458" t="n">
        <v>14121208</v>
      </c>
      <c r="B5458" t="n">
        <v>49001</v>
      </c>
      <c r="C5458" t="inlineStr">
        <is>
          <t>1412/12/08</t>
        </is>
      </c>
    </row>
    <row r="5459">
      <c r="A5459" t="n">
        <v>14121209</v>
      </c>
      <c r="B5459" t="n">
        <v>49002</v>
      </c>
      <c r="C5459" t="inlineStr">
        <is>
          <t>1412/12/09</t>
        </is>
      </c>
    </row>
    <row r="5460">
      <c r="A5460" t="n">
        <v>14121210</v>
      </c>
      <c r="B5460" t="n">
        <v>49003</v>
      </c>
      <c r="C5460" t="inlineStr">
        <is>
          <t>1412/12/10</t>
        </is>
      </c>
    </row>
    <row r="5461">
      <c r="A5461" t="n">
        <v>14121211</v>
      </c>
      <c r="B5461" t="n">
        <v>49004</v>
      </c>
      <c r="C5461" t="inlineStr">
        <is>
          <t>1412/12/11</t>
        </is>
      </c>
    </row>
    <row r="5462">
      <c r="A5462" t="n">
        <v>14121212</v>
      </c>
      <c r="B5462" t="n">
        <v>49005</v>
      </c>
      <c r="C5462" t="inlineStr">
        <is>
          <t>1412/12/12</t>
        </is>
      </c>
    </row>
    <row r="5463">
      <c r="A5463" t="n">
        <v>14121213</v>
      </c>
      <c r="B5463" t="n">
        <v>49006</v>
      </c>
      <c r="C5463" t="inlineStr">
        <is>
          <t>1412/12/13</t>
        </is>
      </c>
    </row>
    <row r="5464">
      <c r="A5464" t="n">
        <v>14121214</v>
      </c>
      <c r="B5464" t="n">
        <v>49007</v>
      </c>
      <c r="C5464" t="inlineStr">
        <is>
          <t>1412/12/14</t>
        </is>
      </c>
    </row>
    <row r="5465">
      <c r="A5465" t="n">
        <v>14121215</v>
      </c>
      <c r="B5465" t="n">
        <v>49008</v>
      </c>
      <c r="C5465" t="inlineStr">
        <is>
          <t>1412/12/15</t>
        </is>
      </c>
    </row>
    <row r="5466">
      <c r="A5466" t="n">
        <v>14121216</v>
      </c>
      <c r="B5466" t="n">
        <v>49009</v>
      </c>
      <c r="C5466" t="inlineStr">
        <is>
          <t>1412/12/16</t>
        </is>
      </c>
    </row>
    <row r="5467">
      <c r="A5467" t="n">
        <v>14121217</v>
      </c>
      <c r="B5467" t="n">
        <v>49010</v>
      </c>
      <c r="C5467" t="inlineStr">
        <is>
          <t>1412/12/17</t>
        </is>
      </c>
    </row>
    <row r="5468">
      <c r="A5468" t="n">
        <v>14121218</v>
      </c>
      <c r="B5468" t="n">
        <v>49011</v>
      </c>
      <c r="C5468" t="inlineStr">
        <is>
          <t>1412/12/18</t>
        </is>
      </c>
    </row>
    <row r="5469">
      <c r="A5469" t="n">
        <v>14121219</v>
      </c>
      <c r="B5469" t="n">
        <v>49012</v>
      </c>
      <c r="C5469" t="inlineStr">
        <is>
          <t>1412/12/19</t>
        </is>
      </c>
    </row>
    <row r="5470">
      <c r="A5470" t="n">
        <v>14121220</v>
      </c>
      <c r="B5470" t="n">
        <v>49013</v>
      </c>
      <c r="C5470" t="inlineStr">
        <is>
          <t>1412/12/20</t>
        </is>
      </c>
    </row>
    <row r="5471">
      <c r="A5471" t="n">
        <v>14121221</v>
      </c>
      <c r="B5471" t="n">
        <v>49014</v>
      </c>
      <c r="C5471" t="inlineStr">
        <is>
          <t>1412/12/21</t>
        </is>
      </c>
    </row>
    <row r="5472">
      <c r="A5472" t="n">
        <v>14121222</v>
      </c>
      <c r="B5472" t="n">
        <v>49015</v>
      </c>
      <c r="C5472" t="inlineStr">
        <is>
          <t>1412/12/22</t>
        </is>
      </c>
    </row>
    <row r="5473">
      <c r="A5473" t="n">
        <v>14121223</v>
      </c>
      <c r="B5473" t="n">
        <v>49016</v>
      </c>
      <c r="C5473" t="inlineStr">
        <is>
          <t>1412/12/23</t>
        </is>
      </c>
    </row>
    <row r="5474">
      <c r="A5474" t="n">
        <v>14121224</v>
      </c>
      <c r="B5474" t="n">
        <v>49017</v>
      </c>
      <c r="C5474" t="inlineStr">
        <is>
          <t>1412/12/24</t>
        </is>
      </c>
    </row>
    <row r="5475">
      <c r="A5475" t="n">
        <v>14121225</v>
      </c>
      <c r="B5475" t="n">
        <v>49018</v>
      </c>
      <c r="C5475" t="inlineStr">
        <is>
          <t>1412/12/25</t>
        </is>
      </c>
    </row>
    <row r="5476">
      <c r="A5476" t="n">
        <v>14121226</v>
      </c>
      <c r="B5476" t="n">
        <v>49019</v>
      </c>
      <c r="C5476" t="inlineStr">
        <is>
          <t>1412/12/26</t>
        </is>
      </c>
    </row>
    <row r="5477">
      <c r="A5477" t="n">
        <v>14121227</v>
      </c>
      <c r="B5477" t="n">
        <v>49020</v>
      </c>
      <c r="C5477" t="inlineStr">
        <is>
          <t>1412/12/27</t>
        </is>
      </c>
    </row>
    <row r="5478">
      <c r="A5478" t="n">
        <v>14121228</v>
      </c>
      <c r="B5478" t="n">
        <v>49021</v>
      </c>
      <c r="C5478" t="inlineStr">
        <is>
          <t>1412/12/28</t>
        </is>
      </c>
    </row>
    <row r="5479">
      <c r="A5479" t="n">
        <v>14121229</v>
      </c>
      <c r="B5479" t="n">
        <v>49022</v>
      </c>
      <c r="C5479" t="inlineStr">
        <is>
          <t>1412/12/29</t>
        </is>
      </c>
    </row>
    <row r="5480">
      <c r="A5480" t="n">
        <v>14121230</v>
      </c>
      <c r="B5480" t="n">
        <v>49023</v>
      </c>
      <c r="C5480" t="inlineStr">
        <is>
          <t>1412/12/30</t>
        </is>
      </c>
    </row>
    <row r="5481">
      <c r="A5481" t="n">
        <v>14130101</v>
      </c>
      <c r="B5481" t="n">
        <v>49024</v>
      </c>
      <c r="C5481" t="inlineStr">
        <is>
          <t>1413/01/01</t>
        </is>
      </c>
    </row>
    <row r="5482">
      <c r="A5482" t="n">
        <v>14130102</v>
      </c>
      <c r="B5482" t="n">
        <v>49025</v>
      </c>
      <c r="C5482" t="inlineStr">
        <is>
          <t>1413/01/02</t>
        </is>
      </c>
    </row>
    <row r="5483">
      <c r="A5483" t="n">
        <v>14130103</v>
      </c>
      <c r="B5483" t="n">
        <v>49026</v>
      </c>
      <c r="C5483" t="inlineStr">
        <is>
          <t>1413/01/03</t>
        </is>
      </c>
    </row>
    <row r="5484">
      <c r="A5484" t="n">
        <v>14130104</v>
      </c>
      <c r="B5484" t="n">
        <v>49027</v>
      </c>
      <c r="C5484" t="inlineStr">
        <is>
          <t>1413/01/04</t>
        </is>
      </c>
    </row>
    <row r="5485">
      <c r="A5485" t="n">
        <v>14130105</v>
      </c>
      <c r="B5485" t="n">
        <v>49028</v>
      </c>
      <c r="C5485" t="inlineStr">
        <is>
          <t>1413/01/05</t>
        </is>
      </c>
    </row>
    <row r="5486">
      <c r="A5486" t="n">
        <v>14130106</v>
      </c>
      <c r="B5486" t="n">
        <v>49029</v>
      </c>
      <c r="C5486" t="inlineStr">
        <is>
          <t>1413/01/06</t>
        </is>
      </c>
    </row>
    <row r="5487">
      <c r="A5487" t="n">
        <v>14130107</v>
      </c>
      <c r="B5487" t="n">
        <v>49030</v>
      </c>
      <c r="C5487" t="inlineStr">
        <is>
          <t>1413/01/07</t>
        </is>
      </c>
    </row>
    <row r="5488">
      <c r="A5488" t="n">
        <v>14130108</v>
      </c>
      <c r="B5488" t="n">
        <v>49031</v>
      </c>
      <c r="C5488" t="inlineStr">
        <is>
          <t>1413/01/08</t>
        </is>
      </c>
    </row>
    <row r="5489">
      <c r="A5489" t="n">
        <v>14130109</v>
      </c>
      <c r="B5489" t="n">
        <v>49032</v>
      </c>
      <c r="C5489" t="inlineStr">
        <is>
          <t>1413/01/09</t>
        </is>
      </c>
    </row>
    <row r="5490">
      <c r="A5490" t="n">
        <v>14130110</v>
      </c>
      <c r="B5490" t="n">
        <v>49033</v>
      </c>
      <c r="C5490" t="inlineStr">
        <is>
          <t>1413/01/10</t>
        </is>
      </c>
    </row>
    <row r="5491">
      <c r="A5491" t="n">
        <v>14130111</v>
      </c>
      <c r="B5491" t="n">
        <v>49034</v>
      </c>
      <c r="C5491" t="inlineStr">
        <is>
          <t>1413/01/11</t>
        </is>
      </c>
    </row>
    <row r="5492">
      <c r="A5492" t="n">
        <v>14130112</v>
      </c>
      <c r="B5492" t="n">
        <v>49035</v>
      </c>
      <c r="C5492" t="inlineStr">
        <is>
          <t>1413/01/12</t>
        </is>
      </c>
    </row>
    <row r="5493">
      <c r="A5493" t="n">
        <v>14130113</v>
      </c>
      <c r="B5493" t="n">
        <v>49036</v>
      </c>
      <c r="C5493" t="inlineStr">
        <is>
          <t>1413/01/13</t>
        </is>
      </c>
    </row>
    <row r="5494">
      <c r="A5494" t="n">
        <v>14130114</v>
      </c>
      <c r="B5494" t="n">
        <v>49037</v>
      </c>
      <c r="C5494" t="inlineStr">
        <is>
          <t>1413/01/14</t>
        </is>
      </c>
    </row>
    <row r="5495">
      <c r="A5495" t="n">
        <v>14130115</v>
      </c>
      <c r="B5495" t="n">
        <v>49038</v>
      </c>
      <c r="C5495" t="inlineStr">
        <is>
          <t>1413/01/15</t>
        </is>
      </c>
    </row>
    <row r="5496">
      <c r="A5496" t="n">
        <v>14130116</v>
      </c>
      <c r="B5496" t="n">
        <v>49039</v>
      </c>
      <c r="C5496" t="inlineStr">
        <is>
          <t>1413/01/16</t>
        </is>
      </c>
    </row>
    <row r="5497">
      <c r="A5497" t="n">
        <v>14130117</v>
      </c>
      <c r="B5497" t="n">
        <v>49040</v>
      </c>
      <c r="C5497" t="inlineStr">
        <is>
          <t>1413/01/17</t>
        </is>
      </c>
    </row>
    <row r="5498">
      <c r="A5498" t="n">
        <v>14130118</v>
      </c>
      <c r="B5498" t="n">
        <v>49041</v>
      </c>
      <c r="C5498" t="inlineStr">
        <is>
          <t>1413/01/18</t>
        </is>
      </c>
    </row>
    <row r="5499">
      <c r="A5499" t="n">
        <v>14130119</v>
      </c>
      <c r="B5499" t="n">
        <v>49042</v>
      </c>
      <c r="C5499" t="inlineStr">
        <is>
          <t>1413/01/19</t>
        </is>
      </c>
    </row>
    <row r="5500">
      <c r="A5500" t="n">
        <v>14130120</v>
      </c>
      <c r="B5500" t="n">
        <v>49043</v>
      </c>
      <c r="C5500" t="inlineStr">
        <is>
          <t>1413/01/20</t>
        </is>
      </c>
    </row>
    <row r="5501">
      <c r="A5501" t="n">
        <v>14130121</v>
      </c>
      <c r="B5501" t="n">
        <v>49044</v>
      </c>
      <c r="C5501" t="inlineStr">
        <is>
          <t>1413/01/21</t>
        </is>
      </c>
    </row>
    <row r="5502">
      <c r="A5502" t="n">
        <v>14130122</v>
      </c>
      <c r="B5502" t="n">
        <v>49045</v>
      </c>
      <c r="C5502" t="inlineStr">
        <is>
          <t>1413/01/22</t>
        </is>
      </c>
    </row>
    <row r="5503">
      <c r="A5503" t="n">
        <v>14130123</v>
      </c>
      <c r="B5503" t="n">
        <v>49046</v>
      </c>
      <c r="C5503" t="inlineStr">
        <is>
          <t>1413/01/23</t>
        </is>
      </c>
    </row>
    <row r="5504">
      <c r="A5504" t="n">
        <v>14130124</v>
      </c>
      <c r="B5504" t="n">
        <v>49047</v>
      </c>
      <c r="C5504" t="inlineStr">
        <is>
          <t>1413/01/24</t>
        </is>
      </c>
    </row>
    <row r="5505">
      <c r="A5505" t="n">
        <v>14130125</v>
      </c>
      <c r="B5505" t="n">
        <v>49048</v>
      </c>
      <c r="C5505" t="inlineStr">
        <is>
          <t>1413/01/25</t>
        </is>
      </c>
    </row>
    <row r="5506">
      <c r="A5506" t="n">
        <v>14130126</v>
      </c>
      <c r="B5506" t="n">
        <v>49049</v>
      </c>
      <c r="C5506" t="inlineStr">
        <is>
          <t>1413/01/26</t>
        </is>
      </c>
    </row>
    <row r="5507">
      <c r="A5507" t="n">
        <v>14130127</v>
      </c>
      <c r="B5507" t="n">
        <v>49050</v>
      </c>
      <c r="C5507" t="inlineStr">
        <is>
          <t>1413/01/27</t>
        </is>
      </c>
    </row>
    <row r="5508">
      <c r="A5508" t="n">
        <v>14130128</v>
      </c>
      <c r="B5508" t="n">
        <v>49051</v>
      </c>
      <c r="C5508" t="inlineStr">
        <is>
          <t>1413/01/28</t>
        </is>
      </c>
    </row>
    <row r="5509">
      <c r="A5509" t="n">
        <v>14130129</v>
      </c>
      <c r="B5509" t="n">
        <v>49052</v>
      </c>
      <c r="C5509" t="inlineStr">
        <is>
          <t>1413/01/29</t>
        </is>
      </c>
    </row>
    <row r="5510">
      <c r="A5510" t="n">
        <v>14130130</v>
      </c>
      <c r="B5510" t="n">
        <v>49053</v>
      </c>
      <c r="C5510" t="inlineStr">
        <is>
          <t>1413/01/30</t>
        </is>
      </c>
    </row>
    <row r="5511">
      <c r="A5511" t="n">
        <v>14130131</v>
      </c>
      <c r="B5511" t="n">
        <v>49054</v>
      </c>
      <c r="C5511" t="inlineStr">
        <is>
          <t>1413/01/31</t>
        </is>
      </c>
    </row>
    <row r="5512">
      <c r="A5512" t="n">
        <v>14130201</v>
      </c>
      <c r="B5512" t="n">
        <v>49055</v>
      </c>
      <c r="C5512" t="inlineStr">
        <is>
          <t>1413/02/01</t>
        </is>
      </c>
    </row>
    <row r="5513">
      <c r="A5513" t="n">
        <v>14130202</v>
      </c>
      <c r="B5513" t="n">
        <v>49056</v>
      </c>
      <c r="C5513" t="inlineStr">
        <is>
          <t>1413/02/02</t>
        </is>
      </c>
    </row>
    <row r="5514">
      <c r="A5514" t="n">
        <v>14130203</v>
      </c>
      <c r="B5514" t="n">
        <v>49057</v>
      </c>
      <c r="C5514" t="inlineStr">
        <is>
          <t>1413/02/03</t>
        </is>
      </c>
    </row>
    <row r="5515">
      <c r="A5515" t="n">
        <v>14130204</v>
      </c>
      <c r="B5515" t="n">
        <v>49058</v>
      </c>
      <c r="C5515" t="inlineStr">
        <is>
          <t>1413/02/04</t>
        </is>
      </c>
    </row>
    <row r="5516">
      <c r="A5516" t="n">
        <v>14130205</v>
      </c>
      <c r="B5516" t="n">
        <v>49059</v>
      </c>
      <c r="C5516" t="inlineStr">
        <is>
          <t>1413/02/05</t>
        </is>
      </c>
    </row>
    <row r="5517">
      <c r="A5517" t="n">
        <v>14130206</v>
      </c>
      <c r="B5517" t="n">
        <v>49060</v>
      </c>
      <c r="C5517" t="inlineStr">
        <is>
          <t>1413/02/06</t>
        </is>
      </c>
    </row>
    <row r="5518">
      <c r="A5518" t="n">
        <v>14130207</v>
      </c>
      <c r="B5518" t="n">
        <v>49061</v>
      </c>
      <c r="C5518" t="inlineStr">
        <is>
          <t>1413/02/07</t>
        </is>
      </c>
    </row>
    <row r="5519">
      <c r="A5519" t="n">
        <v>14130208</v>
      </c>
      <c r="B5519" t="n">
        <v>49062</v>
      </c>
      <c r="C5519" t="inlineStr">
        <is>
          <t>1413/02/08</t>
        </is>
      </c>
    </row>
    <row r="5520">
      <c r="A5520" t="n">
        <v>14130209</v>
      </c>
      <c r="B5520" t="n">
        <v>49063</v>
      </c>
      <c r="C5520" t="inlineStr">
        <is>
          <t>1413/02/09</t>
        </is>
      </c>
    </row>
    <row r="5521">
      <c r="A5521" t="n">
        <v>14130210</v>
      </c>
      <c r="B5521" t="n">
        <v>49064</v>
      </c>
      <c r="C5521" t="inlineStr">
        <is>
          <t>1413/02/10</t>
        </is>
      </c>
    </row>
    <row r="5522">
      <c r="A5522" t="n">
        <v>14130211</v>
      </c>
      <c r="B5522" t="n">
        <v>49065</v>
      </c>
      <c r="C5522" t="inlineStr">
        <is>
          <t>1413/02/11</t>
        </is>
      </c>
    </row>
    <row r="5523">
      <c r="A5523" t="n">
        <v>14130212</v>
      </c>
      <c r="B5523" t="n">
        <v>49066</v>
      </c>
      <c r="C5523" t="inlineStr">
        <is>
          <t>1413/02/12</t>
        </is>
      </c>
    </row>
    <row r="5524">
      <c r="A5524" t="n">
        <v>14130213</v>
      </c>
      <c r="B5524" t="n">
        <v>49067</v>
      </c>
      <c r="C5524" t="inlineStr">
        <is>
          <t>1413/02/13</t>
        </is>
      </c>
    </row>
    <row r="5525">
      <c r="A5525" t="n">
        <v>14130214</v>
      </c>
      <c r="B5525" t="n">
        <v>49068</v>
      </c>
      <c r="C5525" t="inlineStr">
        <is>
          <t>1413/02/14</t>
        </is>
      </c>
    </row>
    <row r="5526">
      <c r="A5526" t="n">
        <v>14130215</v>
      </c>
      <c r="B5526" t="n">
        <v>49069</v>
      </c>
      <c r="C5526" t="inlineStr">
        <is>
          <t>1413/02/15</t>
        </is>
      </c>
    </row>
    <row r="5527">
      <c r="A5527" t="n">
        <v>14130216</v>
      </c>
      <c r="B5527" t="n">
        <v>49070</v>
      </c>
      <c r="C5527" t="inlineStr">
        <is>
          <t>1413/02/16</t>
        </is>
      </c>
    </row>
    <row r="5528">
      <c r="A5528" t="n">
        <v>14130217</v>
      </c>
      <c r="B5528" t="n">
        <v>49071</v>
      </c>
      <c r="C5528" t="inlineStr">
        <is>
          <t>1413/02/17</t>
        </is>
      </c>
    </row>
    <row r="5529">
      <c r="A5529" t="n">
        <v>14130218</v>
      </c>
      <c r="B5529" t="n">
        <v>49072</v>
      </c>
      <c r="C5529" t="inlineStr">
        <is>
          <t>1413/02/18</t>
        </is>
      </c>
    </row>
    <row r="5530">
      <c r="A5530" t="n">
        <v>14130219</v>
      </c>
      <c r="B5530" t="n">
        <v>49073</v>
      </c>
      <c r="C5530" t="inlineStr">
        <is>
          <t>1413/02/19</t>
        </is>
      </c>
    </row>
    <row r="5531">
      <c r="A5531" t="n">
        <v>14130220</v>
      </c>
      <c r="B5531" t="n">
        <v>49074</v>
      </c>
      <c r="C5531" t="inlineStr">
        <is>
          <t>1413/02/20</t>
        </is>
      </c>
    </row>
    <row r="5532">
      <c r="A5532" t="n">
        <v>14130221</v>
      </c>
      <c r="B5532" t="n">
        <v>49075</v>
      </c>
      <c r="C5532" t="inlineStr">
        <is>
          <t>1413/02/21</t>
        </is>
      </c>
    </row>
    <row r="5533">
      <c r="A5533" t="n">
        <v>14130222</v>
      </c>
      <c r="B5533" t="n">
        <v>49076</v>
      </c>
      <c r="C5533" t="inlineStr">
        <is>
          <t>1413/02/22</t>
        </is>
      </c>
    </row>
    <row r="5534">
      <c r="A5534" t="n">
        <v>14130223</v>
      </c>
      <c r="B5534" t="n">
        <v>49077</v>
      </c>
      <c r="C5534" t="inlineStr">
        <is>
          <t>1413/02/23</t>
        </is>
      </c>
    </row>
    <row r="5535">
      <c r="A5535" t="n">
        <v>14130224</v>
      </c>
      <c r="B5535" t="n">
        <v>49078</v>
      </c>
      <c r="C5535" t="inlineStr">
        <is>
          <t>1413/02/24</t>
        </is>
      </c>
    </row>
    <row r="5536">
      <c r="A5536" t="n">
        <v>14130225</v>
      </c>
      <c r="B5536" t="n">
        <v>49079</v>
      </c>
      <c r="C5536" t="inlineStr">
        <is>
          <t>1413/02/25</t>
        </is>
      </c>
    </row>
    <row r="5537">
      <c r="A5537" t="n">
        <v>14130226</v>
      </c>
      <c r="B5537" t="n">
        <v>49080</v>
      </c>
      <c r="C5537" t="inlineStr">
        <is>
          <t>1413/02/26</t>
        </is>
      </c>
    </row>
    <row r="5538">
      <c r="A5538" t="n">
        <v>14130227</v>
      </c>
      <c r="B5538" t="n">
        <v>49081</v>
      </c>
      <c r="C5538" t="inlineStr">
        <is>
          <t>1413/02/27</t>
        </is>
      </c>
    </row>
    <row r="5539">
      <c r="A5539" t="n">
        <v>14130228</v>
      </c>
      <c r="B5539" t="n">
        <v>49082</v>
      </c>
      <c r="C5539" t="inlineStr">
        <is>
          <t>1413/02/28</t>
        </is>
      </c>
    </row>
    <row r="5540">
      <c r="A5540" t="n">
        <v>14130229</v>
      </c>
      <c r="B5540" t="n">
        <v>49083</v>
      </c>
      <c r="C5540" t="inlineStr">
        <is>
          <t>1413/02/29</t>
        </is>
      </c>
    </row>
    <row r="5541">
      <c r="A5541" t="n">
        <v>14130230</v>
      </c>
      <c r="B5541" t="n">
        <v>49084</v>
      </c>
      <c r="C5541" t="inlineStr">
        <is>
          <t>1413/02/30</t>
        </is>
      </c>
    </row>
    <row r="5542">
      <c r="A5542" t="n">
        <v>14130231</v>
      </c>
      <c r="B5542" t="n">
        <v>49085</v>
      </c>
      <c r="C5542" t="inlineStr">
        <is>
          <t>1413/02/31</t>
        </is>
      </c>
    </row>
    <row r="5543">
      <c r="A5543" t="n">
        <v>14130301</v>
      </c>
      <c r="B5543" t="n">
        <v>49086</v>
      </c>
      <c r="C5543" t="inlineStr">
        <is>
          <t>1413/03/01</t>
        </is>
      </c>
    </row>
    <row r="5544">
      <c r="A5544" t="n">
        <v>14130302</v>
      </c>
      <c r="B5544" t="n">
        <v>49087</v>
      </c>
      <c r="C5544" t="inlineStr">
        <is>
          <t>1413/03/02</t>
        </is>
      </c>
    </row>
    <row r="5545">
      <c r="A5545" t="n">
        <v>14130303</v>
      </c>
      <c r="B5545" t="n">
        <v>49088</v>
      </c>
      <c r="C5545" t="inlineStr">
        <is>
          <t>1413/03/03</t>
        </is>
      </c>
    </row>
    <row r="5546">
      <c r="A5546" t="n">
        <v>14130304</v>
      </c>
      <c r="B5546" t="n">
        <v>49089</v>
      </c>
      <c r="C5546" t="inlineStr">
        <is>
          <t>1413/03/04</t>
        </is>
      </c>
    </row>
    <row r="5547">
      <c r="A5547" t="n">
        <v>14130305</v>
      </c>
      <c r="B5547" t="n">
        <v>49090</v>
      </c>
      <c r="C5547" t="inlineStr">
        <is>
          <t>1413/03/05</t>
        </is>
      </c>
    </row>
    <row r="5548">
      <c r="A5548" t="n">
        <v>14130306</v>
      </c>
      <c r="B5548" t="n">
        <v>49091</v>
      </c>
      <c r="C5548" t="inlineStr">
        <is>
          <t>1413/03/06</t>
        </is>
      </c>
    </row>
    <row r="5549">
      <c r="A5549" t="n">
        <v>14130307</v>
      </c>
      <c r="B5549" t="n">
        <v>49092</v>
      </c>
      <c r="C5549" t="inlineStr">
        <is>
          <t>1413/03/07</t>
        </is>
      </c>
    </row>
    <row r="5550">
      <c r="A5550" t="n">
        <v>14130308</v>
      </c>
      <c r="B5550" t="n">
        <v>49093</v>
      </c>
      <c r="C5550" t="inlineStr">
        <is>
          <t>1413/03/08</t>
        </is>
      </c>
    </row>
    <row r="5551">
      <c r="A5551" t="n">
        <v>14130309</v>
      </c>
      <c r="B5551" t="n">
        <v>49094</v>
      </c>
      <c r="C5551" t="inlineStr">
        <is>
          <t>1413/03/09</t>
        </is>
      </c>
    </row>
    <row r="5552">
      <c r="A5552" t="n">
        <v>14130310</v>
      </c>
      <c r="B5552" t="n">
        <v>49095</v>
      </c>
      <c r="C5552" t="inlineStr">
        <is>
          <t>1413/03/10</t>
        </is>
      </c>
    </row>
    <row r="5553">
      <c r="A5553" t="n">
        <v>14130311</v>
      </c>
      <c r="B5553" t="n">
        <v>49096</v>
      </c>
      <c r="C5553" t="inlineStr">
        <is>
          <t>1413/03/11</t>
        </is>
      </c>
    </row>
    <row r="5554">
      <c r="A5554" t="n">
        <v>14130312</v>
      </c>
      <c r="B5554" t="n">
        <v>49097</v>
      </c>
      <c r="C5554" t="inlineStr">
        <is>
          <t>1413/03/12</t>
        </is>
      </c>
    </row>
    <row r="5555">
      <c r="A5555" t="n">
        <v>14130313</v>
      </c>
      <c r="B5555" t="n">
        <v>49098</v>
      </c>
      <c r="C5555" t="inlineStr">
        <is>
          <t>1413/03/13</t>
        </is>
      </c>
    </row>
    <row r="5556">
      <c r="A5556" t="n">
        <v>14130314</v>
      </c>
      <c r="B5556" t="n">
        <v>49099</v>
      </c>
      <c r="C5556" t="inlineStr">
        <is>
          <t>1413/03/14</t>
        </is>
      </c>
    </row>
    <row r="5557">
      <c r="A5557" t="n">
        <v>14130315</v>
      </c>
      <c r="B5557" t="n">
        <v>49100</v>
      </c>
      <c r="C5557" t="inlineStr">
        <is>
          <t>1413/03/15</t>
        </is>
      </c>
    </row>
    <row r="5558">
      <c r="A5558" t="n">
        <v>14130316</v>
      </c>
      <c r="B5558" t="n">
        <v>49101</v>
      </c>
      <c r="C5558" t="inlineStr">
        <is>
          <t>1413/03/16</t>
        </is>
      </c>
    </row>
    <row r="5559">
      <c r="A5559" t="n">
        <v>14130317</v>
      </c>
      <c r="B5559" t="n">
        <v>49102</v>
      </c>
      <c r="C5559" t="inlineStr">
        <is>
          <t>1413/03/17</t>
        </is>
      </c>
    </row>
    <row r="5560">
      <c r="A5560" t="n">
        <v>14130318</v>
      </c>
      <c r="B5560" t="n">
        <v>49103</v>
      </c>
      <c r="C5560" t="inlineStr">
        <is>
          <t>1413/03/18</t>
        </is>
      </c>
    </row>
    <row r="5561">
      <c r="A5561" t="n">
        <v>14130319</v>
      </c>
      <c r="B5561" t="n">
        <v>49104</v>
      </c>
      <c r="C5561" t="inlineStr">
        <is>
          <t>1413/03/19</t>
        </is>
      </c>
    </row>
    <row r="5562">
      <c r="A5562" t="n">
        <v>14130320</v>
      </c>
      <c r="B5562" t="n">
        <v>49105</v>
      </c>
      <c r="C5562" t="inlineStr">
        <is>
          <t>1413/03/20</t>
        </is>
      </c>
    </row>
    <row r="5563">
      <c r="A5563" t="n">
        <v>14130321</v>
      </c>
      <c r="B5563" t="n">
        <v>49106</v>
      </c>
      <c r="C5563" t="inlineStr">
        <is>
          <t>1413/03/21</t>
        </is>
      </c>
    </row>
    <row r="5564">
      <c r="A5564" t="n">
        <v>14130322</v>
      </c>
      <c r="B5564" t="n">
        <v>49107</v>
      </c>
      <c r="C5564" t="inlineStr">
        <is>
          <t>1413/03/22</t>
        </is>
      </c>
    </row>
    <row r="5565">
      <c r="A5565" t="n">
        <v>14130323</v>
      </c>
      <c r="B5565" t="n">
        <v>49108</v>
      </c>
      <c r="C5565" t="inlineStr">
        <is>
          <t>1413/03/23</t>
        </is>
      </c>
    </row>
    <row r="5566">
      <c r="A5566" t="n">
        <v>14130324</v>
      </c>
      <c r="B5566" t="n">
        <v>49109</v>
      </c>
      <c r="C5566" t="inlineStr">
        <is>
          <t>1413/03/24</t>
        </is>
      </c>
    </row>
    <row r="5567">
      <c r="A5567" t="n">
        <v>14130325</v>
      </c>
      <c r="B5567" t="n">
        <v>49110</v>
      </c>
      <c r="C5567" t="inlineStr">
        <is>
          <t>1413/03/25</t>
        </is>
      </c>
    </row>
    <row r="5568">
      <c r="A5568" t="n">
        <v>14130326</v>
      </c>
      <c r="B5568" t="n">
        <v>49111</v>
      </c>
      <c r="C5568" t="inlineStr">
        <is>
          <t>1413/03/26</t>
        </is>
      </c>
    </row>
    <row r="5569">
      <c r="A5569" t="n">
        <v>14130327</v>
      </c>
      <c r="B5569" t="n">
        <v>49112</v>
      </c>
      <c r="C5569" t="inlineStr">
        <is>
          <t>1413/03/27</t>
        </is>
      </c>
    </row>
    <row r="5570">
      <c r="A5570" t="n">
        <v>14130328</v>
      </c>
      <c r="B5570" t="n">
        <v>49113</v>
      </c>
      <c r="C5570" t="inlineStr">
        <is>
          <t>1413/03/28</t>
        </is>
      </c>
    </row>
    <row r="5571">
      <c r="A5571" t="n">
        <v>14130329</v>
      </c>
      <c r="B5571" t="n">
        <v>49114</v>
      </c>
      <c r="C5571" t="inlineStr">
        <is>
          <t>1413/03/29</t>
        </is>
      </c>
    </row>
    <row r="5572">
      <c r="A5572" t="n">
        <v>14130330</v>
      </c>
      <c r="B5572" t="n">
        <v>49115</v>
      </c>
      <c r="C5572" t="inlineStr">
        <is>
          <t>1413/03/30</t>
        </is>
      </c>
    </row>
    <row r="5573">
      <c r="A5573" t="n">
        <v>14130331</v>
      </c>
      <c r="B5573" t="n">
        <v>49116</v>
      </c>
      <c r="C5573" t="inlineStr">
        <is>
          <t>1413/03/31</t>
        </is>
      </c>
    </row>
    <row r="5574">
      <c r="A5574" t="n">
        <v>14130401</v>
      </c>
      <c r="B5574" t="n">
        <v>49117</v>
      </c>
      <c r="C5574" t="inlineStr">
        <is>
          <t>1413/04/01</t>
        </is>
      </c>
    </row>
    <row r="5575">
      <c r="A5575" t="n">
        <v>14130402</v>
      </c>
      <c r="B5575" t="n">
        <v>49118</v>
      </c>
      <c r="C5575" t="inlineStr">
        <is>
          <t>1413/04/02</t>
        </is>
      </c>
    </row>
    <row r="5576">
      <c r="A5576" t="n">
        <v>14130403</v>
      </c>
      <c r="B5576" t="n">
        <v>49119</v>
      </c>
      <c r="C5576" t="inlineStr">
        <is>
          <t>1413/04/03</t>
        </is>
      </c>
    </row>
    <row r="5577">
      <c r="A5577" t="n">
        <v>14130404</v>
      </c>
      <c r="B5577" t="n">
        <v>49120</v>
      </c>
      <c r="C5577" t="inlineStr">
        <is>
          <t>1413/04/04</t>
        </is>
      </c>
    </row>
    <row r="5578">
      <c r="A5578" t="n">
        <v>14130405</v>
      </c>
      <c r="B5578" t="n">
        <v>49121</v>
      </c>
      <c r="C5578" t="inlineStr">
        <is>
          <t>1413/04/05</t>
        </is>
      </c>
    </row>
    <row r="5579">
      <c r="A5579" t="n">
        <v>14130406</v>
      </c>
      <c r="B5579" t="n">
        <v>49122</v>
      </c>
      <c r="C5579" t="inlineStr">
        <is>
          <t>1413/04/06</t>
        </is>
      </c>
    </row>
    <row r="5580">
      <c r="A5580" t="n">
        <v>14130407</v>
      </c>
      <c r="B5580" t="n">
        <v>49123</v>
      </c>
      <c r="C5580" t="inlineStr">
        <is>
          <t>1413/04/07</t>
        </is>
      </c>
    </row>
    <row r="5581">
      <c r="A5581" t="n">
        <v>14130408</v>
      </c>
      <c r="B5581" t="n">
        <v>49124</v>
      </c>
      <c r="C5581" t="inlineStr">
        <is>
          <t>1413/04/08</t>
        </is>
      </c>
    </row>
    <row r="5582">
      <c r="A5582" t="n">
        <v>14130409</v>
      </c>
      <c r="B5582" t="n">
        <v>49125</v>
      </c>
      <c r="C5582" t="inlineStr">
        <is>
          <t>1413/04/09</t>
        </is>
      </c>
    </row>
    <row r="5583">
      <c r="A5583" t="n">
        <v>14130410</v>
      </c>
      <c r="B5583" t="n">
        <v>49126</v>
      </c>
      <c r="C5583" t="inlineStr">
        <is>
          <t>1413/04/10</t>
        </is>
      </c>
    </row>
    <row r="5584">
      <c r="A5584" t="n">
        <v>14130411</v>
      </c>
      <c r="B5584" t="n">
        <v>49127</v>
      </c>
      <c r="C5584" t="inlineStr">
        <is>
          <t>1413/04/11</t>
        </is>
      </c>
    </row>
    <row r="5585">
      <c r="A5585" t="n">
        <v>14130412</v>
      </c>
      <c r="B5585" t="n">
        <v>49128</v>
      </c>
      <c r="C5585" t="inlineStr">
        <is>
          <t>1413/04/12</t>
        </is>
      </c>
    </row>
    <row r="5586">
      <c r="A5586" t="n">
        <v>14130413</v>
      </c>
      <c r="B5586" t="n">
        <v>49129</v>
      </c>
      <c r="C5586" t="inlineStr">
        <is>
          <t>1413/04/13</t>
        </is>
      </c>
    </row>
    <row r="5587">
      <c r="A5587" t="n">
        <v>14130414</v>
      </c>
      <c r="B5587" t="n">
        <v>49130</v>
      </c>
      <c r="C5587" t="inlineStr">
        <is>
          <t>1413/04/14</t>
        </is>
      </c>
    </row>
    <row r="5588">
      <c r="A5588" t="n">
        <v>14130415</v>
      </c>
      <c r="B5588" t="n">
        <v>49131</v>
      </c>
      <c r="C5588" t="inlineStr">
        <is>
          <t>1413/04/15</t>
        </is>
      </c>
    </row>
    <row r="5589">
      <c r="A5589" t="n">
        <v>14130416</v>
      </c>
      <c r="B5589" t="n">
        <v>49132</v>
      </c>
      <c r="C5589" t="inlineStr">
        <is>
          <t>1413/04/16</t>
        </is>
      </c>
    </row>
    <row r="5590">
      <c r="A5590" t="n">
        <v>14130417</v>
      </c>
      <c r="B5590" t="n">
        <v>49133</v>
      </c>
      <c r="C5590" t="inlineStr">
        <is>
          <t>1413/04/17</t>
        </is>
      </c>
    </row>
    <row r="5591">
      <c r="A5591" t="n">
        <v>14130418</v>
      </c>
      <c r="B5591" t="n">
        <v>49134</v>
      </c>
      <c r="C5591" t="inlineStr">
        <is>
          <t>1413/04/18</t>
        </is>
      </c>
    </row>
    <row r="5592">
      <c r="A5592" t="n">
        <v>14130419</v>
      </c>
      <c r="B5592" t="n">
        <v>49135</v>
      </c>
      <c r="C5592" t="inlineStr">
        <is>
          <t>1413/04/19</t>
        </is>
      </c>
    </row>
    <row r="5593">
      <c r="A5593" t="n">
        <v>14130420</v>
      </c>
      <c r="B5593" t="n">
        <v>49136</v>
      </c>
      <c r="C5593" t="inlineStr">
        <is>
          <t>1413/04/20</t>
        </is>
      </c>
    </row>
    <row r="5594">
      <c r="A5594" t="n">
        <v>14130421</v>
      </c>
      <c r="B5594" t="n">
        <v>49137</v>
      </c>
      <c r="C5594" t="inlineStr">
        <is>
          <t>1413/04/21</t>
        </is>
      </c>
    </row>
    <row r="5595">
      <c r="A5595" t="n">
        <v>14130422</v>
      </c>
      <c r="B5595" t="n">
        <v>49138</v>
      </c>
      <c r="C5595" t="inlineStr">
        <is>
          <t>1413/04/22</t>
        </is>
      </c>
    </row>
    <row r="5596">
      <c r="A5596" t="n">
        <v>14130423</v>
      </c>
      <c r="B5596" t="n">
        <v>49139</v>
      </c>
      <c r="C5596" t="inlineStr">
        <is>
          <t>1413/04/23</t>
        </is>
      </c>
    </row>
    <row r="5597">
      <c r="A5597" t="n">
        <v>14130424</v>
      </c>
      <c r="B5597" t="n">
        <v>49140</v>
      </c>
      <c r="C5597" t="inlineStr">
        <is>
          <t>1413/04/24</t>
        </is>
      </c>
    </row>
    <row r="5598">
      <c r="A5598" t="n">
        <v>14130425</v>
      </c>
      <c r="B5598" t="n">
        <v>49141</v>
      </c>
      <c r="C5598" t="inlineStr">
        <is>
          <t>1413/04/25</t>
        </is>
      </c>
    </row>
    <row r="5599">
      <c r="A5599" t="n">
        <v>14130426</v>
      </c>
      <c r="B5599" t="n">
        <v>49142</v>
      </c>
      <c r="C5599" t="inlineStr">
        <is>
          <t>1413/04/26</t>
        </is>
      </c>
    </row>
    <row r="5600">
      <c r="A5600" t="n">
        <v>14130427</v>
      </c>
      <c r="B5600" t="n">
        <v>49143</v>
      </c>
      <c r="C5600" t="inlineStr">
        <is>
          <t>1413/04/27</t>
        </is>
      </c>
    </row>
    <row r="5601">
      <c r="A5601" t="n">
        <v>14130428</v>
      </c>
      <c r="B5601" t="n">
        <v>49144</v>
      </c>
      <c r="C5601" t="inlineStr">
        <is>
          <t>1413/04/28</t>
        </is>
      </c>
    </row>
    <row r="5602">
      <c r="A5602" t="n">
        <v>14130429</v>
      </c>
      <c r="B5602" t="n">
        <v>49145</v>
      </c>
      <c r="C5602" t="inlineStr">
        <is>
          <t>1413/04/29</t>
        </is>
      </c>
    </row>
    <row r="5603">
      <c r="A5603" t="n">
        <v>14130430</v>
      </c>
      <c r="B5603" t="n">
        <v>49146</v>
      </c>
      <c r="C5603" t="inlineStr">
        <is>
          <t>1413/04/30</t>
        </is>
      </c>
    </row>
    <row r="5604">
      <c r="A5604" t="n">
        <v>14130431</v>
      </c>
      <c r="B5604" t="n">
        <v>49147</v>
      </c>
      <c r="C5604" t="inlineStr">
        <is>
          <t>1413/04/31</t>
        </is>
      </c>
    </row>
    <row r="5605">
      <c r="A5605" t="n">
        <v>14130501</v>
      </c>
      <c r="B5605" t="n">
        <v>49148</v>
      </c>
      <c r="C5605" t="inlineStr">
        <is>
          <t>1413/05/01</t>
        </is>
      </c>
    </row>
    <row r="5606">
      <c r="A5606" t="n">
        <v>14130502</v>
      </c>
      <c r="B5606" t="n">
        <v>49149</v>
      </c>
      <c r="C5606" t="inlineStr">
        <is>
          <t>1413/05/02</t>
        </is>
      </c>
    </row>
    <row r="5607">
      <c r="A5607" t="n">
        <v>14130503</v>
      </c>
      <c r="B5607" t="n">
        <v>49150</v>
      </c>
      <c r="C5607" t="inlineStr">
        <is>
          <t>1413/05/03</t>
        </is>
      </c>
    </row>
    <row r="5608">
      <c r="A5608" t="n">
        <v>14130504</v>
      </c>
      <c r="B5608" t="n">
        <v>49151</v>
      </c>
      <c r="C5608" t="inlineStr">
        <is>
          <t>1413/05/04</t>
        </is>
      </c>
    </row>
    <row r="5609">
      <c r="A5609" t="n">
        <v>14130505</v>
      </c>
      <c r="B5609" t="n">
        <v>49152</v>
      </c>
      <c r="C5609" t="inlineStr">
        <is>
          <t>1413/05/05</t>
        </is>
      </c>
    </row>
    <row r="5610">
      <c r="A5610" t="n">
        <v>14130506</v>
      </c>
      <c r="B5610" t="n">
        <v>49153</v>
      </c>
      <c r="C5610" t="inlineStr">
        <is>
          <t>1413/05/06</t>
        </is>
      </c>
    </row>
    <row r="5611">
      <c r="A5611" t="n">
        <v>14130507</v>
      </c>
      <c r="B5611" t="n">
        <v>49154</v>
      </c>
      <c r="C5611" t="inlineStr">
        <is>
          <t>1413/05/07</t>
        </is>
      </c>
    </row>
    <row r="5612">
      <c r="A5612" t="n">
        <v>14130508</v>
      </c>
      <c r="B5612" t="n">
        <v>49155</v>
      </c>
      <c r="C5612" t="inlineStr">
        <is>
          <t>1413/05/08</t>
        </is>
      </c>
    </row>
    <row r="5613">
      <c r="A5613" t="n">
        <v>14130509</v>
      </c>
      <c r="B5613" t="n">
        <v>49156</v>
      </c>
      <c r="C5613" t="inlineStr">
        <is>
          <t>1413/05/09</t>
        </is>
      </c>
    </row>
    <row r="5614">
      <c r="A5614" t="n">
        <v>14130510</v>
      </c>
      <c r="B5614" t="n">
        <v>49157</v>
      </c>
      <c r="C5614" t="inlineStr">
        <is>
          <t>1413/05/10</t>
        </is>
      </c>
    </row>
    <row r="5615">
      <c r="A5615" t="n">
        <v>14130511</v>
      </c>
      <c r="B5615" t="n">
        <v>49158</v>
      </c>
      <c r="C5615" t="inlineStr">
        <is>
          <t>1413/05/11</t>
        </is>
      </c>
    </row>
    <row r="5616">
      <c r="A5616" t="n">
        <v>14130512</v>
      </c>
      <c r="B5616" t="n">
        <v>49159</v>
      </c>
      <c r="C5616" t="inlineStr">
        <is>
          <t>1413/05/12</t>
        </is>
      </c>
    </row>
    <row r="5617">
      <c r="A5617" t="n">
        <v>14130513</v>
      </c>
      <c r="B5617" t="n">
        <v>49160</v>
      </c>
      <c r="C5617" t="inlineStr">
        <is>
          <t>1413/05/13</t>
        </is>
      </c>
    </row>
    <row r="5618">
      <c r="A5618" t="n">
        <v>14130514</v>
      </c>
      <c r="B5618" t="n">
        <v>49161</v>
      </c>
      <c r="C5618" t="inlineStr">
        <is>
          <t>1413/05/14</t>
        </is>
      </c>
    </row>
    <row r="5619">
      <c r="A5619" t="n">
        <v>14130515</v>
      </c>
      <c r="B5619" t="n">
        <v>49162</v>
      </c>
      <c r="C5619" t="inlineStr">
        <is>
          <t>1413/05/15</t>
        </is>
      </c>
    </row>
    <row r="5620">
      <c r="A5620" t="n">
        <v>14130516</v>
      </c>
      <c r="B5620" t="n">
        <v>49163</v>
      </c>
      <c r="C5620" t="inlineStr">
        <is>
          <t>1413/05/16</t>
        </is>
      </c>
    </row>
    <row r="5621">
      <c r="A5621" t="n">
        <v>14130517</v>
      </c>
      <c r="B5621" t="n">
        <v>49164</v>
      </c>
      <c r="C5621" t="inlineStr">
        <is>
          <t>1413/05/17</t>
        </is>
      </c>
    </row>
    <row r="5622">
      <c r="A5622" t="n">
        <v>14130518</v>
      </c>
      <c r="B5622" t="n">
        <v>49165</v>
      </c>
      <c r="C5622" t="inlineStr">
        <is>
          <t>1413/05/18</t>
        </is>
      </c>
    </row>
    <row r="5623">
      <c r="A5623" t="n">
        <v>14130519</v>
      </c>
      <c r="B5623" t="n">
        <v>49166</v>
      </c>
      <c r="C5623" t="inlineStr">
        <is>
          <t>1413/05/19</t>
        </is>
      </c>
    </row>
    <row r="5624">
      <c r="A5624" t="n">
        <v>14130520</v>
      </c>
      <c r="B5624" t="n">
        <v>49167</v>
      </c>
      <c r="C5624" t="inlineStr">
        <is>
          <t>1413/05/20</t>
        </is>
      </c>
    </row>
    <row r="5625">
      <c r="A5625" t="n">
        <v>14130521</v>
      </c>
      <c r="B5625" t="n">
        <v>49168</v>
      </c>
      <c r="C5625" t="inlineStr">
        <is>
          <t>1413/05/21</t>
        </is>
      </c>
    </row>
    <row r="5626">
      <c r="A5626" t="n">
        <v>14130522</v>
      </c>
      <c r="B5626" t="n">
        <v>49169</v>
      </c>
      <c r="C5626" t="inlineStr">
        <is>
          <t>1413/05/22</t>
        </is>
      </c>
    </row>
    <row r="5627">
      <c r="A5627" t="n">
        <v>14130523</v>
      </c>
      <c r="B5627" t="n">
        <v>49170</v>
      </c>
      <c r="C5627" t="inlineStr">
        <is>
          <t>1413/05/23</t>
        </is>
      </c>
    </row>
    <row r="5628">
      <c r="A5628" t="n">
        <v>14130524</v>
      </c>
      <c r="B5628" t="n">
        <v>49171</v>
      </c>
      <c r="C5628" t="inlineStr">
        <is>
          <t>1413/05/24</t>
        </is>
      </c>
    </row>
    <row r="5629">
      <c r="A5629" t="n">
        <v>14130525</v>
      </c>
      <c r="B5629" t="n">
        <v>49172</v>
      </c>
      <c r="C5629" t="inlineStr">
        <is>
          <t>1413/05/25</t>
        </is>
      </c>
    </row>
    <row r="5630">
      <c r="A5630" t="n">
        <v>14130526</v>
      </c>
      <c r="B5630" t="n">
        <v>49173</v>
      </c>
      <c r="C5630" t="inlineStr">
        <is>
          <t>1413/05/26</t>
        </is>
      </c>
    </row>
    <row r="5631">
      <c r="A5631" t="n">
        <v>14130527</v>
      </c>
      <c r="B5631" t="n">
        <v>49174</v>
      </c>
      <c r="C5631" t="inlineStr">
        <is>
          <t>1413/05/27</t>
        </is>
      </c>
    </row>
    <row r="5632">
      <c r="A5632" t="n">
        <v>14130528</v>
      </c>
      <c r="B5632" t="n">
        <v>49175</v>
      </c>
      <c r="C5632" t="inlineStr">
        <is>
          <t>1413/05/28</t>
        </is>
      </c>
    </row>
    <row r="5633">
      <c r="A5633" t="n">
        <v>14130529</v>
      </c>
      <c r="B5633" t="n">
        <v>49176</v>
      </c>
      <c r="C5633" t="inlineStr">
        <is>
          <t>1413/05/29</t>
        </is>
      </c>
    </row>
    <row r="5634">
      <c r="A5634" t="n">
        <v>14130530</v>
      </c>
      <c r="B5634" t="n">
        <v>49177</v>
      </c>
      <c r="C5634" t="inlineStr">
        <is>
          <t>1413/05/30</t>
        </is>
      </c>
    </row>
    <row r="5635">
      <c r="A5635" t="n">
        <v>14130531</v>
      </c>
      <c r="B5635" t="n">
        <v>49178</v>
      </c>
      <c r="C5635" t="inlineStr">
        <is>
          <t>1413/05/31</t>
        </is>
      </c>
    </row>
    <row r="5636">
      <c r="A5636" t="n">
        <v>14130601</v>
      </c>
      <c r="B5636" t="n">
        <v>49179</v>
      </c>
      <c r="C5636" t="inlineStr">
        <is>
          <t>1413/06/01</t>
        </is>
      </c>
    </row>
    <row r="5637">
      <c r="A5637" t="n">
        <v>14130602</v>
      </c>
      <c r="B5637" t="n">
        <v>49180</v>
      </c>
      <c r="C5637" t="inlineStr">
        <is>
          <t>1413/06/02</t>
        </is>
      </c>
    </row>
    <row r="5638">
      <c r="A5638" t="n">
        <v>14130603</v>
      </c>
      <c r="B5638" t="n">
        <v>49181</v>
      </c>
      <c r="C5638" t="inlineStr">
        <is>
          <t>1413/06/03</t>
        </is>
      </c>
    </row>
    <row r="5639">
      <c r="A5639" t="n">
        <v>14130604</v>
      </c>
      <c r="B5639" t="n">
        <v>49182</v>
      </c>
      <c r="C5639" t="inlineStr">
        <is>
          <t>1413/06/04</t>
        </is>
      </c>
    </row>
    <row r="5640">
      <c r="A5640" t="n">
        <v>14130605</v>
      </c>
      <c r="B5640" t="n">
        <v>49183</v>
      </c>
      <c r="C5640" t="inlineStr">
        <is>
          <t>1413/06/05</t>
        </is>
      </c>
    </row>
    <row r="5641">
      <c r="A5641" t="n">
        <v>14130606</v>
      </c>
      <c r="B5641" t="n">
        <v>49184</v>
      </c>
      <c r="C5641" t="inlineStr">
        <is>
          <t>1413/06/06</t>
        </is>
      </c>
    </row>
    <row r="5642">
      <c r="A5642" t="n">
        <v>14130607</v>
      </c>
      <c r="B5642" t="n">
        <v>49185</v>
      </c>
      <c r="C5642" t="inlineStr">
        <is>
          <t>1413/06/07</t>
        </is>
      </c>
    </row>
    <row r="5643">
      <c r="A5643" t="n">
        <v>14130608</v>
      </c>
      <c r="B5643" t="n">
        <v>49186</v>
      </c>
      <c r="C5643" t="inlineStr">
        <is>
          <t>1413/06/08</t>
        </is>
      </c>
    </row>
    <row r="5644">
      <c r="A5644" t="n">
        <v>14130609</v>
      </c>
      <c r="B5644" t="n">
        <v>49187</v>
      </c>
      <c r="C5644" t="inlineStr">
        <is>
          <t>1413/06/09</t>
        </is>
      </c>
    </row>
    <row r="5645">
      <c r="A5645" t="n">
        <v>14130610</v>
      </c>
      <c r="B5645" t="n">
        <v>49188</v>
      </c>
      <c r="C5645" t="inlineStr">
        <is>
          <t>1413/06/10</t>
        </is>
      </c>
    </row>
    <row r="5646">
      <c r="A5646" t="n">
        <v>14130611</v>
      </c>
      <c r="B5646" t="n">
        <v>49189</v>
      </c>
      <c r="C5646" t="inlineStr">
        <is>
          <t>1413/06/11</t>
        </is>
      </c>
    </row>
    <row r="5647">
      <c r="A5647" t="n">
        <v>14130612</v>
      </c>
      <c r="B5647" t="n">
        <v>49190</v>
      </c>
      <c r="C5647" t="inlineStr">
        <is>
          <t>1413/06/12</t>
        </is>
      </c>
    </row>
    <row r="5648">
      <c r="A5648" t="n">
        <v>14130613</v>
      </c>
      <c r="B5648" t="n">
        <v>49191</v>
      </c>
      <c r="C5648" t="inlineStr">
        <is>
          <t>1413/06/13</t>
        </is>
      </c>
    </row>
    <row r="5649">
      <c r="A5649" t="n">
        <v>14130614</v>
      </c>
      <c r="B5649" t="n">
        <v>49192</v>
      </c>
      <c r="C5649" t="inlineStr">
        <is>
          <t>1413/06/14</t>
        </is>
      </c>
    </row>
    <row r="5650">
      <c r="A5650" t="n">
        <v>14130615</v>
      </c>
      <c r="B5650" t="n">
        <v>49193</v>
      </c>
      <c r="C5650" t="inlineStr">
        <is>
          <t>1413/06/15</t>
        </is>
      </c>
    </row>
    <row r="5651">
      <c r="A5651" t="n">
        <v>14130616</v>
      </c>
      <c r="B5651" t="n">
        <v>49194</v>
      </c>
      <c r="C5651" t="inlineStr">
        <is>
          <t>1413/06/16</t>
        </is>
      </c>
    </row>
    <row r="5652">
      <c r="A5652" t="n">
        <v>14130617</v>
      </c>
      <c r="B5652" t="n">
        <v>49195</v>
      </c>
      <c r="C5652" t="inlineStr">
        <is>
          <t>1413/06/17</t>
        </is>
      </c>
    </row>
    <row r="5653">
      <c r="A5653" t="n">
        <v>14130618</v>
      </c>
      <c r="B5653" t="n">
        <v>49196</v>
      </c>
      <c r="C5653" t="inlineStr">
        <is>
          <t>1413/06/18</t>
        </is>
      </c>
    </row>
    <row r="5654">
      <c r="A5654" t="n">
        <v>14130619</v>
      </c>
      <c r="B5654" t="n">
        <v>49197</v>
      </c>
      <c r="C5654" t="inlineStr">
        <is>
          <t>1413/06/19</t>
        </is>
      </c>
    </row>
    <row r="5655">
      <c r="A5655" t="n">
        <v>14130620</v>
      </c>
      <c r="B5655" t="n">
        <v>49198</v>
      </c>
      <c r="C5655" t="inlineStr">
        <is>
          <t>1413/06/20</t>
        </is>
      </c>
    </row>
    <row r="5656">
      <c r="A5656" t="n">
        <v>14130621</v>
      </c>
      <c r="B5656" t="n">
        <v>49199</v>
      </c>
      <c r="C5656" t="inlineStr">
        <is>
          <t>1413/06/21</t>
        </is>
      </c>
    </row>
    <row r="5657">
      <c r="A5657" t="n">
        <v>14130622</v>
      </c>
      <c r="B5657" t="n">
        <v>49200</v>
      </c>
      <c r="C5657" t="inlineStr">
        <is>
          <t>1413/06/22</t>
        </is>
      </c>
    </row>
    <row r="5658">
      <c r="A5658" t="n">
        <v>14130623</v>
      </c>
      <c r="B5658" t="n">
        <v>49201</v>
      </c>
      <c r="C5658" t="inlineStr">
        <is>
          <t>1413/06/23</t>
        </is>
      </c>
    </row>
    <row r="5659">
      <c r="A5659" t="n">
        <v>14130624</v>
      </c>
      <c r="B5659" t="n">
        <v>49202</v>
      </c>
      <c r="C5659" t="inlineStr">
        <is>
          <t>1413/06/24</t>
        </is>
      </c>
    </row>
    <row r="5660">
      <c r="A5660" t="n">
        <v>14130625</v>
      </c>
      <c r="B5660" t="n">
        <v>49203</v>
      </c>
      <c r="C5660" t="inlineStr">
        <is>
          <t>1413/06/25</t>
        </is>
      </c>
    </row>
    <row r="5661">
      <c r="A5661" t="n">
        <v>14130626</v>
      </c>
      <c r="B5661" t="n">
        <v>49204</v>
      </c>
      <c r="C5661" t="inlineStr">
        <is>
          <t>1413/06/26</t>
        </is>
      </c>
    </row>
    <row r="5662">
      <c r="A5662" t="n">
        <v>14130627</v>
      </c>
      <c r="B5662" t="n">
        <v>49205</v>
      </c>
      <c r="C5662" t="inlineStr">
        <is>
          <t>1413/06/27</t>
        </is>
      </c>
    </row>
    <row r="5663">
      <c r="A5663" t="n">
        <v>14130628</v>
      </c>
      <c r="B5663" t="n">
        <v>49206</v>
      </c>
      <c r="C5663" t="inlineStr">
        <is>
          <t>1413/06/28</t>
        </is>
      </c>
    </row>
    <row r="5664">
      <c r="A5664" t="n">
        <v>14130629</v>
      </c>
      <c r="B5664" t="n">
        <v>49207</v>
      </c>
      <c r="C5664" t="inlineStr">
        <is>
          <t>1413/06/29</t>
        </is>
      </c>
    </row>
    <row r="5665">
      <c r="A5665" t="n">
        <v>14130630</v>
      </c>
      <c r="B5665" t="n">
        <v>49208</v>
      </c>
      <c r="C5665" t="inlineStr">
        <is>
          <t>1413/06/30</t>
        </is>
      </c>
    </row>
    <row r="5666">
      <c r="A5666" t="n">
        <v>14130631</v>
      </c>
      <c r="B5666" t="n">
        <v>49209</v>
      </c>
      <c r="C5666" t="inlineStr">
        <is>
          <t>1413/06/31</t>
        </is>
      </c>
    </row>
    <row r="5667">
      <c r="A5667" t="n">
        <v>14130701</v>
      </c>
      <c r="B5667" t="n">
        <v>49210</v>
      </c>
      <c r="C5667" t="inlineStr">
        <is>
          <t>1413/07/01</t>
        </is>
      </c>
    </row>
    <row r="5668">
      <c r="A5668" t="n">
        <v>14130702</v>
      </c>
      <c r="B5668" t="n">
        <v>49211</v>
      </c>
      <c r="C5668" t="inlineStr">
        <is>
          <t>1413/07/02</t>
        </is>
      </c>
    </row>
    <row r="5669">
      <c r="A5669" t="n">
        <v>14130703</v>
      </c>
      <c r="B5669" t="n">
        <v>49212</v>
      </c>
      <c r="C5669" t="inlineStr">
        <is>
          <t>1413/07/03</t>
        </is>
      </c>
    </row>
    <row r="5670">
      <c r="A5670" t="n">
        <v>14130704</v>
      </c>
      <c r="B5670" t="n">
        <v>49213</v>
      </c>
      <c r="C5670" t="inlineStr">
        <is>
          <t>1413/07/04</t>
        </is>
      </c>
    </row>
    <row r="5671">
      <c r="A5671" t="n">
        <v>14130705</v>
      </c>
      <c r="B5671" t="n">
        <v>49214</v>
      </c>
      <c r="C5671" t="inlineStr">
        <is>
          <t>1413/07/05</t>
        </is>
      </c>
    </row>
    <row r="5672">
      <c r="A5672" t="n">
        <v>14130706</v>
      </c>
      <c r="B5672" t="n">
        <v>49215</v>
      </c>
      <c r="C5672" t="inlineStr">
        <is>
          <t>1413/07/06</t>
        </is>
      </c>
    </row>
    <row r="5673">
      <c r="A5673" t="n">
        <v>14130707</v>
      </c>
      <c r="B5673" t="n">
        <v>49216</v>
      </c>
      <c r="C5673" t="inlineStr">
        <is>
          <t>1413/07/07</t>
        </is>
      </c>
    </row>
    <row r="5674">
      <c r="A5674" t="n">
        <v>14130708</v>
      </c>
      <c r="B5674" t="n">
        <v>49217</v>
      </c>
      <c r="C5674" t="inlineStr">
        <is>
          <t>1413/07/08</t>
        </is>
      </c>
    </row>
    <row r="5675">
      <c r="A5675" t="n">
        <v>14130709</v>
      </c>
      <c r="B5675" t="n">
        <v>49218</v>
      </c>
      <c r="C5675" t="inlineStr">
        <is>
          <t>1413/07/09</t>
        </is>
      </c>
    </row>
    <row r="5676">
      <c r="A5676" t="n">
        <v>14130710</v>
      </c>
      <c r="B5676" t="n">
        <v>49219</v>
      </c>
      <c r="C5676" t="inlineStr">
        <is>
          <t>1413/07/10</t>
        </is>
      </c>
    </row>
    <row r="5677">
      <c r="A5677" t="n">
        <v>14130711</v>
      </c>
      <c r="B5677" t="n">
        <v>49220</v>
      </c>
      <c r="C5677" t="inlineStr">
        <is>
          <t>1413/07/11</t>
        </is>
      </c>
    </row>
    <row r="5678">
      <c r="A5678" t="n">
        <v>14130712</v>
      </c>
      <c r="B5678" t="n">
        <v>49221</v>
      </c>
      <c r="C5678" t="inlineStr">
        <is>
          <t>1413/07/12</t>
        </is>
      </c>
    </row>
    <row r="5679">
      <c r="A5679" t="n">
        <v>14130713</v>
      </c>
      <c r="B5679" t="n">
        <v>49222</v>
      </c>
      <c r="C5679" t="inlineStr">
        <is>
          <t>1413/07/13</t>
        </is>
      </c>
    </row>
    <row r="5680">
      <c r="A5680" t="n">
        <v>14130714</v>
      </c>
      <c r="B5680" t="n">
        <v>49223</v>
      </c>
      <c r="C5680" t="inlineStr">
        <is>
          <t>1413/07/14</t>
        </is>
      </c>
    </row>
    <row r="5681">
      <c r="A5681" t="n">
        <v>14130715</v>
      </c>
      <c r="B5681" t="n">
        <v>49224</v>
      </c>
      <c r="C5681" t="inlineStr">
        <is>
          <t>1413/07/15</t>
        </is>
      </c>
    </row>
    <row r="5682">
      <c r="A5682" t="n">
        <v>14130716</v>
      </c>
      <c r="B5682" t="n">
        <v>49225</v>
      </c>
      <c r="C5682" t="inlineStr">
        <is>
          <t>1413/07/16</t>
        </is>
      </c>
    </row>
    <row r="5683">
      <c r="A5683" t="n">
        <v>14130717</v>
      </c>
      <c r="B5683" t="n">
        <v>49226</v>
      </c>
      <c r="C5683" t="inlineStr">
        <is>
          <t>1413/07/17</t>
        </is>
      </c>
    </row>
    <row r="5684">
      <c r="A5684" t="n">
        <v>14130718</v>
      </c>
      <c r="B5684" t="n">
        <v>49227</v>
      </c>
      <c r="C5684" t="inlineStr">
        <is>
          <t>1413/07/18</t>
        </is>
      </c>
    </row>
    <row r="5685">
      <c r="A5685" t="n">
        <v>14130719</v>
      </c>
      <c r="B5685" t="n">
        <v>49228</v>
      </c>
      <c r="C5685" t="inlineStr">
        <is>
          <t>1413/07/19</t>
        </is>
      </c>
    </row>
    <row r="5686">
      <c r="A5686" t="n">
        <v>14130720</v>
      </c>
      <c r="B5686" t="n">
        <v>49229</v>
      </c>
      <c r="C5686" t="inlineStr">
        <is>
          <t>1413/07/20</t>
        </is>
      </c>
    </row>
    <row r="5687">
      <c r="A5687" t="n">
        <v>14130721</v>
      </c>
      <c r="B5687" t="n">
        <v>49230</v>
      </c>
      <c r="C5687" t="inlineStr">
        <is>
          <t>1413/07/21</t>
        </is>
      </c>
    </row>
    <row r="5688">
      <c r="A5688" t="n">
        <v>14130722</v>
      </c>
      <c r="B5688" t="n">
        <v>49231</v>
      </c>
      <c r="C5688" t="inlineStr">
        <is>
          <t>1413/07/22</t>
        </is>
      </c>
    </row>
    <row r="5689">
      <c r="A5689" t="n">
        <v>14130723</v>
      </c>
      <c r="B5689" t="n">
        <v>49232</v>
      </c>
      <c r="C5689" t="inlineStr">
        <is>
          <t>1413/07/23</t>
        </is>
      </c>
    </row>
    <row r="5690">
      <c r="A5690" t="n">
        <v>14130724</v>
      </c>
      <c r="B5690" t="n">
        <v>49233</v>
      </c>
      <c r="C5690" t="inlineStr">
        <is>
          <t>1413/07/24</t>
        </is>
      </c>
    </row>
    <row r="5691">
      <c r="A5691" t="n">
        <v>14130725</v>
      </c>
      <c r="B5691" t="n">
        <v>49234</v>
      </c>
      <c r="C5691" t="inlineStr">
        <is>
          <t>1413/07/25</t>
        </is>
      </c>
    </row>
    <row r="5692">
      <c r="A5692" t="n">
        <v>14130726</v>
      </c>
      <c r="B5692" t="n">
        <v>49235</v>
      </c>
      <c r="C5692" t="inlineStr">
        <is>
          <t>1413/07/26</t>
        </is>
      </c>
    </row>
    <row r="5693">
      <c r="A5693" t="n">
        <v>14130727</v>
      </c>
      <c r="B5693" t="n">
        <v>49236</v>
      </c>
      <c r="C5693" t="inlineStr">
        <is>
          <t>1413/07/27</t>
        </is>
      </c>
    </row>
    <row r="5694">
      <c r="A5694" t="n">
        <v>14130728</v>
      </c>
      <c r="B5694" t="n">
        <v>49237</v>
      </c>
      <c r="C5694" t="inlineStr">
        <is>
          <t>1413/07/28</t>
        </is>
      </c>
    </row>
    <row r="5695">
      <c r="A5695" t="n">
        <v>14130729</v>
      </c>
      <c r="B5695" t="n">
        <v>49238</v>
      </c>
      <c r="C5695" t="inlineStr">
        <is>
          <t>1413/07/29</t>
        </is>
      </c>
    </row>
    <row r="5696">
      <c r="A5696" t="n">
        <v>14130730</v>
      </c>
      <c r="B5696" t="n">
        <v>49239</v>
      </c>
      <c r="C5696" t="inlineStr">
        <is>
          <t>1413/07/30</t>
        </is>
      </c>
    </row>
    <row r="5697">
      <c r="A5697" t="n">
        <v>14130801</v>
      </c>
      <c r="B5697" t="n">
        <v>49240</v>
      </c>
      <c r="C5697" t="inlineStr">
        <is>
          <t>1413/08/01</t>
        </is>
      </c>
    </row>
    <row r="5698">
      <c r="A5698" t="n">
        <v>14130802</v>
      </c>
      <c r="B5698" t="n">
        <v>49241</v>
      </c>
      <c r="C5698" t="inlineStr">
        <is>
          <t>1413/08/02</t>
        </is>
      </c>
    </row>
    <row r="5699">
      <c r="A5699" t="n">
        <v>14130803</v>
      </c>
      <c r="B5699" t="n">
        <v>49242</v>
      </c>
      <c r="C5699" t="inlineStr">
        <is>
          <t>1413/08/03</t>
        </is>
      </c>
    </row>
    <row r="5700">
      <c r="A5700" t="n">
        <v>14130804</v>
      </c>
      <c r="B5700" t="n">
        <v>49243</v>
      </c>
      <c r="C5700" t="inlineStr">
        <is>
          <t>1413/08/04</t>
        </is>
      </c>
    </row>
    <row r="5701">
      <c r="A5701" t="n">
        <v>14130805</v>
      </c>
      <c r="B5701" t="n">
        <v>49244</v>
      </c>
      <c r="C5701" t="inlineStr">
        <is>
          <t>1413/08/05</t>
        </is>
      </c>
    </row>
    <row r="5702">
      <c r="A5702" t="n">
        <v>14130806</v>
      </c>
      <c r="B5702" t="n">
        <v>49245</v>
      </c>
      <c r="C5702" t="inlineStr">
        <is>
          <t>1413/08/06</t>
        </is>
      </c>
    </row>
    <row r="5703">
      <c r="A5703" t="n">
        <v>14130807</v>
      </c>
      <c r="B5703" t="n">
        <v>49246</v>
      </c>
      <c r="C5703" t="inlineStr">
        <is>
          <t>1413/08/07</t>
        </is>
      </c>
    </row>
    <row r="5704">
      <c r="A5704" t="n">
        <v>14130808</v>
      </c>
      <c r="B5704" t="n">
        <v>49247</v>
      </c>
      <c r="C5704" t="inlineStr">
        <is>
          <t>1413/08/08</t>
        </is>
      </c>
    </row>
    <row r="5705">
      <c r="A5705" t="n">
        <v>14130809</v>
      </c>
      <c r="B5705" t="n">
        <v>49248</v>
      </c>
      <c r="C5705" t="inlineStr">
        <is>
          <t>1413/08/09</t>
        </is>
      </c>
    </row>
    <row r="5706">
      <c r="A5706" t="n">
        <v>14130810</v>
      </c>
      <c r="B5706" t="n">
        <v>49249</v>
      </c>
      <c r="C5706" t="inlineStr">
        <is>
          <t>1413/08/10</t>
        </is>
      </c>
    </row>
    <row r="5707">
      <c r="A5707" t="n">
        <v>14130811</v>
      </c>
      <c r="B5707" t="n">
        <v>49250</v>
      </c>
      <c r="C5707" t="inlineStr">
        <is>
          <t>1413/08/11</t>
        </is>
      </c>
    </row>
    <row r="5708">
      <c r="A5708" t="n">
        <v>14130812</v>
      </c>
      <c r="B5708" t="n">
        <v>49251</v>
      </c>
      <c r="C5708" t="inlineStr">
        <is>
          <t>1413/08/12</t>
        </is>
      </c>
    </row>
    <row r="5709">
      <c r="A5709" t="n">
        <v>14130813</v>
      </c>
      <c r="B5709" t="n">
        <v>49252</v>
      </c>
      <c r="C5709" t="inlineStr">
        <is>
          <t>1413/08/13</t>
        </is>
      </c>
    </row>
    <row r="5710">
      <c r="A5710" t="n">
        <v>14130814</v>
      </c>
      <c r="B5710" t="n">
        <v>49253</v>
      </c>
      <c r="C5710" t="inlineStr">
        <is>
          <t>1413/08/14</t>
        </is>
      </c>
    </row>
    <row r="5711">
      <c r="A5711" t="n">
        <v>14130815</v>
      </c>
      <c r="B5711" t="n">
        <v>49254</v>
      </c>
      <c r="C5711" t="inlineStr">
        <is>
          <t>1413/08/15</t>
        </is>
      </c>
    </row>
    <row r="5712">
      <c r="A5712" t="n">
        <v>14130816</v>
      </c>
      <c r="B5712" t="n">
        <v>49255</v>
      </c>
      <c r="C5712" t="inlineStr">
        <is>
          <t>1413/08/16</t>
        </is>
      </c>
    </row>
    <row r="5713">
      <c r="A5713" t="n">
        <v>14130817</v>
      </c>
      <c r="B5713" t="n">
        <v>49256</v>
      </c>
      <c r="C5713" t="inlineStr">
        <is>
          <t>1413/08/17</t>
        </is>
      </c>
    </row>
    <row r="5714">
      <c r="A5714" t="n">
        <v>14130818</v>
      </c>
      <c r="B5714" t="n">
        <v>49257</v>
      </c>
      <c r="C5714" t="inlineStr">
        <is>
          <t>1413/08/18</t>
        </is>
      </c>
    </row>
    <row r="5715">
      <c r="A5715" t="n">
        <v>14130819</v>
      </c>
      <c r="B5715" t="n">
        <v>49258</v>
      </c>
      <c r="C5715" t="inlineStr">
        <is>
          <t>1413/08/19</t>
        </is>
      </c>
    </row>
    <row r="5716">
      <c r="A5716" t="n">
        <v>14130820</v>
      </c>
      <c r="B5716" t="n">
        <v>49259</v>
      </c>
      <c r="C5716" t="inlineStr">
        <is>
          <t>1413/08/20</t>
        </is>
      </c>
    </row>
    <row r="5717">
      <c r="A5717" t="n">
        <v>14130821</v>
      </c>
      <c r="B5717" t="n">
        <v>49260</v>
      </c>
      <c r="C5717" t="inlineStr">
        <is>
          <t>1413/08/21</t>
        </is>
      </c>
    </row>
    <row r="5718">
      <c r="A5718" t="n">
        <v>14130822</v>
      </c>
      <c r="B5718" t="n">
        <v>49261</v>
      </c>
      <c r="C5718" t="inlineStr">
        <is>
          <t>1413/08/22</t>
        </is>
      </c>
    </row>
    <row r="5719">
      <c r="A5719" t="n">
        <v>14130823</v>
      </c>
      <c r="B5719" t="n">
        <v>49262</v>
      </c>
      <c r="C5719" t="inlineStr">
        <is>
          <t>1413/08/23</t>
        </is>
      </c>
    </row>
    <row r="5720">
      <c r="A5720" t="n">
        <v>14130824</v>
      </c>
      <c r="B5720" t="n">
        <v>49263</v>
      </c>
      <c r="C5720" t="inlineStr">
        <is>
          <t>1413/08/24</t>
        </is>
      </c>
    </row>
    <row r="5721">
      <c r="A5721" t="n">
        <v>14130825</v>
      </c>
      <c r="B5721" t="n">
        <v>49264</v>
      </c>
      <c r="C5721" t="inlineStr">
        <is>
          <t>1413/08/25</t>
        </is>
      </c>
    </row>
    <row r="5722">
      <c r="A5722" t="n">
        <v>14130826</v>
      </c>
      <c r="B5722" t="n">
        <v>49265</v>
      </c>
      <c r="C5722" t="inlineStr">
        <is>
          <t>1413/08/26</t>
        </is>
      </c>
    </row>
    <row r="5723">
      <c r="A5723" t="n">
        <v>14130827</v>
      </c>
      <c r="B5723" t="n">
        <v>49266</v>
      </c>
      <c r="C5723" t="inlineStr">
        <is>
          <t>1413/08/27</t>
        </is>
      </c>
    </row>
    <row r="5724">
      <c r="A5724" t="n">
        <v>14130828</v>
      </c>
      <c r="B5724" t="n">
        <v>49267</v>
      </c>
      <c r="C5724" t="inlineStr">
        <is>
          <t>1413/08/28</t>
        </is>
      </c>
    </row>
    <row r="5725">
      <c r="A5725" t="n">
        <v>14130829</v>
      </c>
      <c r="B5725" t="n">
        <v>49268</v>
      </c>
      <c r="C5725" t="inlineStr">
        <is>
          <t>1413/08/29</t>
        </is>
      </c>
    </row>
    <row r="5726">
      <c r="A5726" t="n">
        <v>14130830</v>
      </c>
      <c r="B5726" t="n">
        <v>49269</v>
      </c>
      <c r="C5726" t="inlineStr">
        <is>
          <t>1413/08/30</t>
        </is>
      </c>
    </row>
    <row r="5727">
      <c r="A5727" t="n">
        <v>14130901</v>
      </c>
      <c r="B5727" t="n">
        <v>49270</v>
      </c>
      <c r="C5727" t="inlineStr">
        <is>
          <t>1413/09/01</t>
        </is>
      </c>
    </row>
    <row r="5728">
      <c r="A5728" t="n">
        <v>14130902</v>
      </c>
      <c r="B5728" t="n">
        <v>49271</v>
      </c>
      <c r="C5728" t="inlineStr">
        <is>
          <t>1413/09/02</t>
        </is>
      </c>
    </row>
    <row r="5729">
      <c r="A5729" t="n">
        <v>14130903</v>
      </c>
      <c r="B5729" t="n">
        <v>49272</v>
      </c>
      <c r="C5729" t="inlineStr">
        <is>
          <t>1413/09/03</t>
        </is>
      </c>
    </row>
    <row r="5730">
      <c r="A5730" t="n">
        <v>14130904</v>
      </c>
      <c r="B5730" t="n">
        <v>49273</v>
      </c>
      <c r="C5730" t="inlineStr">
        <is>
          <t>1413/09/04</t>
        </is>
      </c>
    </row>
    <row r="5731">
      <c r="A5731" t="n">
        <v>14130905</v>
      </c>
      <c r="B5731" t="n">
        <v>49274</v>
      </c>
      <c r="C5731" t="inlineStr">
        <is>
          <t>1413/09/05</t>
        </is>
      </c>
    </row>
    <row r="5732">
      <c r="A5732" t="n">
        <v>14130906</v>
      </c>
      <c r="B5732" t="n">
        <v>49275</v>
      </c>
      <c r="C5732" t="inlineStr">
        <is>
          <t>1413/09/06</t>
        </is>
      </c>
    </row>
    <row r="5733">
      <c r="A5733" t="n">
        <v>14130907</v>
      </c>
      <c r="B5733" t="n">
        <v>49276</v>
      </c>
      <c r="C5733" t="inlineStr">
        <is>
          <t>1413/09/07</t>
        </is>
      </c>
    </row>
    <row r="5734">
      <c r="A5734" t="n">
        <v>14130908</v>
      </c>
      <c r="B5734" t="n">
        <v>49277</v>
      </c>
      <c r="C5734" t="inlineStr">
        <is>
          <t>1413/09/08</t>
        </is>
      </c>
    </row>
    <row r="5735">
      <c r="A5735" t="n">
        <v>14130909</v>
      </c>
      <c r="B5735" t="n">
        <v>49278</v>
      </c>
      <c r="C5735" t="inlineStr">
        <is>
          <t>1413/09/09</t>
        </is>
      </c>
    </row>
    <row r="5736">
      <c r="A5736" t="n">
        <v>14130910</v>
      </c>
      <c r="B5736" t="n">
        <v>49279</v>
      </c>
      <c r="C5736" t="inlineStr">
        <is>
          <t>1413/09/10</t>
        </is>
      </c>
    </row>
    <row r="5737">
      <c r="A5737" t="n">
        <v>14130911</v>
      </c>
      <c r="B5737" t="n">
        <v>49280</v>
      </c>
      <c r="C5737" t="inlineStr">
        <is>
          <t>1413/09/11</t>
        </is>
      </c>
    </row>
    <row r="5738">
      <c r="A5738" t="n">
        <v>14130912</v>
      </c>
      <c r="B5738" t="n">
        <v>49281</v>
      </c>
      <c r="C5738" t="inlineStr">
        <is>
          <t>1413/09/12</t>
        </is>
      </c>
    </row>
    <row r="5739">
      <c r="A5739" t="n">
        <v>14130913</v>
      </c>
      <c r="B5739" t="n">
        <v>49282</v>
      </c>
      <c r="C5739" t="inlineStr">
        <is>
          <t>1413/09/13</t>
        </is>
      </c>
    </row>
    <row r="5740">
      <c r="A5740" t="n">
        <v>14130914</v>
      </c>
      <c r="B5740" t="n">
        <v>49283</v>
      </c>
      <c r="C5740" t="inlineStr">
        <is>
          <t>1413/09/14</t>
        </is>
      </c>
    </row>
    <row r="5741">
      <c r="A5741" t="n">
        <v>14130915</v>
      </c>
      <c r="B5741" t="n">
        <v>49284</v>
      </c>
      <c r="C5741" t="inlineStr">
        <is>
          <t>1413/09/15</t>
        </is>
      </c>
    </row>
    <row r="5742">
      <c r="A5742" t="n">
        <v>14130916</v>
      </c>
      <c r="B5742" t="n">
        <v>49285</v>
      </c>
      <c r="C5742" t="inlineStr">
        <is>
          <t>1413/09/16</t>
        </is>
      </c>
    </row>
    <row r="5743">
      <c r="A5743" t="n">
        <v>14130917</v>
      </c>
      <c r="B5743" t="n">
        <v>49286</v>
      </c>
      <c r="C5743" t="inlineStr">
        <is>
          <t>1413/09/17</t>
        </is>
      </c>
    </row>
    <row r="5744">
      <c r="A5744" t="n">
        <v>14130918</v>
      </c>
      <c r="B5744" t="n">
        <v>49287</v>
      </c>
      <c r="C5744" t="inlineStr">
        <is>
          <t>1413/09/18</t>
        </is>
      </c>
    </row>
    <row r="5745">
      <c r="A5745" t="n">
        <v>14130919</v>
      </c>
      <c r="B5745" t="n">
        <v>49288</v>
      </c>
      <c r="C5745" t="inlineStr">
        <is>
          <t>1413/09/19</t>
        </is>
      </c>
    </row>
    <row r="5746">
      <c r="A5746" t="n">
        <v>14130920</v>
      </c>
      <c r="B5746" t="n">
        <v>49289</v>
      </c>
      <c r="C5746" t="inlineStr">
        <is>
          <t>1413/09/20</t>
        </is>
      </c>
    </row>
    <row r="5747">
      <c r="A5747" t="n">
        <v>14130921</v>
      </c>
      <c r="B5747" t="n">
        <v>49290</v>
      </c>
      <c r="C5747" t="inlineStr">
        <is>
          <t>1413/09/21</t>
        </is>
      </c>
    </row>
    <row r="5748">
      <c r="A5748" t="n">
        <v>14130922</v>
      </c>
      <c r="B5748" t="n">
        <v>49291</v>
      </c>
      <c r="C5748" t="inlineStr">
        <is>
          <t>1413/09/22</t>
        </is>
      </c>
    </row>
    <row r="5749">
      <c r="A5749" t="n">
        <v>14130923</v>
      </c>
      <c r="B5749" t="n">
        <v>49292</v>
      </c>
      <c r="C5749" t="inlineStr">
        <is>
          <t>1413/09/23</t>
        </is>
      </c>
    </row>
    <row r="5750">
      <c r="A5750" t="n">
        <v>14130924</v>
      </c>
      <c r="B5750" t="n">
        <v>49293</v>
      </c>
      <c r="C5750" t="inlineStr">
        <is>
          <t>1413/09/24</t>
        </is>
      </c>
    </row>
    <row r="5751">
      <c r="A5751" t="n">
        <v>14130925</v>
      </c>
      <c r="B5751" t="n">
        <v>49294</v>
      </c>
      <c r="C5751" t="inlineStr">
        <is>
          <t>1413/09/25</t>
        </is>
      </c>
    </row>
    <row r="5752">
      <c r="A5752" t="n">
        <v>14130926</v>
      </c>
      <c r="B5752" t="n">
        <v>49295</v>
      </c>
      <c r="C5752" t="inlineStr">
        <is>
          <t>1413/09/26</t>
        </is>
      </c>
    </row>
    <row r="5753">
      <c r="A5753" t="n">
        <v>14130927</v>
      </c>
      <c r="B5753" t="n">
        <v>49296</v>
      </c>
      <c r="C5753" t="inlineStr">
        <is>
          <t>1413/09/27</t>
        </is>
      </c>
    </row>
    <row r="5754">
      <c r="A5754" t="n">
        <v>14130928</v>
      </c>
      <c r="B5754" t="n">
        <v>49297</v>
      </c>
      <c r="C5754" t="inlineStr">
        <is>
          <t>1413/09/28</t>
        </is>
      </c>
    </row>
    <row r="5755">
      <c r="A5755" t="n">
        <v>14130929</v>
      </c>
      <c r="B5755" t="n">
        <v>49298</v>
      </c>
      <c r="C5755" t="inlineStr">
        <is>
          <t>1413/09/29</t>
        </is>
      </c>
    </row>
    <row r="5756">
      <c r="A5756" t="n">
        <v>14130930</v>
      </c>
      <c r="B5756" t="n">
        <v>49299</v>
      </c>
      <c r="C5756" t="inlineStr">
        <is>
          <t>1413/09/30</t>
        </is>
      </c>
    </row>
    <row r="5757">
      <c r="A5757" t="n">
        <v>14131001</v>
      </c>
      <c r="B5757" t="n">
        <v>49300</v>
      </c>
      <c r="C5757" t="inlineStr">
        <is>
          <t>1413/10/01</t>
        </is>
      </c>
    </row>
    <row r="5758">
      <c r="A5758" t="n">
        <v>14131002</v>
      </c>
      <c r="B5758" t="n">
        <v>49301</v>
      </c>
      <c r="C5758" t="inlineStr">
        <is>
          <t>1413/10/02</t>
        </is>
      </c>
    </row>
    <row r="5759">
      <c r="A5759" t="n">
        <v>14131003</v>
      </c>
      <c r="B5759" t="n">
        <v>49302</v>
      </c>
      <c r="C5759" t="inlineStr">
        <is>
          <t>1413/10/03</t>
        </is>
      </c>
    </row>
    <row r="5760">
      <c r="A5760" t="n">
        <v>14131004</v>
      </c>
      <c r="B5760" t="n">
        <v>49303</v>
      </c>
      <c r="C5760" t="inlineStr">
        <is>
          <t>1413/10/04</t>
        </is>
      </c>
    </row>
    <row r="5761">
      <c r="A5761" t="n">
        <v>14131005</v>
      </c>
      <c r="B5761" t="n">
        <v>49304</v>
      </c>
      <c r="C5761" t="inlineStr">
        <is>
          <t>1413/10/05</t>
        </is>
      </c>
    </row>
    <row r="5762">
      <c r="A5762" t="n">
        <v>14131006</v>
      </c>
      <c r="B5762" t="n">
        <v>49305</v>
      </c>
      <c r="C5762" t="inlineStr">
        <is>
          <t>1413/10/06</t>
        </is>
      </c>
    </row>
    <row r="5763">
      <c r="A5763" t="n">
        <v>14131007</v>
      </c>
      <c r="B5763" t="n">
        <v>49306</v>
      </c>
      <c r="C5763" t="inlineStr">
        <is>
          <t>1413/10/07</t>
        </is>
      </c>
    </row>
    <row r="5764">
      <c r="A5764" t="n">
        <v>14131008</v>
      </c>
      <c r="B5764" t="n">
        <v>49307</v>
      </c>
      <c r="C5764" t="inlineStr">
        <is>
          <t>1413/10/08</t>
        </is>
      </c>
    </row>
    <row r="5765">
      <c r="A5765" t="n">
        <v>14131009</v>
      </c>
      <c r="B5765" t="n">
        <v>49308</v>
      </c>
      <c r="C5765" t="inlineStr">
        <is>
          <t>1413/10/09</t>
        </is>
      </c>
    </row>
    <row r="5766">
      <c r="A5766" t="n">
        <v>14131010</v>
      </c>
      <c r="B5766" t="n">
        <v>49309</v>
      </c>
      <c r="C5766" t="inlineStr">
        <is>
          <t>1413/10/10</t>
        </is>
      </c>
    </row>
    <row r="5767">
      <c r="A5767" t="n">
        <v>14131011</v>
      </c>
      <c r="B5767" t="n">
        <v>49310</v>
      </c>
      <c r="C5767" t="inlineStr">
        <is>
          <t>1413/10/11</t>
        </is>
      </c>
    </row>
    <row r="5768">
      <c r="A5768" t="n">
        <v>14131012</v>
      </c>
      <c r="B5768" t="n">
        <v>49311</v>
      </c>
      <c r="C5768" t="inlineStr">
        <is>
          <t>1413/10/12</t>
        </is>
      </c>
    </row>
    <row r="5769">
      <c r="A5769" t="n">
        <v>14131013</v>
      </c>
      <c r="B5769" t="n">
        <v>49312</v>
      </c>
      <c r="C5769" t="inlineStr">
        <is>
          <t>1413/10/13</t>
        </is>
      </c>
    </row>
    <row r="5770">
      <c r="A5770" t="n">
        <v>14131014</v>
      </c>
      <c r="B5770" t="n">
        <v>49313</v>
      </c>
      <c r="C5770" t="inlineStr">
        <is>
          <t>1413/10/14</t>
        </is>
      </c>
    </row>
    <row r="5771">
      <c r="A5771" t="n">
        <v>14131015</v>
      </c>
      <c r="B5771" t="n">
        <v>49314</v>
      </c>
      <c r="C5771" t="inlineStr">
        <is>
          <t>1413/10/15</t>
        </is>
      </c>
    </row>
    <row r="5772">
      <c r="A5772" t="n">
        <v>14131016</v>
      </c>
      <c r="B5772" t="n">
        <v>49315</v>
      </c>
      <c r="C5772" t="inlineStr">
        <is>
          <t>1413/10/16</t>
        </is>
      </c>
    </row>
    <row r="5773">
      <c r="A5773" t="n">
        <v>14131017</v>
      </c>
      <c r="B5773" t="n">
        <v>49316</v>
      </c>
      <c r="C5773" t="inlineStr">
        <is>
          <t>1413/10/17</t>
        </is>
      </c>
    </row>
    <row r="5774">
      <c r="A5774" t="n">
        <v>14131018</v>
      </c>
      <c r="B5774" t="n">
        <v>49317</v>
      </c>
      <c r="C5774" t="inlineStr">
        <is>
          <t>1413/10/18</t>
        </is>
      </c>
    </row>
    <row r="5775">
      <c r="A5775" t="n">
        <v>14131019</v>
      </c>
      <c r="B5775" t="n">
        <v>49318</v>
      </c>
      <c r="C5775" t="inlineStr">
        <is>
          <t>1413/10/19</t>
        </is>
      </c>
    </row>
    <row r="5776">
      <c r="A5776" t="n">
        <v>14131020</v>
      </c>
      <c r="B5776" t="n">
        <v>49319</v>
      </c>
      <c r="C5776" t="inlineStr">
        <is>
          <t>1413/10/20</t>
        </is>
      </c>
    </row>
    <row r="5777">
      <c r="A5777" t="n">
        <v>14131021</v>
      </c>
      <c r="B5777" t="n">
        <v>49320</v>
      </c>
      <c r="C5777" t="inlineStr">
        <is>
          <t>1413/10/21</t>
        </is>
      </c>
    </row>
    <row r="5778">
      <c r="A5778" t="n">
        <v>14131022</v>
      </c>
      <c r="B5778" t="n">
        <v>49321</v>
      </c>
      <c r="C5778" t="inlineStr">
        <is>
          <t>1413/10/22</t>
        </is>
      </c>
    </row>
    <row r="5779">
      <c r="A5779" t="n">
        <v>14131023</v>
      </c>
      <c r="B5779" t="n">
        <v>49322</v>
      </c>
      <c r="C5779" t="inlineStr">
        <is>
          <t>1413/10/23</t>
        </is>
      </c>
    </row>
    <row r="5780">
      <c r="A5780" t="n">
        <v>14131024</v>
      </c>
      <c r="B5780" t="n">
        <v>49323</v>
      </c>
      <c r="C5780" t="inlineStr">
        <is>
          <t>1413/10/24</t>
        </is>
      </c>
    </row>
    <row r="5781">
      <c r="A5781" t="n">
        <v>14131025</v>
      </c>
      <c r="B5781" t="n">
        <v>49324</v>
      </c>
      <c r="C5781" t="inlineStr">
        <is>
          <t>1413/10/25</t>
        </is>
      </c>
    </row>
    <row r="5782">
      <c r="A5782" t="n">
        <v>14131026</v>
      </c>
      <c r="B5782" t="n">
        <v>49325</v>
      </c>
      <c r="C5782" t="inlineStr">
        <is>
          <t>1413/10/26</t>
        </is>
      </c>
    </row>
    <row r="5783">
      <c r="A5783" t="n">
        <v>14131027</v>
      </c>
      <c r="B5783" t="n">
        <v>49326</v>
      </c>
      <c r="C5783" t="inlineStr">
        <is>
          <t>1413/10/27</t>
        </is>
      </c>
    </row>
    <row r="5784">
      <c r="A5784" t="n">
        <v>14131028</v>
      </c>
      <c r="B5784" t="n">
        <v>49327</v>
      </c>
      <c r="C5784" t="inlineStr">
        <is>
          <t>1413/10/28</t>
        </is>
      </c>
    </row>
    <row r="5785">
      <c r="A5785" t="n">
        <v>14131029</v>
      </c>
      <c r="B5785" t="n">
        <v>49328</v>
      </c>
      <c r="C5785" t="inlineStr">
        <is>
          <t>1413/10/29</t>
        </is>
      </c>
    </row>
    <row r="5786">
      <c r="A5786" t="n">
        <v>14131030</v>
      </c>
      <c r="B5786" t="n">
        <v>49329</v>
      </c>
      <c r="C5786" t="inlineStr">
        <is>
          <t>1413/10/30</t>
        </is>
      </c>
    </row>
    <row r="5787">
      <c r="A5787" t="n">
        <v>14131101</v>
      </c>
      <c r="B5787" t="n">
        <v>49330</v>
      </c>
      <c r="C5787" t="inlineStr">
        <is>
          <t>1413/11/01</t>
        </is>
      </c>
    </row>
    <row r="5788">
      <c r="A5788" t="n">
        <v>14131102</v>
      </c>
      <c r="B5788" t="n">
        <v>49331</v>
      </c>
      <c r="C5788" t="inlineStr">
        <is>
          <t>1413/11/02</t>
        </is>
      </c>
    </row>
    <row r="5789">
      <c r="A5789" t="n">
        <v>14131103</v>
      </c>
      <c r="B5789" t="n">
        <v>49332</v>
      </c>
      <c r="C5789" t="inlineStr">
        <is>
          <t>1413/11/03</t>
        </is>
      </c>
    </row>
    <row r="5790">
      <c r="A5790" t="n">
        <v>14131104</v>
      </c>
      <c r="B5790" t="n">
        <v>49333</v>
      </c>
      <c r="C5790" t="inlineStr">
        <is>
          <t>1413/11/04</t>
        </is>
      </c>
    </row>
    <row r="5791">
      <c r="A5791" t="n">
        <v>14131105</v>
      </c>
      <c r="B5791" t="n">
        <v>49334</v>
      </c>
      <c r="C5791" t="inlineStr">
        <is>
          <t>1413/11/05</t>
        </is>
      </c>
    </row>
    <row r="5792">
      <c r="A5792" t="n">
        <v>14131106</v>
      </c>
      <c r="B5792" t="n">
        <v>49335</v>
      </c>
      <c r="C5792" t="inlineStr">
        <is>
          <t>1413/11/06</t>
        </is>
      </c>
    </row>
    <row r="5793">
      <c r="A5793" t="n">
        <v>14131107</v>
      </c>
      <c r="B5793" t="n">
        <v>49336</v>
      </c>
      <c r="C5793" t="inlineStr">
        <is>
          <t>1413/11/07</t>
        </is>
      </c>
    </row>
    <row r="5794">
      <c r="A5794" t="n">
        <v>14131108</v>
      </c>
      <c r="B5794" t="n">
        <v>49337</v>
      </c>
      <c r="C5794" t="inlineStr">
        <is>
          <t>1413/11/08</t>
        </is>
      </c>
    </row>
    <row r="5795">
      <c r="A5795" t="n">
        <v>14131109</v>
      </c>
      <c r="B5795" t="n">
        <v>49338</v>
      </c>
      <c r="C5795" t="inlineStr">
        <is>
          <t>1413/11/09</t>
        </is>
      </c>
    </row>
    <row r="5796">
      <c r="A5796" t="n">
        <v>14131110</v>
      </c>
      <c r="B5796" t="n">
        <v>49339</v>
      </c>
      <c r="C5796" t="inlineStr">
        <is>
          <t>1413/11/10</t>
        </is>
      </c>
    </row>
    <row r="5797">
      <c r="A5797" t="n">
        <v>14131111</v>
      </c>
      <c r="B5797" t="n">
        <v>49340</v>
      </c>
      <c r="C5797" t="inlineStr">
        <is>
          <t>1413/11/11</t>
        </is>
      </c>
    </row>
    <row r="5798">
      <c r="A5798" t="n">
        <v>14131112</v>
      </c>
      <c r="B5798" t="n">
        <v>49341</v>
      </c>
      <c r="C5798" t="inlineStr">
        <is>
          <t>1413/11/12</t>
        </is>
      </c>
    </row>
    <row r="5799">
      <c r="A5799" t="n">
        <v>14131113</v>
      </c>
      <c r="B5799" t="n">
        <v>49342</v>
      </c>
      <c r="C5799" t="inlineStr">
        <is>
          <t>1413/11/13</t>
        </is>
      </c>
    </row>
    <row r="5800">
      <c r="A5800" t="n">
        <v>14131114</v>
      </c>
      <c r="B5800" t="n">
        <v>49343</v>
      </c>
      <c r="C5800" t="inlineStr">
        <is>
          <t>1413/11/14</t>
        </is>
      </c>
    </row>
    <row r="5801">
      <c r="A5801" t="n">
        <v>14131115</v>
      </c>
      <c r="B5801" t="n">
        <v>49344</v>
      </c>
      <c r="C5801" t="inlineStr">
        <is>
          <t>1413/11/15</t>
        </is>
      </c>
    </row>
    <row r="5802">
      <c r="A5802" t="n">
        <v>14131116</v>
      </c>
      <c r="B5802" t="n">
        <v>49345</v>
      </c>
      <c r="C5802" t="inlineStr">
        <is>
          <t>1413/11/16</t>
        </is>
      </c>
    </row>
    <row r="5803">
      <c r="A5803" t="n">
        <v>14131117</v>
      </c>
      <c r="B5803" t="n">
        <v>49346</v>
      </c>
      <c r="C5803" t="inlineStr">
        <is>
          <t>1413/11/17</t>
        </is>
      </c>
    </row>
    <row r="5804">
      <c r="A5804" t="n">
        <v>14131118</v>
      </c>
      <c r="B5804" t="n">
        <v>49347</v>
      </c>
      <c r="C5804" t="inlineStr">
        <is>
          <t>1413/11/18</t>
        </is>
      </c>
    </row>
    <row r="5805">
      <c r="A5805" t="n">
        <v>14131119</v>
      </c>
      <c r="B5805" t="n">
        <v>49348</v>
      </c>
      <c r="C5805" t="inlineStr">
        <is>
          <t>1413/11/19</t>
        </is>
      </c>
    </row>
    <row r="5806">
      <c r="A5806" t="n">
        <v>14131120</v>
      </c>
      <c r="B5806" t="n">
        <v>49349</v>
      </c>
      <c r="C5806" t="inlineStr">
        <is>
          <t>1413/11/20</t>
        </is>
      </c>
    </row>
    <row r="5807">
      <c r="A5807" t="n">
        <v>14131121</v>
      </c>
      <c r="B5807" t="n">
        <v>49350</v>
      </c>
      <c r="C5807" t="inlineStr">
        <is>
          <t>1413/11/21</t>
        </is>
      </c>
    </row>
    <row r="5808">
      <c r="A5808" t="n">
        <v>14131122</v>
      </c>
      <c r="B5808" t="n">
        <v>49351</v>
      </c>
      <c r="C5808" t="inlineStr">
        <is>
          <t>1413/11/22</t>
        </is>
      </c>
    </row>
    <row r="5809">
      <c r="A5809" t="n">
        <v>14131123</v>
      </c>
      <c r="B5809" t="n">
        <v>49352</v>
      </c>
      <c r="C5809" t="inlineStr">
        <is>
          <t>1413/11/23</t>
        </is>
      </c>
    </row>
    <row r="5810">
      <c r="A5810" t="n">
        <v>14131124</v>
      </c>
      <c r="B5810" t="n">
        <v>49353</v>
      </c>
      <c r="C5810" t="inlineStr">
        <is>
          <t>1413/11/24</t>
        </is>
      </c>
    </row>
    <row r="5811">
      <c r="A5811" t="n">
        <v>14131125</v>
      </c>
      <c r="B5811" t="n">
        <v>49354</v>
      </c>
      <c r="C5811" t="inlineStr">
        <is>
          <t>1413/11/25</t>
        </is>
      </c>
    </row>
    <row r="5812">
      <c r="A5812" t="n">
        <v>14131126</v>
      </c>
      <c r="B5812" t="n">
        <v>49355</v>
      </c>
      <c r="C5812" t="inlineStr">
        <is>
          <t>1413/11/26</t>
        </is>
      </c>
    </row>
    <row r="5813">
      <c r="A5813" t="n">
        <v>14131127</v>
      </c>
      <c r="B5813" t="n">
        <v>49356</v>
      </c>
      <c r="C5813" t="inlineStr">
        <is>
          <t>1413/11/27</t>
        </is>
      </c>
    </row>
    <row r="5814">
      <c r="A5814" t="n">
        <v>14131128</v>
      </c>
      <c r="B5814" t="n">
        <v>49357</v>
      </c>
      <c r="C5814" t="inlineStr">
        <is>
          <t>1413/11/28</t>
        </is>
      </c>
    </row>
    <row r="5815">
      <c r="A5815" t="n">
        <v>14131129</v>
      </c>
      <c r="B5815" t="n">
        <v>49358</v>
      </c>
      <c r="C5815" t="inlineStr">
        <is>
          <t>1413/11/29</t>
        </is>
      </c>
    </row>
    <row r="5816">
      <c r="A5816" t="n">
        <v>14131130</v>
      </c>
      <c r="B5816" t="n">
        <v>49359</v>
      </c>
      <c r="C5816" t="inlineStr">
        <is>
          <t>1413/11/30</t>
        </is>
      </c>
    </row>
    <row r="5817">
      <c r="A5817" t="n">
        <v>14131201</v>
      </c>
      <c r="B5817" t="n">
        <v>49360</v>
      </c>
      <c r="C5817" t="inlineStr">
        <is>
          <t>1413/12/01</t>
        </is>
      </c>
    </row>
    <row r="5818">
      <c r="A5818" t="n">
        <v>14131202</v>
      </c>
      <c r="B5818" t="n">
        <v>49361</v>
      </c>
      <c r="C5818" t="inlineStr">
        <is>
          <t>1413/12/02</t>
        </is>
      </c>
    </row>
    <row r="5819">
      <c r="A5819" t="n">
        <v>14131203</v>
      </c>
      <c r="B5819" t="n">
        <v>49362</v>
      </c>
      <c r="C5819" t="inlineStr">
        <is>
          <t>1413/12/03</t>
        </is>
      </c>
    </row>
    <row r="5820">
      <c r="A5820" t="n">
        <v>14131204</v>
      </c>
      <c r="B5820" t="n">
        <v>49363</v>
      </c>
      <c r="C5820" t="inlineStr">
        <is>
          <t>1413/12/04</t>
        </is>
      </c>
    </row>
    <row r="5821">
      <c r="A5821" t="n">
        <v>14131205</v>
      </c>
      <c r="B5821" t="n">
        <v>49364</v>
      </c>
      <c r="C5821" t="inlineStr">
        <is>
          <t>1413/12/05</t>
        </is>
      </c>
    </row>
    <row r="5822">
      <c r="A5822" t="n">
        <v>14131206</v>
      </c>
      <c r="B5822" t="n">
        <v>49365</v>
      </c>
      <c r="C5822" t="inlineStr">
        <is>
          <t>1413/12/06</t>
        </is>
      </c>
    </row>
    <row r="5823">
      <c r="A5823" t="n">
        <v>14131207</v>
      </c>
      <c r="B5823" t="n">
        <v>49366</v>
      </c>
      <c r="C5823" t="inlineStr">
        <is>
          <t>1413/12/07</t>
        </is>
      </c>
    </row>
    <row r="5824">
      <c r="A5824" t="n">
        <v>14131208</v>
      </c>
      <c r="B5824" t="n">
        <v>49367</v>
      </c>
      <c r="C5824" t="inlineStr">
        <is>
          <t>1413/12/08</t>
        </is>
      </c>
    </row>
    <row r="5825">
      <c r="A5825" t="n">
        <v>14131209</v>
      </c>
      <c r="B5825" t="n">
        <v>49368</v>
      </c>
      <c r="C5825" t="inlineStr">
        <is>
          <t>1413/12/09</t>
        </is>
      </c>
    </row>
    <row r="5826">
      <c r="A5826" t="n">
        <v>14131210</v>
      </c>
      <c r="B5826" t="n">
        <v>49369</v>
      </c>
      <c r="C5826" t="inlineStr">
        <is>
          <t>1413/12/10</t>
        </is>
      </c>
    </row>
    <row r="5827">
      <c r="A5827" t="n">
        <v>14131211</v>
      </c>
      <c r="B5827" t="n">
        <v>49370</v>
      </c>
      <c r="C5827" t="inlineStr">
        <is>
          <t>1413/12/11</t>
        </is>
      </c>
    </row>
    <row r="5828">
      <c r="A5828" t="n">
        <v>14131212</v>
      </c>
      <c r="B5828" t="n">
        <v>49371</v>
      </c>
      <c r="C5828" t="inlineStr">
        <is>
          <t>1413/12/12</t>
        </is>
      </c>
    </row>
    <row r="5829">
      <c r="A5829" t="n">
        <v>14131213</v>
      </c>
      <c r="B5829" t="n">
        <v>49372</v>
      </c>
      <c r="C5829" t="inlineStr">
        <is>
          <t>1413/12/13</t>
        </is>
      </c>
    </row>
    <row r="5830">
      <c r="A5830" t="n">
        <v>14131214</v>
      </c>
      <c r="B5830" t="n">
        <v>49373</v>
      </c>
      <c r="C5830" t="inlineStr">
        <is>
          <t>1413/12/14</t>
        </is>
      </c>
    </row>
    <row r="5831">
      <c r="A5831" t="n">
        <v>14131215</v>
      </c>
      <c r="B5831" t="n">
        <v>49374</v>
      </c>
      <c r="C5831" t="inlineStr">
        <is>
          <t>1413/12/15</t>
        </is>
      </c>
    </row>
    <row r="5832">
      <c r="A5832" t="n">
        <v>14131216</v>
      </c>
      <c r="B5832" t="n">
        <v>49375</v>
      </c>
      <c r="C5832" t="inlineStr">
        <is>
          <t>1413/12/16</t>
        </is>
      </c>
    </row>
    <row r="5833">
      <c r="A5833" t="n">
        <v>14131217</v>
      </c>
      <c r="B5833" t="n">
        <v>49376</v>
      </c>
      <c r="C5833" t="inlineStr">
        <is>
          <t>1413/12/17</t>
        </is>
      </c>
    </row>
    <row r="5834">
      <c r="A5834" t="n">
        <v>14131218</v>
      </c>
      <c r="B5834" t="n">
        <v>49377</v>
      </c>
      <c r="C5834" t="inlineStr">
        <is>
          <t>1413/12/18</t>
        </is>
      </c>
    </row>
    <row r="5835">
      <c r="A5835" t="n">
        <v>14131219</v>
      </c>
      <c r="B5835" t="n">
        <v>49378</v>
      </c>
      <c r="C5835" t="inlineStr">
        <is>
          <t>1413/12/19</t>
        </is>
      </c>
    </row>
    <row r="5836">
      <c r="A5836" t="n">
        <v>14131220</v>
      </c>
      <c r="B5836" t="n">
        <v>49379</v>
      </c>
      <c r="C5836" t="inlineStr">
        <is>
          <t>1413/12/20</t>
        </is>
      </c>
    </row>
    <row r="5837">
      <c r="A5837" t="n">
        <v>14131221</v>
      </c>
      <c r="B5837" t="n">
        <v>49380</v>
      </c>
      <c r="C5837" t="inlineStr">
        <is>
          <t>1413/12/21</t>
        </is>
      </c>
    </row>
    <row r="5838">
      <c r="A5838" t="n">
        <v>14131222</v>
      </c>
      <c r="B5838" t="n">
        <v>49381</v>
      </c>
      <c r="C5838" t="inlineStr">
        <is>
          <t>1413/12/22</t>
        </is>
      </c>
    </row>
    <row r="5839">
      <c r="A5839" t="n">
        <v>14131223</v>
      </c>
      <c r="B5839" t="n">
        <v>49382</v>
      </c>
      <c r="C5839" t="inlineStr">
        <is>
          <t>1413/12/23</t>
        </is>
      </c>
    </row>
    <row r="5840">
      <c r="A5840" t="n">
        <v>14131224</v>
      </c>
      <c r="B5840" t="n">
        <v>49383</v>
      </c>
      <c r="C5840" t="inlineStr">
        <is>
          <t>1413/12/24</t>
        </is>
      </c>
    </row>
    <row r="5841">
      <c r="A5841" t="n">
        <v>14131225</v>
      </c>
      <c r="B5841" t="n">
        <v>49384</v>
      </c>
      <c r="C5841" t="inlineStr">
        <is>
          <t>1413/12/25</t>
        </is>
      </c>
    </row>
    <row r="5842">
      <c r="A5842" t="n">
        <v>14131226</v>
      </c>
      <c r="B5842" t="n">
        <v>49385</v>
      </c>
      <c r="C5842" t="inlineStr">
        <is>
          <t>1413/12/26</t>
        </is>
      </c>
    </row>
    <row r="5843">
      <c r="A5843" t="n">
        <v>14131227</v>
      </c>
      <c r="B5843" t="n">
        <v>49386</v>
      </c>
      <c r="C5843" t="inlineStr">
        <is>
          <t>1413/12/27</t>
        </is>
      </c>
    </row>
    <row r="5844">
      <c r="A5844" t="n">
        <v>14131228</v>
      </c>
      <c r="B5844" t="n">
        <v>49387</v>
      </c>
      <c r="C5844" t="inlineStr">
        <is>
          <t>1413/12/28</t>
        </is>
      </c>
    </row>
    <row r="5845">
      <c r="A5845" t="n">
        <v>14131229</v>
      </c>
      <c r="B5845" t="n">
        <v>49388</v>
      </c>
      <c r="C5845" t="inlineStr">
        <is>
          <t>1413/12/29</t>
        </is>
      </c>
    </row>
    <row r="5846">
      <c r="A5846" t="n">
        <v>14140101</v>
      </c>
      <c r="B5846" t="n">
        <v>49389</v>
      </c>
      <c r="C5846" t="inlineStr">
        <is>
          <t>1414/01/01</t>
        </is>
      </c>
    </row>
    <row r="5847">
      <c r="A5847" t="n">
        <v>14140102</v>
      </c>
      <c r="B5847" t="n">
        <v>49390</v>
      </c>
      <c r="C5847" t="inlineStr">
        <is>
          <t>1414/01/02</t>
        </is>
      </c>
    </row>
    <row r="5848">
      <c r="A5848" t="n">
        <v>14140103</v>
      </c>
      <c r="B5848" t="n">
        <v>49391</v>
      </c>
      <c r="C5848" t="inlineStr">
        <is>
          <t>1414/01/03</t>
        </is>
      </c>
    </row>
    <row r="5849">
      <c r="A5849" t="n">
        <v>14140104</v>
      </c>
      <c r="B5849" t="n">
        <v>49392</v>
      </c>
      <c r="C5849" t="inlineStr">
        <is>
          <t>1414/01/04</t>
        </is>
      </c>
    </row>
    <row r="5850">
      <c r="A5850" t="n">
        <v>14140105</v>
      </c>
      <c r="B5850" t="n">
        <v>49393</v>
      </c>
      <c r="C5850" t="inlineStr">
        <is>
          <t>1414/01/05</t>
        </is>
      </c>
    </row>
    <row r="5851">
      <c r="A5851" t="n">
        <v>14140106</v>
      </c>
      <c r="B5851" t="n">
        <v>49394</v>
      </c>
      <c r="C5851" t="inlineStr">
        <is>
          <t>1414/01/06</t>
        </is>
      </c>
    </row>
    <row r="5852">
      <c r="A5852" t="n">
        <v>14140107</v>
      </c>
      <c r="B5852" t="n">
        <v>49395</v>
      </c>
      <c r="C5852" t="inlineStr">
        <is>
          <t>1414/01/07</t>
        </is>
      </c>
    </row>
    <row r="5853">
      <c r="A5853" t="n">
        <v>14140108</v>
      </c>
      <c r="B5853" t="n">
        <v>49396</v>
      </c>
      <c r="C5853" t="inlineStr">
        <is>
          <t>1414/01/08</t>
        </is>
      </c>
    </row>
    <row r="5854">
      <c r="A5854" t="n">
        <v>14140109</v>
      </c>
      <c r="B5854" t="n">
        <v>49397</v>
      </c>
      <c r="C5854" t="inlineStr">
        <is>
          <t>1414/01/09</t>
        </is>
      </c>
    </row>
    <row r="5855">
      <c r="A5855" t="n">
        <v>14140110</v>
      </c>
      <c r="B5855" t="n">
        <v>49398</v>
      </c>
      <c r="C5855" t="inlineStr">
        <is>
          <t>1414/01/10</t>
        </is>
      </c>
    </row>
    <row r="5856">
      <c r="A5856" t="n">
        <v>14140111</v>
      </c>
      <c r="B5856" t="n">
        <v>49399</v>
      </c>
      <c r="C5856" t="inlineStr">
        <is>
          <t>1414/01/11</t>
        </is>
      </c>
    </row>
    <row r="5857">
      <c r="A5857" t="n">
        <v>14140112</v>
      </c>
      <c r="B5857" t="n">
        <v>49400</v>
      </c>
      <c r="C5857" t="inlineStr">
        <is>
          <t>1414/01/12</t>
        </is>
      </c>
    </row>
    <row r="5858">
      <c r="A5858" t="n">
        <v>14140113</v>
      </c>
      <c r="B5858" t="n">
        <v>49401</v>
      </c>
      <c r="C5858" t="inlineStr">
        <is>
          <t>1414/01/13</t>
        </is>
      </c>
    </row>
    <row r="5859">
      <c r="A5859" t="n">
        <v>14140114</v>
      </c>
      <c r="B5859" t="n">
        <v>49402</v>
      </c>
      <c r="C5859" t="inlineStr">
        <is>
          <t>1414/01/14</t>
        </is>
      </c>
    </row>
    <row r="5860">
      <c r="A5860" t="n">
        <v>14140115</v>
      </c>
      <c r="B5860" t="n">
        <v>49403</v>
      </c>
      <c r="C5860" t="inlineStr">
        <is>
          <t>1414/01/15</t>
        </is>
      </c>
    </row>
    <row r="5861">
      <c r="A5861" t="n">
        <v>14140116</v>
      </c>
      <c r="B5861" t="n">
        <v>49404</v>
      </c>
      <c r="C5861" t="inlineStr">
        <is>
          <t>1414/01/16</t>
        </is>
      </c>
    </row>
    <row r="5862">
      <c r="A5862" t="n">
        <v>14140117</v>
      </c>
      <c r="B5862" t="n">
        <v>49405</v>
      </c>
      <c r="C5862" t="inlineStr">
        <is>
          <t>1414/01/17</t>
        </is>
      </c>
    </row>
    <row r="5863">
      <c r="A5863" t="n">
        <v>14140118</v>
      </c>
      <c r="B5863" t="n">
        <v>49406</v>
      </c>
      <c r="C5863" t="inlineStr">
        <is>
          <t>1414/01/18</t>
        </is>
      </c>
    </row>
    <row r="5864">
      <c r="A5864" t="n">
        <v>14140119</v>
      </c>
      <c r="B5864" t="n">
        <v>49407</v>
      </c>
      <c r="C5864" t="inlineStr">
        <is>
          <t>1414/01/19</t>
        </is>
      </c>
    </row>
    <row r="5865">
      <c r="A5865" t="n">
        <v>14140120</v>
      </c>
      <c r="B5865" t="n">
        <v>49408</v>
      </c>
      <c r="C5865" t="inlineStr">
        <is>
          <t>1414/01/20</t>
        </is>
      </c>
    </row>
    <row r="5866">
      <c r="A5866" t="n">
        <v>14140121</v>
      </c>
      <c r="B5866" t="n">
        <v>49409</v>
      </c>
      <c r="C5866" t="inlineStr">
        <is>
          <t>1414/01/21</t>
        </is>
      </c>
    </row>
    <row r="5867">
      <c r="A5867" t="n">
        <v>14140122</v>
      </c>
      <c r="B5867" t="n">
        <v>49410</v>
      </c>
      <c r="C5867" t="inlineStr">
        <is>
          <t>1414/01/22</t>
        </is>
      </c>
    </row>
    <row r="5868">
      <c r="A5868" t="n">
        <v>14140123</v>
      </c>
      <c r="B5868" t="n">
        <v>49411</v>
      </c>
      <c r="C5868" t="inlineStr">
        <is>
          <t>1414/01/23</t>
        </is>
      </c>
    </row>
    <row r="5869">
      <c r="A5869" t="n">
        <v>14140124</v>
      </c>
      <c r="B5869" t="n">
        <v>49412</v>
      </c>
      <c r="C5869" t="inlineStr">
        <is>
          <t>1414/01/24</t>
        </is>
      </c>
    </row>
    <row r="5870">
      <c r="A5870" t="n">
        <v>14140125</v>
      </c>
      <c r="B5870" t="n">
        <v>49413</v>
      </c>
      <c r="C5870" t="inlineStr">
        <is>
          <t>1414/01/25</t>
        </is>
      </c>
    </row>
    <row r="5871">
      <c r="A5871" t="n">
        <v>14140126</v>
      </c>
      <c r="B5871" t="n">
        <v>49414</v>
      </c>
      <c r="C5871" t="inlineStr">
        <is>
          <t>1414/01/26</t>
        </is>
      </c>
    </row>
    <row r="5872">
      <c r="A5872" t="n">
        <v>14140127</v>
      </c>
      <c r="B5872" t="n">
        <v>49415</v>
      </c>
      <c r="C5872" t="inlineStr">
        <is>
          <t>1414/01/27</t>
        </is>
      </c>
    </row>
    <row r="5873">
      <c r="A5873" t="n">
        <v>14140128</v>
      </c>
      <c r="B5873" t="n">
        <v>49416</v>
      </c>
      <c r="C5873" t="inlineStr">
        <is>
          <t>1414/01/28</t>
        </is>
      </c>
    </row>
    <row r="5874">
      <c r="A5874" t="n">
        <v>14140129</v>
      </c>
      <c r="B5874" t="n">
        <v>49417</v>
      </c>
      <c r="C5874" t="inlineStr">
        <is>
          <t>1414/01/29</t>
        </is>
      </c>
    </row>
    <row r="5875">
      <c r="A5875" t="n">
        <v>14140130</v>
      </c>
      <c r="B5875" t="n">
        <v>49418</v>
      </c>
      <c r="C5875" t="inlineStr">
        <is>
          <t>1414/01/30</t>
        </is>
      </c>
    </row>
    <row r="5876">
      <c r="A5876" t="n">
        <v>14140131</v>
      </c>
      <c r="B5876" t="n">
        <v>49419</v>
      </c>
      <c r="C5876" t="inlineStr">
        <is>
          <t>1414/01/31</t>
        </is>
      </c>
    </row>
    <row r="5877">
      <c r="A5877" t="n">
        <v>14140201</v>
      </c>
      <c r="B5877" t="n">
        <v>49420</v>
      </c>
      <c r="C5877" t="inlineStr">
        <is>
          <t>1414/02/01</t>
        </is>
      </c>
    </row>
    <row r="5878">
      <c r="A5878" t="n">
        <v>14140202</v>
      </c>
      <c r="B5878" t="n">
        <v>49421</v>
      </c>
      <c r="C5878" t="inlineStr">
        <is>
          <t>1414/02/02</t>
        </is>
      </c>
    </row>
    <row r="5879">
      <c r="A5879" t="n">
        <v>14140203</v>
      </c>
      <c r="B5879" t="n">
        <v>49422</v>
      </c>
      <c r="C5879" t="inlineStr">
        <is>
          <t>1414/02/03</t>
        </is>
      </c>
    </row>
    <row r="5880">
      <c r="A5880" t="n">
        <v>14140204</v>
      </c>
      <c r="B5880" t="n">
        <v>49423</v>
      </c>
      <c r="C5880" t="inlineStr">
        <is>
          <t>1414/02/04</t>
        </is>
      </c>
    </row>
    <row r="5881">
      <c r="A5881" t="n">
        <v>14140205</v>
      </c>
      <c r="B5881" t="n">
        <v>49424</v>
      </c>
      <c r="C5881" t="inlineStr">
        <is>
          <t>1414/02/05</t>
        </is>
      </c>
    </row>
    <row r="5882">
      <c r="A5882" t="n">
        <v>14140206</v>
      </c>
      <c r="B5882" t="n">
        <v>49425</v>
      </c>
      <c r="C5882" t="inlineStr">
        <is>
          <t>1414/02/06</t>
        </is>
      </c>
    </row>
    <row r="5883">
      <c r="A5883" t="n">
        <v>14140207</v>
      </c>
      <c r="B5883" t="n">
        <v>49426</v>
      </c>
      <c r="C5883" t="inlineStr">
        <is>
          <t>1414/02/07</t>
        </is>
      </c>
    </row>
    <row r="5884">
      <c r="A5884" t="n">
        <v>14140208</v>
      </c>
      <c r="B5884" t="n">
        <v>49427</v>
      </c>
      <c r="C5884" t="inlineStr">
        <is>
          <t>1414/02/08</t>
        </is>
      </c>
    </row>
    <row r="5885">
      <c r="A5885" t="n">
        <v>14140209</v>
      </c>
      <c r="B5885" t="n">
        <v>49428</v>
      </c>
      <c r="C5885" t="inlineStr">
        <is>
          <t>1414/02/09</t>
        </is>
      </c>
    </row>
    <row r="5886">
      <c r="A5886" t="n">
        <v>14140210</v>
      </c>
      <c r="B5886" t="n">
        <v>49429</v>
      </c>
      <c r="C5886" t="inlineStr">
        <is>
          <t>1414/02/10</t>
        </is>
      </c>
    </row>
    <row r="5887">
      <c r="A5887" t="n">
        <v>14140211</v>
      </c>
      <c r="B5887" t="n">
        <v>49430</v>
      </c>
      <c r="C5887" t="inlineStr">
        <is>
          <t>1414/02/11</t>
        </is>
      </c>
    </row>
    <row r="5888">
      <c r="A5888" t="n">
        <v>14140212</v>
      </c>
      <c r="B5888" t="n">
        <v>49431</v>
      </c>
      <c r="C5888" t="inlineStr">
        <is>
          <t>1414/02/12</t>
        </is>
      </c>
    </row>
    <row r="5889">
      <c r="A5889" t="n">
        <v>14140213</v>
      </c>
      <c r="B5889" t="n">
        <v>49432</v>
      </c>
      <c r="C5889" t="inlineStr">
        <is>
          <t>1414/02/13</t>
        </is>
      </c>
    </row>
    <row r="5890">
      <c r="A5890" t="n">
        <v>14140214</v>
      </c>
      <c r="B5890" t="n">
        <v>49433</v>
      </c>
      <c r="C5890" t="inlineStr">
        <is>
          <t>1414/02/14</t>
        </is>
      </c>
    </row>
    <row r="5891">
      <c r="A5891" t="n">
        <v>14140215</v>
      </c>
      <c r="B5891" t="n">
        <v>49434</v>
      </c>
      <c r="C5891" t="inlineStr">
        <is>
          <t>1414/02/15</t>
        </is>
      </c>
    </row>
    <row r="5892">
      <c r="A5892" t="n">
        <v>14140216</v>
      </c>
      <c r="B5892" t="n">
        <v>49435</v>
      </c>
      <c r="C5892" t="inlineStr">
        <is>
          <t>1414/02/16</t>
        </is>
      </c>
    </row>
    <row r="5893">
      <c r="A5893" t="n">
        <v>14140217</v>
      </c>
      <c r="B5893" t="n">
        <v>49436</v>
      </c>
      <c r="C5893" t="inlineStr">
        <is>
          <t>1414/02/17</t>
        </is>
      </c>
    </row>
    <row r="5894">
      <c r="A5894" t="n">
        <v>14140218</v>
      </c>
      <c r="B5894" t="n">
        <v>49437</v>
      </c>
      <c r="C5894" t="inlineStr">
        <is>
          <t>1414/02/18</t>
        </is>
      </c>
    </row>
    <row r="5895">
      <c r="A5895" t="n">
        <v>14140219</v>
      </c>
      <c r="B5895" t="n">
        <v>49438</v>
      </c>
      <c r="C5895" t="inlineStr">
        <is>
          <t>1414/02/19</t>
        </is>
      </c>
    </row>
    <row r="5896">
      <c r="A5896" t="n">
        <v>14140220</v>
      </c>
      <c r="B5896" t="n">
        <v>49439</v>
      </c>
      <c r="C5896" t="inlineStr">
        <is>
          <t>1414/02/20</t>
        </is>
      </c>
    </row>
    <row r="5897">
      <c r="A5897" t="n">
        <v>14140221</v>
      </c>
      <c r="B5897" t="n">
        <v>49440</v>
      </c>
      <c r="C5897" t="inlineStr">
        <is>
          <t>1414/02/21</t>
        </is>
      </c>
    </row>
    <row r="5898">
      <c r="A5898" t="n">
        <v>14140222</v>
      </c>
      <c r="B5898" t="n">
        <v>49441</v>
      </c>
      <c r="C5898" t="inlineStr">
        <is>
          <t>1414/02/22</t>
        </is>
      </c>
    </row>
    <row r="5899">
      <c r="A5899" t="n">
        <v>14140223</v>
      </c>
      <c r="B5899" t="n">
        <v>49442</v>
      </c>
      <c r="C5899" t="inlineStr">
        <is>
          <t>1414/02/23</t>
        </is>
      </c>
    </row>
    <row r="5900">
      <c r="A5900" t="n">
        <v>14140224</v>
      </c>
      <c r="B5900" t="n">
        <v>49443</v>
      </c>
      <c r="C5900" t="inlineStr">
        <is>
          <t>1414/02/24</t>
        </is>
      </c>
    </row>
    <row r="5901">
      <c r="A5901" t="n">
        <v>14140225</v>
      </c>
      <c r="B5901" t="n">
        <v>49444</v>
      </c>
      <c r="C5901" t="inlineStr">
        <is>
          <t>1414/02/25</t>
        </is>
      </c>
    </row>
    <row r="5902">
      <c r="A5902" t="n">
        <v>14140226</v>
      </c>
      <c r="B5902" t="n">
        <v>49445</v>
      </c>
      <c r="C5902" t="inlineStr">
        <is>
          <t>1414/02/26</t>
        </is>
      </c>
    </row>
    <row r="5903">
      <c r="A5903" t="n">
        <v>14140227</v>
      </c>
      <c r="B5903" t="n">
        <v>49446</v>
      </c>
      <c r="C5903" t="inlineStr">
        <is>
          <t>1414/02/27</t>
        </is>
      </c>
    </row>
    <row r="5904">
      <c r="A5904" t="n">
        <v>14140228</v>
      </c>
      <c r="B5904" t="n">
        <v>49447</v>
      </c>
      <c r="C5904" t="inlineStr">
        <is>
          <t>1414/02/28</t>
        </is>
      </c>
    </row>
    <row r="5905">
      <c r="A5905" t="n">
        <v>14140229</v>
      </c>
      <c r="B5905" t="n">
        <v>49448</v>
      </c>
      <c r="C5905" t="inlineStr">
        <is>
          <t>1414/02/29</t>
        </is>
      </c>
    </row>
    <row r="5906">
      <c r="A5906" t="n">
        <v>14140230</v>
      </c>
      <c r="B5906" t="n">
        <v>49449</v>
      </c>
      <c r="C5906" t="inlineStr">
        <is>
          <t>1414/02/30</t>
        </is>
      </c>
    </row>
    <row r="5907">
      <c r="A5907" t="n">
        <v>14140231</v>
      </c>
      <c r="B5907" t="n">
        <v>49450</v>
      </c>
      <c r="C5907" t="inlineStr">
        <is>
          <t>1414/02/31</t>
        </is>
      </c>
    </row>
    <row r="5908">
      <c r="A5908" t="n">
        <v>14140301</v>
      </c>
      <c r="B5908" t="n">
        <v>49451</v>
      </c>
      <c r="C5908" t="inlineStr">
        <is>
          <t>1414/03/01</t>
        </is>
      </c>
    </row>
    <row r="5909">
      <c r="A5909" t="n">
        <v>14140302</v>
      </c>
      <c r="B5909" t="n">
        <v>49452</v>
      </c>
      <c r="C5909" t="inlineStr">
        <is>
          <t>1414/03/02</t>
        </is>
      </c>
    </row>
    <row r="5910">
      <c r="A5910" t="n">
        <v>14140303</v>
      </c>
      <c r="B5910" t="n">
        <v>49453</v>
      </c>
      <c r="C5910" t="inlineStr">
        <is>
          <t>1414/03/03</t>
        </is>
      </c>
    </row>
    <row r="5911">
      <c r="A5911" t="n">
        <v>14140304</v>
      </c>
      <c r="B5911" t="n">
        <v>49454</v>
      </c>
      <c r="C5911" t="inlineStr">
        <is>
          <t>1414/03/04</t>
        </is>
      </c>
    </row>
    <row r="5912">
      <c r="A5912" t="n">
        <v>14140305</v>
      </c>
      <c r="B5912" t="n">
        <v>49455</v>
      </c>
      <c r="C5912" t="inlineStr">
        <is>
          <t>1414/03/05</t>
        </is>
      </c>
    </row>
    <row r="5913">
      <c r="A5913" t="n">
        <v>14140306</v>
      </c>
      <c r="B5913" t="n">
        <v>49456</v>
      </c>
      <c r="C5913" t="inlineStr">
        <is>
          <t>1414/03/06</t>
        </is>
      </c>
    </row>
    <row r="5914">
      <c r="A5914" t="n">
        <v>14140307</v>
      </c>
      <c r="B5914" t="n">
        <v>49457</v>
      </c>
      <c r="C5914" t="inlineStr">
        <is>
          <t>1414/03/07</t>
        </is>
      </c>
    </row>
    <row r="5915">
      <c r="A5915" t="n">
        <v>14140308</v>
      </c>
      <c r="B5915" t="n">
        <v>49458</v>
      </c>
      <c r="C5915" t="inlineStr">
        <is>
          <t>1414/03/08</t>
        </is>
      </c>
    </row>
    <row r="5916">
      <c r="A5916" t="n">
        <v>14140309</v>
      </c>
      <c r="B5916" t="n">
        <v>49459</v>
      </c>
      <c r="C5916" t="inlineStr">
        <is>
          <t>1414/03/09</t>
        </is>
      </c>
    </row>
    <row r="5917">
      <c r="A5917" t="n">
        <v>14140310</v>
      </c>
      <c r="B5917" t="n">
        <v>49460</v>
      </c>
      <c r="C5917" t="inlineStr">
        <is>
          <t>1414/03/10</t>
        </is>
      </c>
    </row>
    <row r="5918">
      <c r="A5918" t="n">
        <v>14140311</v>
      </c>
      <c r="B5918" t="n">
        <v>49461</v>
      </c>
      <c r="C5918" t="inlineStr">
        <is>
          <t>1414/03/11</t>
        </is>
      </c>
    </row>
    <row r="5919">
      <c r="A5919" t="n">
        <v>14140312</v>
      </c>
      <c r="B5919" t="n">
        <v>49462</v>
      </c>
      <c r="C5919" t="inlineStr">
        <is>
          <t>1414/03/12</t>
        </is>
      </c>
    </row>
    <row r="5920">
      <c r="A5920" t="n">
        <v>14140313</v>
      </c>
      <c r="B5920" t="n">
        <v>49463</v>
      </c>
      <c r="C5920" t="inlineStr">
        <is>
          <t>1414/03/13</t>
        </is>
      </c>
    </row>
    <row r="5921">
      <c r="A5921" t="n">
        <v>14140314</v>
      </c>
      <c r="B5921" t="n">
        <v>49464</v>
      </c>
      <c r="C5921" t="inlineStr">
        <is>
          <t>1414/03/14</t>
        </is>
      </c>
    </row>
    <row r="5922">
      <c r="A5922" t="n">
        <v>14140315</v>
      </c>
      <c r="B5922" t="n">
        <v>49465</v>
      </c>
      <c r="C5922" t="inlineStr">
        <is>
          <t>1414/03/15</t>
        </is>
      </c>
    </row>
    <row r="5923">
      <c r="A5923" t="n">
        <v>14140316</v>
      </c>
      <c r="B5923" t="n">
        <v>49466</v>
      </c>
      <c r="C5923" t="inlineStr">
        <is>
          <t>1414/03/16</t>
        </is>
      </c>
    </row>
    <row r="5924">
      <c r="A5924" t="n">
        <v>14140317</v>
      </c>
      <c r="B5924" t="n">
        <v>49467</v>
      </c>
      <c r="C5924" t="inlineStr">
        <is>
          <t>1414/03/17</t>
        </is>
      </c>
    </row>
    <row r="5925">
      <c r="A5925" t="n">
        <v>14140318</v>
      </c>
      <c r="B5925" t="n">
        <v>49468</v>
      </c>
      <c r="C5925" t="inlineStr">
        <is>
          <t>1414/03/18</t>
        </is>
      </c>
    </row>
    <row r="5926">
      <c r="A5926" t="n">
        <v>14140319</v>
      </c>
      <c r="B5926" t="n">
        <v>49469</v>
      </c>
      <c r="C5926" t="inlineStr">
        <is>
          <t>1414/03/19</t>
        </is>
      </c>
    </row>
    <row r="5927">
      <c r="A5927" t="n">
        <v>14140320</v>
      </c>
      <c r="B5927" t="n">
        <v>49470</v>
      </c>
      <c r="C5927" t="inlineStr">
        <is>
          <t>1414/03/20</t>
        </is>
      </c>
    </row>
    <row r="5928">
      <c r="A5928" t="n">
        <v>14140321</v>
      </c>
      <c r="B5928" t="n">
        <v>49471</v>
      </c>
      <c r="C5928" t="inlineStr">
        <is>
          <t>1414/03/21</t>
        </is>
      </c>
    </row>
    <row r="5929">
      <c r="A5929" t="n">
        <v>14140322</v>
      </c>
      <c r="B5929" t="n">
        <v>49472</v>
      </c>
      <c r="C5929" t="inlineStr">
        <is>
          <t>1414/03/22</t>
        </is>
      </c>
    </row>
    <row r="5930">
      <c r="A5930" t="n">
        <v>14140323</v>
      </c>
      <c r="B5930" t="n">
        <v>49473</v>
      </c>
      <c r="C5930" t="inlineStr">
        <is>
          <t>1414/03/23</t>
        </is>
      </c>
    </row>
    <row r="5931">
      <c r="A5931" t="n">
        <v>14140324</v>
      </c>
      <c r="B5931" t="n">
        <v>49474</v>
      </c>
      <c r="C5931" t="inlineStr">
        <is>
          <t>1414/03/24</t>
        </is>
      </c>
    </row>
    <row r="5932">
      <c r="A5932" t="n">
        <v>14140325</v>
      </c>
      <c r="B5932" t="n">
        <v>49475</v>
      </c>
      <c r="C5932" t="inlineStr">
        <is>
          <t>1414/03/25</t>
        </is>
      </c>
    </row>
    <row r="5933">
      <c r="A5933" t="n">
        <v>14140326</v>
      </c>
      <c r="B5933" t="n">
        <v>49476</v>
      </c>
      <c r="C5933" t="inlineStr">
        <is>
          <t>1414/03/26</t>
        </is>
      </c>
    </row>
    <row r="5934">
      <c r="A5934" t="n">
        <v>14140327</v>
      </c>
      <c r="B5934" t="n">
        <v>49477</v>
      </c>
      <c r="C5934" t="inlineStr">
        <is>
          <t>1414/03/27</t>
        </is>
      </c>
    </row>
    <row r="5935">
      <c r="A5935" t="n">
        <v>14140328</v>
      </c>
      <c r="B5935" t="n">
        <v>49478</v>
      </c>
      <c r="C5935" t="inlineStr">
        <is>
          <t>1414/03/28</t>
        </is>
      </c>
    </row>
    <row r="5936">
      <c r="A5936" t="n">
        <v>14140329</v>
      </c>
      <c r="B5936" t="n">
        <v>49479</v>
      </c>
      <c r="C5936" t="inlineStr">
        <is>
          <t>1414/03/29</t>
        </is>
      </c>
    </row>
    <row r="5937">
      <c r="A5937" t="n">
        <v>14140330</v>
      </c>
      <c r="B5937" t="n">
        <v>49480</v>
      </c>
      <c r="C5937" t="inlineStr">
        <is>
          <t>1414/03/30</t>
        </is>
      </c>
    </row>
    <row r="5938">
      <c r="A5938" t="n">
        <v>14140331</v>
      </c>
      <c r="B5938" t="n">
        <v>49481</v>
      </c>
      <c r="C5938" t="inlineStr">
        <is>
          <t>1414/03/31</t>
        </is>
      </c>
    </row>
    <row r="5939">
      <c r="A5939" t="n">
        <v>14140401</v>
      </c>
      <c r="B5939" t="n">
        <v>49482</v>
      </c>
      <c r="C5939" t="inlineStr">
        <is>
          <t>1414/04/01</t>
        </is>
      </c>
    </row>
    <row r="5940">
      <c r="A5940" t="n">
        <v>14140402</v>
      </c>
      <c r="B5940" t="n">
        <v>49483</v>
      </c>
      <c r="C5940" t="inlineStr">
        <is>
          <t>1414/04/02</t>
        </is>
      </c>
    </row>
    <row r="5941">
      <c r="A5941" t="n">
        <v>14140403</v>
      </c>
      <c r="B5941" t="n">
        <v>49484</v>
      </c>
      <c r="C5941" t="inlineStr">
        <is>
          <t>1414/04/03</t>
        </is>
      </c>
    </row>
    <row r="5942">
      <c r="A5942" t="n">
        <v>14140404</v>
      </c>
      <c r="B5942" t="n">
        <v>49485</v>
      </c>
      <c r="C5942" t="inlineStr">
        <is>
          <t>1414/04/04</t>
        </is>
      </c>
    </row>
    <row r="5943">
      <c r="A5943" t="n">
        <v>14140405</v>
      </c>
      <c r="B5943" t="n">
        <v>49486</v>
      </c>
      <c r="C5943" t="inlineStr">
        <is>
          <t>1414/04/05</t>
        </is>
      </c>
    </row>
    <row r="5944">
      <c r="A5944" t="n">
        <v>14140406</v>
      </c>
      <c r="B5944" t="n">
        <v>49487</v>
      </c>
      <c r="C5944" t="inlineStr">
        <is>
          <t>1414/04/06</t>
        </is>
      </c>
    </row>
    <row r="5945">
      <c r="A5945" t="n">
        <v>14140407</v>
      </c>
      <c r="B5945" t="n">
        <v>49488</v>
      </c>
      <c r="C5945" t="inlineStr">
        <is>
          <t>1414/04/07</t>
        </is>
      </c>
    </row>
    <row r="5946">
      <c r="A5946" t="n">
        <v>14140408</v>
      </c>
      <c r="B5946" t="n">
        <v>49489</v>
      </c>
      <c r="C5946" t="inlineStr">
        <is>
          <t>1414/04/08</t>
        </is>
      </c>
    </row>
    <row r="5947">
      <c r="A5947" t="n">
        <v>14140409</v>
      </c>
      <c r="B5947" t="n">
        <v>49490</v>
      </c>
      <c r="C5947" t="inlineStr">
        <is>
          <t>1414/04/09</t>
        </is>
      </c>
    </row>
    <row r="5948">
      <c r="A5948" t="n">
        <v>14140410</v>
      </c>
      <c r="B5948" t="n">
        <v>49491</v>
      </c>
      <c r="C5948" t="inlineStr">
        <is>
          <t>1414/04/10</t>
        </is>
      </c>
    </row>
    <row r="5949">
      <c r="A5949" t="n">
        <v>14140411</v>
      </c>
      <c r="B5949" t="n">
        <v>49492</v>
      </c>
      <c r="C5949" t="inlineStr">
        <is>
          <t>1414/04/11</t>
        </is>
      </c>
    </row>
    <row r="5950">
      <c r="A5950" t="n">
        <v>14140412</v>
      </c>
      <c r="B5950" t="n">
        <v>49493</v>
      </c>
      <c r="C5950" t="inlineStr">
        <is>
          <t>1414/04/12</t>
        </is>
      </c>
    </row>
    <row r="5951">
      <c r="A5951" t="n">
        <v>14140413</v>
      </c>
      <c r="B5951" t="n">
        <v>49494</v>
      </c>
      <c r="C5951" t="inlineStr">
        <is>
          <t>1414/04/13</t>
        </is>
      </c>
    </row>
    <row r="5952">
      <c r="A5952" t="n">
        <v>14140414</v>
      </c>
      <c r="B5952" t="n">
        <v>49495</v>
      </c>
      <c r="C5952" t="inlineStr">
        <is>
          <t>1414/04/14</t>
        </is>
      </c>
    </row>
    <row r="5953">
      <c r="A5953" t="n">
        <v>14140415</v>
      </c>
      <c r="B5953" t="n">
        <v>49496</v>
      </c>
      <c r="C5953" t="inlineStr">
        <is>
          <t>1414/04/15</t>
        </is>
      </c>
    </row>
    <row r="5954">
      <c r="A5954" t="n">
        <v>14140416</v>
      </c>
      <c r="B5954" t="n">
        <v>49497</v>
      </c>
      <c r="C5954" t="inlineStr">
        <is>
          <t>1414/04/16</t>
        </is>
      </c>
    </row>
    <row r="5955">
      <c r="A5955" t="n">
        <v>14140417</v>
      </c>
      <c r="B5955" t="n">
        <v>49498</v>
      </c>
      <c r="C5955" t="inlineStr">
        <is>
          <t>1414/04/17</t>
        </is>
      </c>
    </row>
    <row r="5956">
      <c r="A5956" t="n">
        <v>14140418</v>
      </c>
      <c r="B5956" t="n">
        <v>49499</v>
      </c>
      <c r="C5956" t="inlineStr">
        <is>
          <t>1414/04/18</t>
        </is>
      </c>
    </row>
    <row r="5957">
      <c r="A5957" t="n">
        <v>14140419</v>
      </c>
      <c r="B5957" t="n">
        <v>49500</v>
      </c>
      <c r="C5957" t="inlineStr">
        <is>
          <t>1414/04/19</t>
        </is>
      </c>
    </row>
    <row r="5958">
      <c r="A5958" t="n">
        <v>14140420</v>
      </c>
      <c r="B5958" t="n">
        <v>49501</v>
      </c>
      <c r="C5958" t="inlineStr">
        <is>
          <t>1414/04/20</t>
        </is>
      </c>
    </row>
    <row r="5959">
      <c r="A5959" t="n">
        <v>14140421</v>
      </c>
      <c r="B5959" t="n">
        <v>49502</v>
      </c>
      <c r="C5959" t="inlineStr">
        <is>
          <t>1414/04/21</t>
        </is>
      </c>
    </row>
    <row r="5960">
      <c r="A5960" t="n">
        <v>14140422</v>
      </c>
      <c r="B5960" t="n">
        <v>49503</v>
      </c>
      <c r="C5960" t="inlineStr">
        <is>
          <t>1414/04/22</t>
        </is>
      </c>
    </row>
    <row r="5961">
      <c r="A5961" t="n">
        <v>14140423</v>
      </c>
      <c r="B5961" t="n">
        <v>49504</v>
      </c>
      <c r="C5961" t="inlineStr">
        <is>
          <t>1414/04/23</t>
        </is>
      </c>
    </row>
    <row r="5962">
      <c r="A5962" t="n">
        <v>14140424</v>
      </c>
      <c r="B5962" t="n">
        <v>49505</v>
      </c>
      <c r="C5962" t="inlineStr">
        <is>
          <t>1414/04/24</t>
        </is>
      </c>
    </row>
    <row r="5963">
      <c r="A5963" t="n">
        <v>14140425</v>
      </c>
      <c r="B5963" t="n">
        <v>49506</v>
      </c>
      <c r="C5963" t="inlineStr">
        <is>
          <t>1414/04/25</t>
        </is>
      </c>
    </row>
    <row r="5964">
      <c r="A5964" t="n">
        <v>14140426</v>
      </c>
      <c r="B5964" t="n">
        <v>49507</v>
      </c>
      <c r="C5964" t="inlineStr">
        <is>
          <t>1414/04/26</t>
        </is>
      </c>
    </row>
    <row r="5965">
      <c r="A5965" t="n">
        <v>14140427</v>
      </c>
      <c r="B5965" t="n">
        <v>49508</v>
      </c>
      <c r="C5965" t="inlineStr">
        <is>
          <t>1414/04/27</t>
        </is>
      </c>
    </row>
    <row r="5966">
      <c r="A5966" t="n">
        <v>14140428</v>
      </c>
      <c r="B5966" t="n">
        <v>49509</v>
      </c>
      <c r="C5966" t="inlineStr">
        <is>
          <t>1414/04/28</t>
        </is>
      </c>
    </row>
    <row r="5967">
      <c r="A5967" t="n">
        <v>14140429</v>
      </c>
      <c r="B5967" t="n">
        <v>49510</v>
      </c>
      <c r="C5967" t="inlineStr">
        <is>
          <t>1414/04/29</t>
        </is>
      </c>
    </row>
    <row r="5968">
      <c r="A5968" t="n">
        <v>14140430</v>
      </c>
      <c r="B5968" t="n">
        <v>49511</v>
      </c>
      <c r="C5968" t="inlineStr">
        <is>
          <t>1414/04/30</t>
        </is>
      </c>
    </row>
    <row r="5969">
      <c r="A5969" t="n">
        <v>14140431</v>
      </c>
      <c r="B5969" t="n">
        <v>49512</v>
      </c>
      <c r="C5969" t="inlineStr">
        <is>
          <t>1414/04/31</t>
        </is>
      </c>
    </row>
    <row r="5970">
      <c r="A5970" t="n">
        <v>14140501</v>
      </c>
      <c r="B5970" t="n">
        <v>49513</v>
      </c>
      <c r="C5970" t="inlineStr">
        <is>
          <t>1414/05/01</t>
        </is>
      </c>
    </row>
    <row r="5971">
      <c r="A5971" t="n">
        <v>14140502</v>
      </c>
      <c r="B5971" t="n">
        <v>49514</v>
      </c>
      <c r="C5971" t="inlineStr">
        <is>
          <t>1414/05/02</t>
        </is>
      </c>
    </row>
    <row r="5972">
      <c r="A5972" t="n">
        <v>14140503</v>
      </c>
      <c r="B5972" t="n">
        <v>49515</v>
      </c>
      <c r="C5972" t="inlineStr">
        <is>
          <t>1414/05/03</t>
        </is>
      </c>
    </row>
    <row r="5973">
      <c r="A5973" t="n">
        <v>14140504</v>
      </c>
      <c r="B5973" t="n">
        <v>49516</v>
      </c>
      <c r="C5973" t="inlineStr">
        <is>
          <t>1414/05/04</t>
        </is>
      </c>
    </row>
    <row r="5974">
      <c r="A5974" t="n">
        <v>14140505</v>
      </c>
      <c r="B5974" t="n">
        <v>49517</v>
      </c>
      <c r="C5974" t="inlineStr">
        <is>
          <t>1414/05/05</t>
        </is>
      </c>
    </row>
    <row r="5975">
      <c r="A5975" t="n">
        <v>14140506</v>
      </c>
      <c r="B5975" t="n">
        <v>49518</v>
      </c>
      <c r="C5975" t="inlineStr">
        <is>
          <t>1414/05/06</t>
        </is>
      </c>
    </row>
    <row r="5976">
      <c r="A5976" t="n">
        <v>14140507</v>
      </c>
      <c r="B5976" t="n">
        <v>49519</v>
      </c>
      <c r="C5976" t="inlineStr">
        <is>
          <t>1414/05/07</t>
        </is>
      </c>
    </row>
    <row r="5977">
      <c r="A5977" t="n">
        <v>14140508</v>
      </c>
      <c r="B5977" t="n">
        <v>49520</v>
      </c>
      <c r="C5977" t="inlineStr">
        <is>
          <t>1414/05/08</t>
        </is>
      </c>
    </row>
    <row r="5978">
      <c r="A5978" t="n">
        <v>14140509</v>
      </c>
      <c r="B5978" t="n">
        <v>49521</v>
      </c>
      <c r="C5978" t="inlineStr">
        <is>
          <t>1414/05/09</t>
        </is>
      </c>
    </row>
    <row r="5979">
      <c r="A5979" t="n">
        <v>14140510</v>
      </c>
      <c r="B5979" t="n">
        <v>49522</v>
      </c>
      <c r="C5979" t="inlineStr">
        <is>
          <t>1414/05/10</t>
        </is>
      </c>
    </row>
    <row r="5980">
      <c r="A5980" t="n">
        <v>14140511</v>
      </c>
      <c r="B5980" t="n">
        <v>49523</v>
      </c>
      <c r="C5980" t="inlineStr">
        <is>
          <t>1414/05/11</t>
        </is>
      </c>
    </row>
    <row r="5981">
      <c r="A5981" t="n">
        <v>14140512</v>
      </c>
      <c r="B5981" t="n">
        <v>49524</v>
      </c>
      <c r="C5981" t="inlineStr">
        <is>
          <t>1414/05/12</t>
        </is>
      </c>
    </row>
    <row r="5982">
      <c r="A5982" t="n">
        <v>14140513</v>
      </c>
      <c r="B5982" t="n">
        <v>49525</v>
      </c>
      <c r="C5982" t="inlineStr">
        <is>
          <t>1414/05/13</t>
        </is>
      </c>
    </row>
    <row r="5983">
      <c r="A5983" t="n">
        <v>14140514</v>
      </c>
      <c r="B5983" t="n">
        <v>49526</v>
      </c>
      <c r="C5983" t="inlineStr">
        <is>
          <t>1414/05/14</t>
        </is>
      </c>
    </row>
    <row r="5984">
      <c r="A5984" t="n">
        <v>14140515</v>
      </c>
      <c r="B5984" t="n">
        <v>49527</v>
      </c>
      <c r="C5984" t="inlineStr">
        <is>
          <t>1414/05/15</t>
        </is>
      </c>
    </row>
    <row r="5985">
      <c r="A5985" t="n">
        <v>14140516</v>
      </c>
      <c r="B5985" t="n">
        <v>49528</v>
      </c>
      <c r="C5985" t="inlineStr">
        <is>
          <t>1414/05/16</t>
        </is>
      </c>
    </row>
    <row r="5986">
      <c r="A5986" t="n">
        <v>14140517</v>
      </c>
      <c r="B5986" t="n">
        <v>49529</v>
      </c>
      <c r="C5986" t="inlineStr">
        <is>
          <t>1414/05/17</t>
        </is>
      </c>
    </row>
    <row r="5987">
      <c r="A5987" t="n">
        <v>14140518</v>
      </c>
      <c r="B5987" t="n">
        <v>49530</v>
      </c>
      <c r="C5987" t="inlineStr">
        <is>
          <t>1414/05/18</t>
        </is>
      </c>
    </row>
    <row r="5988">
      <c r="A5988" t="n">
        <v>14140519</v>
      </c>
      <c r="B5988" t="n">
        <v>49531</v>
      </c>
      <c r="C5988" t="inlineStr">
        <is>
          <t>1414/05/19</t>
        </is>
      </c>
    </row>
    <row r="5989">
      <c r="A5989" t="n">
        <v>14140520</v>
      </c>
      <c r="B5989" t="n">
        <v>49532</v>
      </c>
      <c r="C5989" t="inlineStr">
        <is>
          <t>1414/05/20</t>
        </is>
      </c>
    </row>
    <row r="5990">
      <c r="A5990" t="n">
        <v>14140521</v>
      </c>
      <c r="B5990" t="n">
        <v>49533</v>
      </c>
      <c r="C5990" t="inlineStr">
        <is>
          <t>1414/05/21</t>
        </is>
      </c>
    </row>
    <row r="5991">
      <c r="A5991" t="n">
        <v>14140522</v>
      </c>
      <c r="B5991" t="n">
        <v>49534</v>
      </c>
      <c r="C5991" t="inlineStr">
        <is>
          <t>1414/05/22</t>
        </is>
      </c>
    </row>
    <row r="5992">
      <c r="A5992" t="n">
        <v>14140523</v>
      </c>
      <c r="B5992" t="n">
        <v>49535</v>
      </c>
      <c r="C5992" t="inlineStr">
        <is>
          <t>1414/05/23</t>
        </is>
      </c>
    </row>
    <row r="5993">
      <c r="A5993" t="n">
        <v>14140524</v>
      </c>
      <c r="B5993" t="n">
        <v>49536</v>
      </c>
      <c r="C5993" t="inlineStr">
        <is>
          <t>1414/05/24</t>
        </is>
      </c>
    </row>
    <row r="5994">
      <c r="A5994" t="n">
        <v>14140525</v>
      </c>
      <c r="B5994" t="n">
        <v>49537</v>
      </c>
      <c r="C5994" t="inlineStr">
        <is>
          <t>1414/05/25</t>
        </is>
      </c>
    </row>
    <row r="5995">
      <c r="A5995" t="n">
        <v>14140526</v>
      </c>
      <c r="B5995" t="n">
        <v>49538</v>
      </c>
      <c r="C5995" t="inlineStr">
        <is>
          <t>1414/05/26</t>
        </is>
      </c>
    </row>
    <row r="5996">
      <c r="A5996" t="n">
        <v>14140527</v>
      </c>
      <c r="B5996" t="n">
        <v>49539</v>
      </c>
      <c r="C5996" t="inlineStr">
        <is>
          <t>1414/05/27</t>
        </is>
      </c>
    </row>
    <row r="5997">
      <c r="A5997" t="n">
        <v>14140528</v>
      </c>
      <c r="B5997" t="n">
        <v>49540</v>
      </c>
      <c r="C5997" t="inlineStr">
        <is>
          <t>1414/05/28</t>
        </is>
      </c>
    </row>
    <row r="5998">
      <c r="A5998" t="n">
        <v>14140529</v>
      </c>
      <c r="B5998" t="n">
        <v>49541</v>
      </c>
      <c r="C5998" t="inlineStr">
        <is>
          <t>1414/05/29</t>
        </is>
      </c>
    </row>
    <row r="5999">
      <c r="A5999" t="n">
        <v>14140530</v>
      </c>
      <c r="B5999" t="n">
        <v>49542</v>
      </c>
      <c r="C5999" t="inlineStr">
        <is>
          <t>1414/05/30</t>
        </is>
      </c>
    </row>
    <row r="6000">
      <c r="A6000" t="n">
        <v>14140531</v>
      </c>
      <c r="B6000" t="n">
        <v>49543</v>
      </c>
      <c r="C6000" t="inlineStr">
        <is>
          <t>1414/05/31</t>
        </is>
      </c>
    </row>
    <row r="6001">
      <c r="A6001" t="n">
        <v>14140601</v>
      </c>
      <c r="B6001" t="n">
        <v>49544</v>
      </c>
      <c r="C6001" t="inlineStr">
        <is>
          <t>1414/06/01</t>
        </is>
      </c>
    </row>
    <row r="6002">
      <c r="A6002" t="n">
        <v>14140602</v>
      </c>
      <c r="B6002" t="n">
        <v>49545</v>
      </c>
      <c r="C6002" t="inlineStr">
        <is>
          <t>1414/06/02</t>
        </is>
      </c>
    </row>
    <row r="6003">
      <c r="A6003" t="n">
        <v>14140603</v>
      </c>
      <c r="B6003" t="n">
        <v>49546</v>
      </c>
      <c r="C6003" t="inlineStr">
        <is>
          <t>1414/06/03</t>
        </is>
      </c>
    </row>
    <row r="6004">
      <c r="A6004" t="n">
        <v>14140604</v>
      </c>
      <c r="B6004" t="n">
        <v>49547</v>
      </c>
      <c r="C6004" t="inlineStr">
        <is>
          <t>1414/06/04</t>
        </is>
      </c>
    </row>
    <row r="6005">
      <c r="A6005" t="n">
        <v>14140605</v>
      </c>
      <c r="B6005" t="n">
        <v>49548</v>
      </c>
      <c r="C6005" t="inlineStr">
        <is>
          <t>1414/06/05</t>
        </is>
      </c>
    </row>
    <row r="6006">
      <c r="A6006" t="n">
        <v>14140606</v>
      </c>
      <c r="B6006" t="n">
        <v>49549</v>
      </c>
      <c r="C6006" t="inlineStr">
        <is>
          <t>1414/06/06</t>
        </is>
      </c>
    </row>
    <row r="6007">
      <c r="A6007" t="n">
        <v>14140607</v>
      </c>
      <c r="B6007" t="n">
        <v>49550</v>
      </c>
      <c r="C6007" t="inlineStr">
        <is>
          <t>1414/06/07</t>
        </is>
      </c>
    </row>
    <row r="6008">
      <c r="A6008" t="n">
        <v>14140608</v>
      </c>
      <c r="B6008" t="n">
        <v>49551</v>
      </c>
      <c r="C6008" t="inlineStr">
        <is>
          <t>1414/06/08</t>
        </is>
      </c>
    </row>
    <row r="6009">
      <c r="A6009" t="n">
        <v>14140609</v>
      </c>
      <c r="B6009" t="n">
        <v>49552</v>
      </c>
      <c r="C6009" t="inlineStr">
        <is>
          <t>1414/06/09</t>
        </is>
      </c>
    </row>
    <row r="6010">
      <c r="A6010" t="n">
        <v>14140610</v>
      </c>
      <c r="B6010" t="n">
        <v>49553</v>
      </c>
      <c r="C6010" t="inlineStr">
        <is>
          <t>1414/06/10</t>
        </is>
      </c>
    </row>
    <row r="6011">
      <c r="A6011" t="n">
        <v>14140611</v>
      </c>
      <c r="B6011" t="n">
        <v>49554</v>
      </c>
      <c r="C6011" t="inlineStr">
        <is>
          <t>1414/06/11</t>
        </is>
      </c>
    </row>
    <row r="6012">
      <c r="A6012" t="n">
        <v>14140612</v>
      </c>
      <c r="B6012" t="n">
        <v>49555</v>
      </c>
      <c r="C6012" t="inlineStr">
        <is>
          <t>1414/06/12</t>
        </is>
      </c>
    </row>
    <row r="6013">
      <c r="A6013" t="n">
        <v>14140613</v>
      </c>
      <c r="B6013" t="n">
        <v>49556</v>
      </c>
      <c r="C6013" t="inlineStr">
        <is>
          <t>1414/06/13</t>
        </is>
      </c>
    </row>
    <row r="6014">
      <c r="A6014" t="n">
        <v>14140614</v>
      </c>
      <c r="B6014" t="n">
        <v>49557</v>
      </c>
      <c r="C6014" t="inlineStr">
        <is>
          <t>1414/06/14</t>
        </is>
      </c>
    </row>
    <row r="6015">
      <c r="A6015" t="n">
        <v>14140615</v>
      </c>
      <c r="B6015" t="n">
        <v>49558</v>
      </c>
      <c r="C6015" t="inlineStr">
        <is>
          <t>1414/06/15</t>
        </is>
      </c>
    </row>
    <row r="6016">
      <c r="A6016" t="n">
        <v>14140616</v>
      </c>
      <c r="B6016" t="n">
        <v>49559</v>
      </c>
      <c r="C6016" t="inlineStr">
        <is>
          <t>1414/06/16</t>
        </is>
      </c>
    </row>
    <row r="6017">
      <c r="A6017" t="n">
        <v>14140617</v>
      </c>
      <c r="B6017" t="n">
        <v>49560</v>
      </c>
      <c r="C6017" t="inlineStr">
        <is>
          <t>1414/06/17</t>
        </is>
      </c>
    </row>
    <row r="6018">
      <c r="A6018" t="n">
        <v>14140618</v>
      </c>
      <c r="B6018" t="n">
        <v>49561</v>
      </c>
      <c r="C6018" t="inlineStr">
        <is>
          <t>1414/06/18</t>
        </is>
      </c>
    </row>
    <row r="6019">
      <c r="A6019" t="n">
        <v>14140619</v>
      </c>
      <c r="B6019" t="n">
        <v>49562</v>
      </c>
      <c r="C6019" t="inlineStr">
        <is>
          <t>1414/06/19</t>
        </is>
      </c>
    </row>
    <row r="6020">
      <c r="A6020" t="n">
        <v>14140620</v>
      </c>
      <c r="B6020" t="n">
        <v>49563</v>
      </c>
      <c r="C6020" t="inlineStr">
        <is>
          <t>1414/06/20</t>
        </is>
      </c>
    </row>
    <row r="6021">
      <c r="A6021" t="n">
        <v>14140621</v>
      </c>
      <c r="B6021" t="n">
        <v>49564</v>
      </c>
      <c r="C6021" t="inlineStr">
        <is>
          <t>1414/06/21</t>
        </is>
      </c>
    </row>
    <row r="6022">
      <c r="A6022" t="n">
        <v>14140622</v>
      </c>
      <c r="B6022" t="n">
        <v>49565</v>
      </c>
      <c r="C6022" t="inlineStr">
        <is>
          <t>1414/06/22</t>
        </is>
      </c>
    </row>
    <row r="6023">
      <c r="A6023" t="n">
        <v>14140623</v>
      </c>
      <c r="B6023" t="n">
        <v>49566</v>
      </c>
      <c r="C6023" t="inlineStr">
        <is>
          <t>1414/06/23</t>
        </is>
      </c>
    </row>
    <row r="6024">
      <c r="A6024" t="n">
        <v>14140624</v>
      </c>
      <c r="B6024" t="n">
        <v>49567</v>
      </c>
      <c r="C6024" t="inlineStr">
        <is>
          <t>1414/06/24</t>
        </is>
      </c>
    </row>
    <row r="6025">
      <c r="A6025" t="n">
        <v>14140625</v>
      </c>
      <c r="B6025" t="n">
        <v>49568</v>
      </c>
      <c r="C6025" t="inlineStr">
        <is>
          <t>1414/06/25</t>
        </is>
      </c>
    </row>
    <row r="6026">
      <c r="A6026" t="n">
        <v>14140626</v>
      </c>
      <c r="B6026" t="n">
        <v>49569</v>
      </c>
      <c r="C6026" t="inlineStr">
        <is>
          <t>1414/06/26</t>
        </is>
      </c>
    </row>
    <row r="6027">
      <c r="A6027" t="n">
        <v>14140627</v>
      </c>
      <c r="B6027" t="n">
        <v>49570</v>
      </c>
      <c r="C6027" t="inlineStr">
        <is>
          <t>1414/06/27</t>
        </is>
      </c>
    </row>
    <row r="6028">
      <c r="A6028" t="n">
        <v>14140628</v>
      </c>
      <c r="B6028" t="n">
        <v>49571</v>
      </c>
      <c r="C6028" t="inlineStr">
        <is>
          <t>1414/06/28</t>
        </is>
      </c>
    </row>
    <row r="6029">
      <c r="A6029" t="n">
        <v>14140629</v>
      </c>
      <c r="B6029" t="n">
        <v>49572</v>
      </c>
      <c r="C6029" t="inlineStr">
        <is>
          <t>1414/06/29</t>
        </is>
      </c>
    </row>
    <row r="6030">
      <c r="A6030" t="n">
        <v>14140630</v>
      </c>
      <c r="B6030" t="n">
        <v>49573</v>
      </c>
      <c r="C6030" t="inlineStr">
        <is>
          <t>1414/06/30</t>
        </is>
      </c>
    </row>
    <row r="6031">
      <c r="A6031" t="n">
        <v>14140631</v>
      </c>
      <c r="B6031" t="n">
        <v>49574</v>
      </c>
      <c r="C6031" t="inlineStr">
        <is>
          <t>1414/06/31</t>
        </is>
      </c>
    </row>
    <row r="6032">
      <c r="A6032" t="n">
        <v>14140701</v>
      </c>
      <c r="B6032" t="n">
        <v>49575</v>
      </c>
      <c r="C6032" t="inlineStr">
        <is>
          <t>1414/07/01</t>
        </is>
      </c>
    </row>
    <row r="6033">
      <c r="A6033" t="n">
        <v>14140702</v>
      </c>
      <c r="B6033" t="n">
        <v>49576</v>
      </c>
      <c r="C6033" t="inlineStr">
        <is>
          <t>1414/07/02</t>
        </is>
      </c>
    </row>
    <row r="6034">
      <c r="A6034" t="n">
        <v>14140703</v>
      </c>
      <c r="B6034" t="n">
        <v>49577</v>
      </c>
      <c r="C6034" t="inlineStr">
        <is>
          <t>1414/07/03</t>
        </is>
      </c>
    </row>
    <row r="6035">
      <c r="A6035" t="n">
        <v>14140704</v>
      </c>
      <c r="B6035" t="n">
        <v>49578</v>
      </c>
      <c r="C6035" t="inlineStr">
        <is>
          <t>1414/07/04</t>
        </is>
      </c>
    </row>
    <row r="6036">
      <c r="A6036" t="n">
        <v>14140705</v>
      </c>
      <c r="B6036" t="n">
        <v>49579</v>
      </c>
      <c r="C6036" t="inlineStr">
        <is>
          <t>1414/07/05</t>
        </is>
      </c>
    </row>
    <row r="6037">
      <c r="A6037" t="n">
        <v>14140706</v>
      </c>
      <c r="B6037" t="n">
        <v>49580</v>
      </c>
      <c r="C6037" t="inlineStr">
        <is>
          <t>1414/07/06</t>
        </is>
      </c>
    </row>
    <row r="6038">
      <c r="A6038" t="n">
        <v>14140707</v>
      </c>
      <c r="B6038" t="n">
        <v>49581</v>
      </c>
      <c r="C6038" t="inlineStr">
        <is>
          <t>1414/07/07</t>
        </is>
      </c>
    </row>
    <row r="6039">
      <c r="A6039" t="n">
        <v>14140708</v>
      </c>
      <c r="B6039" t="n">
        <v>49582</v>
      </c>
      <c r="C6039" t="inlineStr">
        <is>
          <t>1414/07/08</t>
        </is>
      </c>
    </row>
    <row r="6040">
      <c r="A6040" t="n">
        <v>14140709</v>
      </c>
      <c r="B6040" t="n">
        <v>49583</v>
      </c>
      <c r="C6040" t="inlineStr">
        <is>
          <t>1414/07/09</t>
        </is>
      </c>
    </row>
    <row r="6041">
      <c r="A6041" t="n">
        <v>14140710</v>
      </c>
      <c r="B6041" t="n">
        <v>49584</v>
      </c>
      <c r="C6041" t="inlineStr">
        <is>
          <t>1414/07/10</t>
        </is>
      </c>
    </row>
    <row r="6042">
      <c r="A6042" t="n">
        <v>14140711</v>
      </c>
      <c r="B6042" t="n">
        <v>49585</v>
      </c>
      <c r="C6042" t="inlineStr">
        <is>
          <t>1414/07/11</t>
        </is>
      </c>
    </row>
    <row r="6043">
      <c r="A6043" t="n">
        <v>14140712</v>
      </c>
      <c r="B6043" t="n">
        <v>49586</v>
      </c>
      <c r="C6043" t="inlineStr">
        <is>
          <t>1414/07/12</t>
        </is>
      </c>
    </row>
    <row r="6044">
      <c r="A6044" t="n">
        <v>14140713</v>
      </c>
      <c r="B6044" t="n">
        <v>49587</v>
      </c>
      <c r="C6044" t="inlineStr">
        <is>
          <t>1414/07/13</t>
        </is>
      </c>
    </row>
    <row r="6045">
      <c r="A6045" t="n">
        <v>14140714</v>
      </c>
      <c r="B6045" t="n">
        <v>49588</v>
      </c>
      <c r="C6045" t="inlineStr">
        <is>
          <t>1414/07/14</t>
        </is>
      </c>
    </row>
    <row r="6046">
      <c r="A6046" t="n">
        <v>14140715</v>
      </c>
      <c r="B6046" t="n">
        <v>49589</v>
      </c>
      <c r="C6046" t="inlineStr">
        <is>
          <t>1414/07/15</t>
        </is>
      </c>
    </row>
    <row r="6047">
      <c r="A6047" t="n">
        <v>14140716</v>
      </c>
      <c r="B6047" t="n">
        <v>49590</v>
      </c>
      <c r="C6047" t="inlineStr">
        <is>
          <t>1414/07/16</t>
        </is>
      </c>
    </row>
    <row r="6048">
      <c r="A6048" t="n">
        <v>14140717</v>
      </c>
      <c r="B6048" t="n">
        <v>49591</v>
      </c>
      <c r="C6048" t="inlineStr">
        <is>
          <t>1414/07/17</t>
        </is>
      </c>
    </row>
    <row r="6049">
      <c r="A6049" t="n">
        <v>14140718</v>
      </c>
      <c r="B6049" t="n">
        <v>49592</v>
      </c>
      <c r="C6049" t="inlineStr">
        <is>
          <t>1414/07/18</t>
        </is>
      </c>
    </row>
    <row r="6050">
      <c r="A6050" t="n">
        <v>14140719</v>
      </c>
      <c r="B6050" t="n">
        <v>49593</v>
      </c>
      <c r="C6050" t="inlineStr">
        <is>
          <t>1414/07/19</t>
        </is>
      </c>
    </row>
    <row r="6051">
      <c r="A6051" t="n">
        <v>14140720</v>
      </c>
      <c r="B6051" t="n">
        <v>49594</v>
      </c>
      <c r="C6051" t="inlineStr">
        <is>
          <t>1414/07/20</t>
        </is>
      </c>
    </row>
    <row r="6052">
      <c r="A6052" t="n">
        <v>14140721</v>
      </c>
      <c r="B6052" t="n">
        <v>49595</v>
      </c>
      <c r="C6052" t="inlineStr">
        <is>
          <t>1414/07/21</t>
        </is>
      </c>
    </row>
    <row r="6053">
      <c r="A6053" t="n">
        <v>14140722</v>
      </c>
      <c r="B6053" t="n">
        <v>49596</v>
      </c>
      <c r="C6053" t="inlineStr">
        <is>
          <t>1414/07/22</t>
        </is>
      </c>
    </row>
    <row r="6054">
      <c r="A6054" t="n">
        <v>14140723</v>
      </c>
      <c r="B6054" t="n">
        <v>49597</v>
      </c>
      <c r="C6054" t="inlineStr">
        <is>
          <t>1414/07/23</t>
        </is>
      </c>
    </row>
    <row r="6055">
      <c r="A6055" t="n">
        <v>14140724</v>
      </c>
      <c r="B6055" t="n">
        <v>49598</v>
      </c>
      <c r="C6055" t="inlineStr">
        <is>
          <t>1414/07/24</t>
        </is>
      </c>
    </row>
    <row r="6056">
      <c r="A6056" t="n">
        <v>14140725</v>
      </c>
      <c r="B6056" t="n">
        <v>49599</v>
      </c>
      <c r="C6056" t="inlineStr">
        <is>
          <t>1414/07/25</t>
        </is>
      </c>
    </row>
    <row r="6057">
      <c r="A6057" t="n">
        <v>14140726</v>
      </c>
      <c r="B6057" t="n">
        <v>49600</v>
      </c>
      <c r="C6057" t="inlineStr">
        <is>
          <t>1414/07/26</t>
        </is>
      </c>
    </row>
    <row r="6058">
      <c r="A6058" t="n">
        <v>14140727</v>
      </c>
      <c r="B6058" t="n">
        <v>49601</v>
      </c>
      <c r="C6058" t="inlineStr">
        <is>
          <t>1414/07/27</t>
        </is>
      </c>
    </row>
    <row r="6059">
      <c r="A6059" t="n">
        <v>14140728</v>
      </c>
      <c r="B6059" t="n">
        <v>49602</v>
      </c>
      <c r="C6059" t="inlineStr">
        <is>
          <t>1414/07/28</t>
        </is>
      </c>
    </row>
    <row r="6060">
      <c r="A6060" t="n">
        <v>14140729</v>
      </c>
      <c r="B6060" t="n">
        <v>49603</v>
      </c>
      <c r="C6060" t="inlineStr">
        <is>
          <t>1414/07/29</t>
        </is>
      </c>
    </row>
    <row r="6061">
      <c r="A6061" t="n">
        <v>14140730</v>
      </c>
      <c r="B6061" t="n">
        <v>49604</v>
      </c>
      <c r="C6061" t="inlineStr">
        <is>
          <t>1414/07/30</t>
        </is>
      </c>
    </row>
    <row r="6062">
      <c r="A6062" t="n">
        <v>14140801</v>
      </c>
      <c r="B6062" t="n">
        <v>49605</v>
      </c>
      <c r="C6062" t="inlineStr">
        <is>
          <t>1414/08/01</t>
        </is>
      </c>
    </row>
    <row r="6063">
      <c r="A6063" t="n">
        <v>14140802</v>
      </c>
      <c r="B6063" t="n">
        <v>49606</v>
      </c>
      <c r="C6063" t="inlineStr">
        <is>
          <t>1414/08/02</t>
        </is>
      </c>
    </row>
    <row r="6064">
      <c r="A6064" t="n">
        <v>14140803</v>
      </c>
      <c r="B6064" t="n">
        <v>49607</v>
      </c>
      <c r="C6064" t="inlineStr">
        <is>
          <t>1414/08/03</t>
        </is>
      </c>
    </row>
    <row r="6065">
      <c r="A6065" t="n">
        <v>14140804</v>
      </c>
      <c r="B6065" t="n">
        <v>49608</v>
      </c>
      <c r="C6065" t="inlineStr">
        <is>
          <t>1414/08/04</t>
        </is>
      </c>
    </row>
    <row r="6066">
      <c r="A6066" t="n">
        <v>14140805</v>
      </c>
      <c r="B6066" t="n">
        <v>49609</v>
      </c>
      <c r="C6066" t="inlineStr">
        <is>
          <t>1414/08/05</t>
        </is>
      </c>
    </row>
    <row r="6067">
      <c r="A6067" t="n">
        <v>14140806</v>
      </c>
      <c r="B6067" t="n">
        <v>49610</v>
      </c>
      <c r="C6067" t="inlineStr">
        <is>
          <t>1414/08/06</t>
        </is>
      </c>
    </row>
    <row r="6068">
      <c r="A6068" t="n">
        <v>14140807</v>
      </c>
      <c r="B6068" t="n">
        <v>49611</v>
      </c>
      <c r="C6068" t="inlineStr">
        <is>
          <t>1414/08/07</t>
        </is>
      </c>
    </row>
    <row r="6069">
      <c r="A6069" t="n">
        <v>14140808</v>
      </c>
      <c r="B6069" t="n">
        <v>49612</v>
      </c>
      <c r="C6069" t="inlineStr">
        <is>
          <t>1414/08/08</t>
        </is>
      </c>
    </row>
    <row r="6070">
      <c r="A6070" t="n">
        <v>14140809</v>
      </c>
      <c r="B6070" t="n">
        <v>49613</v>
      </c>
      <c r="C6070" t="inlineStr">
        <is>
          <t>1414/08/09</t>
        </is>
      </c>
    </row>
    <row r="6071">
      <c r="A6071" t="n">
        <v>14140810</v>
      </c>
      <c r="B6071" t="n">
        <v>49614</v>
      </c>
      <c r="C6071" t="inlineStr">
        <is>
          <t>1414/08/10</t>
        </is>
      </c>
    </row>
    <row r="6072">
      <c r="A6072" t="n">
        <v>14140811</v>
      </c>
      <c r="B6072" t="n">
        <v>49615</v>
      </c>
      <c r="C6072" t="inlineStr">
        <is>
          <t>1414/08/11</t>
        </is>
      </c>
    </row>
    <row r="6073">
      <c r="A6073" t="n">
        <v>14140812</v>
      </c>
      <c r="B6073" t="n">
        <v>49616</v>
      </c>
      <c r="C6073" t="inlineStr">
        <is>
          <t>1414/08/12</t>
        </is>
      </c>
    </row>
    <row r="6074">
      <c r="A6074" t="n">
        <v>14140813</v>
      </c>
      <c r="B6074" t="n">
        <v>49617</v>
      </c>
      <c r="C6074" t="inlineStr">
        <is>
          <t>1414/08/13</t>
        </is>
      </c>
    </row>
    <row r="6075">
      <c r="A6075" t="n">
        <v>14140814</v>
      </c>
      <c r="B6075" t="n">
        <v>49618</v>
      </c>
      <c r="C6075" t="inlineStr">
        <is>
          <t>1414/08/14</t>
        </is>
      </c>
    </row>
    <row r="6076">
      <c r="A6076" t="n">
        <v>14140815</v>
      </c>
      <c r="B6076" t="n">
        <v>49619</v>
      </c>
      <c r="C6076" t="inlineStr">
        <is>
          <t>1414/08/15</t>
        </is>
      </c>
    </row>
    <row r="6077">
      <c r="A6077" t="n">
        <v>14140816</v>
      </c>
      <c r="B6077" t="n">
        <v>49620</v>
      </c>
      <c r="C6077" t="inlineStr">
        <is>
          <t>1414/08/16</t>
        </is>
      </c>
    </row>
    <row r="6078">
      <c r="A6078" t="n">
        <v>14140817</v>
      </c>
      <c r="B6078" t="n">
        <v>49621</v>
      </c>
      <c r="C6078" t="inlineStr">
        <is>
          <t>1414/08/17</t>
        </is>
      </c>
    </row>
    <row r="6079">
      <c r="A6079" t="n">
        <v>14140818</v>
      </c>
      <c r="B6079" t="n">
        <v>49622</v>
      </c>
      <c r="C6079" t="inlineStr">
        <is>
          <t>1414/08/18</t>
        </is>
      </c>
    </row>
    <row r="6080">
      <c r="A6080" t="n">
        <v>14140819</v>
      </c>
      <c r="B6080" t="n">
        <v>49623</v>
      </c>
      <c r="C6080" t="inlineStr">
        <is>
          <t>1414/08/19</t>
        </is>
      </c>
    </row>
    <row r="6081">
      <c r="A6081" t="n">
        <v>14140820</v>
      </c>
      <c r="B6081" t="n">
        <v>49624</v>
      </c>
      <c r="C6081" t="inlineStr">
        <is>
          <t>1414/08/20</t>
        </is>
      </c>
    </row>
    <row r="6082">
      <c r="A6082" t="n">
        <v>14140821</v>
      </c>
      <c r="B6082" t="n">
        <v>49625</v>
      </c>
      <c r="C6082" t="inlineStr">
        <is>
          <t>1414/08/21</t>
        </is>
      </c>
    </row>
    <row r="6083">
      <c r="A6083" t="n">
        <v>14140822</v>
      </c>
      <c r="B6083" t="n">
        <v>49626</v>
      </c>
      <c r="C6083" t="inlineStr">
        <is>
          <t>1414/08/22</t>
        </is>
      </c>
    </row>
    <row r="6084">
      <c r="A6084" t="n">
        <v>14140823</v>
      </c>
      <c r="B6084" t="n">
        <v>49627</v>
      </c>
      <c r="C6084" t="inlineStr">
        <is>
          <t>1414/08/23</t>
        </is>
      </c>
    </row>
    <row r="6085">
      <c r="A6085" t="n">
        <v>14140824</v>
      </c>
      <c r="B6085" t="n">
        <v>49628</v>
      </c>
      <c r="C6085" t="inlineStr">
        <is>
          <t>1414/08/24</t>
        </is>
      </c>
    </row>
    <row r="6086">
      <c r="A6086" t="n">
        <v>14140825</v>
      </c>
      <c r="B6086" t="n">
        <v>49629</v>
      </c>
      <c r="C6086" t="inlineStr">
        <is>
          <t>1414/08/25</t>
        </is>
      </c>
    </row>
    <row r="6087">
      <c r="A6087" t="n">
        <v>14140826</v>
      </c>
      <c r="B6087" t="n">
        <v>49630</v>
      </c>
      <c r="C6087" t="inlineStr">
        <is>
          <t>1414/08/26</t>
        </is>
      </c>
    </row>
    <row r="6088">
      <c r="A6088" t="n">
        <v>14140827</v>
      </c>
      <c r="B6088" t="n">
        <v>49631</v>
      </c>
      <c r="C6088" t="inlineStr">
        <is>
          <t>1414/08/27</t>
        </is>
      </c>
    </row>
    <row r="6089">
      <c r="A6089" t="n">
        <v>14140828</v>
      </c>
      <c r="B6089" t="n">
        <v>49632</v>
      </c>
      <c r="C6089" t="inlineStr">
        <is>
          <t>1414/08/28</t>
        </is>
      </c>
    </row>
    <row r="6090">
      <c r="A6090" t="n">
        <v>14140829</v>
      </c>
      <c r="B6090" t="n">
        <v>49633</v>
      </c>
      <c r="C6090" t="inlineStr">
        <is>
          <t>1414/08/29</t>
        </is>
      </c>
    </row>
    <row r="6091">
      <c r="A6091" t="n">
        <v>14140830</v>
      </c>
      <c r="B6091" t="n">
        <v>49634</v>
      </c>
      <c r="C6091" t="inlineStr">
        <is>
          <t>1414/08/30</t>
        </is>
      </c>
    </row>
    <row r="6092">
      <c r="A6092" t="n">
        <v>14140901</v>
      </c>
      <c r="B6092" t="n">
        <v>49635</v>
      </c>
      <c r="C6092" t="inlineStr">
        <is>
          <t>1414/09/01</t>
        </is>
      </c>
    </row>
    <row r="6093">
      <c r="A6093" t="n">
        <v>14140902</v>
      </c>
      <c r="B6093" t="n">
        <v>49636</v>
      </c>
      <c r="C6093" t="inlineStr">
        <is>
          <t>1414/09/02</t>
        </is>
      </c>
    </row>
    <row r="6094">
      <c r="A6094" t="n">
        <v>14140903</v>
      </c>
      <c r="B6094" t="n">
        <v>49637</v>
      </c>
      <c r="C6094" t="inlineStr">
        <is>
          <t>1414/09/03</t>
        </is>
      </c>
    </row>
    <row r="6095">
      <c r="A6095" t="n">
        <v>14140904</v>
      </c>
      <c r="B6095" t="n">
        <v>49638</v>
      </c>
      <c r="C6095" t="inlineStr">
        <is>
          <t>1414/09/04</t>
        </is>
      </c>
    </row>
    <row r="6096">
      <c r="A6096" t="n">
        <v>14140905</v>
      </c>
      <c r="B6096" t="n">
        <v>49639</v>
      </c>
      <c r="C6096" t="inlineStr">
        <is>
          <t>1414/09/05</t>
        </is>
      </c>
    </row>
    <row r="6097">
      <c r="A6097" t="n">
        <v>14140906</v>
      </c>
      <c r="B6097" t="n">
        <v>49640</v>
      </c>
      <c r="C6097" t="inlineStr">
        <is>
          <t>1414/09/06</t>
        </is>
      </c>
    </row>
    <row r="6098">
      <c r="A6098" t="n">
        <v>14140907</v>
      </c>
      <c r="B6098" t="n">
        <v>49641</v>
      </c>
      <c r="C6098" t="inlineStr">
        <is>
          <t>1414/09/07</t>
        </is>
      </c>
    </row>
    <row r="6099">
      <c r="A6099" t="n">
        <v>14140908</v>
      </c>
      <c r="B6099" t="n">
        <v>49642</v>
      </c>
      <c r="C6099" t="inlineStr">
        <is>
          <t>1414/09/08</t>
        </is>
      </c>
    </row>
    <row r="6100">
      <c r="A6100" t="n">
        <v>14140909</v>
      </c>
      <c r="B6100" t="n">
        <v>49643</v>
      </c>
      <c r="C6100" t="inlineStr">
        <is>
          <t>1414/09/09</t>
        </is>
      </c>
    </row>
    <row r="6101">
      <c r="A6101" t="n">
        <v>14140910</v>
      </c>
      <c r="B6101" t="n">
        <v>49644</v>
      </c>
      <c r="C6101" t="inlineStr">
        <is>
          <t>1414/09/10</t>
        </is>
      </c>
    </row>
    <row r="6102">
      <c r="A6102" t="n">
        <v>14140911</v>
      </c>
      <c r="B6102" t="n">
        <v>49645</v>
      </c>
      <c r="C6102" t="inlineStr">
        <is>
          <t>1414/09/11</t>
        </is>
      </c>
    </row>
    <row r="6103">
      <c r="A6103" t="n">
        <v>14140912</v>
      </c>
      <c r="B6103" t="n">
        <v>49646</v>
      </c>
      <c r="C6103" t="inlineStr">
        <is>
          <t>1414/09/12</t>
        </is>
      </c>
    </row>
    <row r="6104">
      <c r="A6104" t="n">
        <v>14140913</v>
      </c>
      <c r="B6104" t="n">
        <v>49647</v>
      </c>
      <c r="C6104" t="inlineStr">
        <is>
          <t>1414/09/13</t>
        </is>
      </c>
    </row>
    <row r="6105">
      <c r="A6105" t="n">
        <v>14140914</v>
      </c>
      <c r="B6105" t="n">
        <v>49648</v>
      </c>
      <c r="C6105" t="inlineStr">
        <is>
          <t>1414/09/14</t>
        </is>
      </c>
    </row>
    <row r="6106">
      <c r="A6106" t="n">
        <v>14140915</v>
      </c>
      <c r="B6106" t="n">
        <v>49649</v>
      </c>
      <c r="C6106" t="inlineStr">
        <is>
          <t>1414/09/15</t>
        </is>
      </c>
    </row>
    <row r="6107">
      <c r="A6107" t="n">
        <v>14140916</v>
      </c>
      <c r="B6107" t="n">
        <v>49650</v>
      </c>
      <c r="C6107" t="inlineStr">
        <is>
          <t>1414/09/16</t>
        </is>
      </c>
    </row>
    <row r="6108">
      <c r="A6108" t="n">
        <v>14140917</v>
      </c>
      <c r="B6108" t="n">
        <v>49651</v>
      </c>
      <c r="C6108" t="inlineStr">
        <is>
          <t>1414/09/17</t>
        </is>
      </c>
    </row>
    <row r="6109">
      <c r="A6109" t="n">
        <v>14140918</v>
      </c>
      <c r="B6109" t="n">
        <v>49652</v>
      </c>
      <c r="C6109" t="inlineStr">
        <is>
          <t>1414/09/18</t>
        </is>
      </c>
    </row>
    <row r="6110">
      <c r="A6110" t="n">
        <v>14140919</v>
      </c>
      <c r="B6110" t="n">
        <v>49653</v>
      </c>
      <c r="C6110" t="inlineStr">
        <is>
          <t>1414/09/19</t>
        </is>
      </c>
    </row>
    <row r="6111">
      <c r="A6111" t="n">
        <v>14140920</v>
      </c>
      <c r="B6111" t="n">
        <v>49654</v>
      </c>
      <c r="C6111" t="inlineStr">
        <is>
          <t>1414/09/20</t>
        </is>
      </c>
    </row>
    <row r="6112">
      <c r="A6112" t="n">
        <v>14140921</v>
      </c>
      <c r="B6112" t="n">
        <v>49655</v>
      </c>
      <c r="C6112" t="inlineStr">
        <is>
          <t>1414/09/21</t>
        </is>
      </c>
    </row>
    <row r="6113">
      <c r="A6113" t="n">
        <v>14140922</v>
      </c>
      <c r="B6113" t="n">
        <v>49656</v>
      </c>
      <c r="C6113" t="inlineStr">
        <is>
          <t>1414/09/22</t>
        </is>
      </c>
    </row>
    <row r="6114">
      <c r="A6114" t="n">
        <v>14140923</v>
      </c>
      <c r="B6114" t="n">
        <v>49657</v>
      </c>
      <c r="C6114" t="inlineStr">
        <is>
          <t>1414/09/23</t>
        </is>
      </c>
    </row>
    <row r="6115">
      <c r="A6115" t="n">
        <v>14140924</v>
      </c>
      <c r="B6115" t="n">
        <v>49658</v>
      </c>
      <c r="C6115" t="inlineStr">
        <is>
          <t>1414/09/24</t>
        </is>
      </c>
    </row>
    <row r="6116">
      <c r="A6116" t="n">
        <v>14140925</v>
      </c>
      <c r="B6116" t="n">
        <v>49659</v>
      </c>
      <c r="C6116" t="inlineStr">
        <is>
          <t>1414/09/25</t>
        </is>
      </c>
    </row>
    <row r="6117">
      <c r="A6117" t="n">
        <v>14140926</v>
      </c>
      <c r="B6117" t="n">
        <v>49660</v>
      </c>
      <c r="C6117" t="inlineStr">
        <is>
          <t>1414/09/26</t>
        </is>
      </c>
    </row>
    <row r="6118">
      <c r="A6118" t="n">
        <v>14140927</v>
      </c>
      <c r="B6118" t="n">
        <v>49661</v>
      </c>
      <c r="C6118" t="inlineStr">
        <is>
          <t>1414/09/27</t>
        </is>
      </c>
    </row>
    <row r="6119">
      <c r="A6119" t="n">
        <v>14140928</v>
      </c>
      <c r="B6119" t="n">
        <v>49662</v>
      </c>
      <c r="C6119" t="inlineStr">
        <is>
          <t>1414/09/28</t>
        </is>
      </c>
    </row>
    <row r="6120">
      <c r="A6120" t="n">
        <v>14140929</v>
      </c>
      <c r="B6120" t="n">
        <v>49663</v>
      </c>
      <c r="C6120" t="inlineStr">
        <is>
          <t>1414/09/29</t>
        </is>
      </c>
    </row>
    <row r="6121">
      <c r="A6121" t="n">
        <v>14140930</v>
      </c>
      <c r="B6121" t="n">
        <v>49664</v>
      </c>
      <c r="C6121" t="inlineStr">
        <is>
          <t>1414/09/30</t>
        </is>
      </c>
    </row>
    <row r="6122">
      <c r="A6122" t="n">
        <v>14141001</v>
      </c>
      <c r="B6122" t="n">
        <v>49665</v>
      </c>
      <c r="C6122" t="inlineStr">
        <is>
          <t>1414/10/01</t>
        </is>
      </c>
    </row>
    <row r="6123">
      <c r="A6123" t="n">
        <v>14141002</v>
      </c>
      <c r="B6123" t="n">
        <v>49666</v>
      </c>
      <c r="C6123" t="inlineStr">
        <is>
          <t>1414/10/02</t>
        </is>
      </c>
    </row>
    <row r="6124">
      <c r="A6124" t="n">
        <v>14141003</v>
      </c>
      <c r="B6124" t="n">
        <v>49667</v>
      </c>
      <c r="C6124" t="inlineStr">
        <is>
          <t>1414/10/03</t>
        </is>
      </c>
    </row>
    <row r="6125">
      <c r="A6125" t="n">
        <v>14141004</v>
      </c>
      <c r="B6125" t="n">
        <v>49668</v>
      </c>
      <c r="C6125" t="inlineStr">
        <is>
          <t>1414/10/04</t>
        </is>
      </c>
    </row>
    <row r="6126">
      <c r="A6126" t="n">
        <v>14141005</v>
      </c>
      <c r="B6126" t="n">
        <v>49669</v>
      </c>
      <c r="C6126" t="inlineStr">
        <is>
          <t>1414/10/05</t>
        </is>
      </c>
    </row>
    <row r="6127">
      <c r="A6127" t="n">
        <v>14141006</v>
      </c>
      <c r="B6127" t="n">
        <v>49670</v>
      </c>
      <c r="C6127" t="inlineStr">
        <is>
          <t>1414/10/06</t>
        </is>
      </c>
    </row>
    <row r="6128">
      <c r="A6128" t="n">
        <v>14141007</v>
      </c>
      <c r="B6128" t="n">
        <v>49671</v>
      </c>
      <c r="C6128" t="inlineStr">
        <is>
          <t>1414/10/07</t>
        </is>
      </c>
    </row>
    <row r="6129">
      <c r="A6129" t="n">
        <v>14141008</v>
      </c>
      <c r="B6129" t="n">
        <v>49672</v>
      </c>
      <c r="C6129" t="inlineStr">
        <is>
          <t>1414/10/08</t>
        </is>
      </c>
    </row>
    <row r="6130">
      <c r="A6130" t="n">
        <v>14141009</v>
      </c>
      <c r="B6130" t="n">
        <v>49673</v>
      </c>
      <c r="C6130" t="inlineStr">
        <is>
          <t>1414/10/09</t>
        </is>
      </c>
    </row>
    <row r="6131">
      <c r="A6131" t="n">
        <v>14141010</v>
      </c>
      <c r="B6131" t="n">
        <v>49674</v>
      </c>
      <c r="C6131" t="inlineStr">
        <is>
          <t>1414/10/10</t>
        </is>
      </c>
    </row>
    <row r="6132">
      <c r="A6132" t="n">
        <v>14141011</v>
      </c>
      <c r="B6132" t="n">
        <v>49675</v>
      </c>
      <c r="C6132" t="inlineStr">
        <is>
          <t>1414/10/11</t>
        </is>
      </c>
    </row>
    <row r="6133">
      <c r="A6133" t="n">
        <v>14141012</v>
      </c>
      <c r="B6133" t="n">
        <v>49676</v>
      </c>
      <c r="C6133" t="inlineStr">
        <is>
          <t>1414/10/12</t>
        </is>
      </c>
    </row>
    <row r="6134">
      <c r="A6134" t="n">
        <v>14141013</v>
      </c>
      <c r="B6134" t="n">
        <v>49677</v>
      </c>
      <c r="C6134" t="inlineStr">
        <is>
          <t>1414/10/13</t>
        </is>
      </c>
    </row>
    <row r="6135">
      <c r="A6135" t="n">
        <v>14141014</v>
      </c>
      <c r="B6135" t="n">
        <v>49678</v>
      </c>
      <c r="C6135" t="inlineStr">
        <is>
          <t>1414/10/14</t>
        </is>
      </c>
    </row>
    <row r="6136">
      <c r="A6136" t="n">
        <v>14141015</v>
      </c>
      <c r="B6136" t="n">
        <v>49679</v>
      </c>
      <c r="C6136" t="inlineStr">
        <is>
          <t>1414/10/15</t>
        </is>
      </c>
    </row>
    <row r="6137">
      <c r="A6137" t="n">
        <v>14141016</v>
      </c>
      <c r="B6137" t="n">
        <v>49680</v>
      </c>
      <c r="C6137" t="inlineStr">
        <is>
          <t>1414/10/16</t>
        </is>
      </c>
    </row>
    <row r="6138">
      <c r="A6138" t="n">
        <v>14141017</v>
      </c>
      <c r="B6138" t="n">
        <v>49681</v>
      </c>
      <c r="C6138" t="inlineStr">
        <is>
          <t>1414/10/17</t>
        </is>
      </c>
    </row>
    <row r="6139">
      <c r="A6139" t="n">
        <v>14141018</v>
      </c>
      <c r="B6139" t="n">
        <v>49682</v>
      </c>
      <c r="C6139" t="inlineStr">
        <is>
          <t>1414/10/18</t>
        </is>
      </c>
    </row>
    <row r="6140">
      <c r="A6140" t="n">
        <v>14141019</v>
      </c>
      <c r="B6140" t="n">
        <v>49683</v>
      </c>
      <c r="C6140" t="inlineStr">
        <is>
          <t>1414/10/19</t>
        </is>
      </c>
    </row>
    <row r="6141">
      <c r="A6141" t="n">
        <v>14141020</v>
      </c>
      <c r="B6141" t="n">
        <v>49684</v>
      </c>
      <c r="C6141" t="inlineStr">
        <is>
          <t>1414/10/20</t>
        </is>
      </c>
    </row>
    <row r="6142">
      <c r="A6142" t="n">
        <v>14141021</v>
      </c>
      <c r="B6142" t="n">
        <v>49685</v>
      </c>
      <c r="C6142" t="inlineStr">
        <is>
          <t>1414/10/21</t>
        </is>
      </c>
    </row>
    <row r="6143">
      <c r="A6143" t="n">
        <v>14141022</v>
      </c>
      <c r="B6143" t="n">
        <v>49686</v>
      </c>
      <c r="C6143" t="inlineStr">
        <is>
          <t>1414/10/22</t>
        </is>
      </c>
    </row>
    <row r="6144">
      <c r="A6144" t="n">
        <v>14141023</v>
      </c>
      <c r="B6144" t="n">
        <v>49687</v>
      </c>
      <c r="C6144" t="inlineStr">
        <is>
          <t>1414/10/23</t>
        </is>
      </c>
    </row>
    <row r="6145">
      <c r="A6145" t="n">
        <v>14141024</v>
      </c>
      <c r="B6145" t="n">
        <v>49688</v>
      </c>
      <c r="C6145" t="inlineStr">
        <is>
          <t>1414/10/24</t>
        </is>
      </c>
    </row>
    <row r="6146">
      <c r="A6146" t="n">
        <v>14141025</v>
      </c>
      <c r="B6146" t="n">
        <v>49689</v>
      </c>
      <c r="C6146" t="inlineStr">
        <is>
          <t>1414/10/25</t>
        </is>
      </c>
    </row>
    <row r="6147">
      <c r="A6147" t="n">
        <v>14141026</v>
      </c>
      <c r="B6147" t="n">
        <v>49690</v>
      </c>
      <c r="C6147" t="inlineStr">
        <is>
          <t>1414/10/26</t>
        </is>
      </c>
    </row>
    <row r="6148">
      <c r="A6148" t="n">
        <v>14141027</v>
      </c>
      <c r="B6148" t="n">
        <v>49691</v>
      </c>
      <c r="C6148" t="inlineStr">
        <is>
          <t>1414/10/27</t>
        </is>
      </c>
    </row>
    <row r="6149">
      <c r="A6149" t="n">
        <v>14141028</v>
      </c>
      <c r="B6149" t="n">
        <v>49692</v>
      </c>
      <c r="C6149" t="inlineStr">
        <is>
          <t>1414/10/28</t>
        </is>
      </c>
    </row>
    <row r="6150">
      <c r="A6150" t="n">
        <v>14141029</v>
      </c>
      <c r="B6150" t="n">
        <v>49693</v>
      </c>
      <c r="C6150" t="inlineStr">
        <is>
          <t>1414/10/29</t>
        </is>
      </c>
    </row>
    <row r="6151">
      <c r="A6151" t="n">
        <v>14141030</v>
      </c>
      <c r="B6151" t="n">
        <v>49694</v>
      </c>
      <c r="C6151" t="inlineStr">
        <is>
          <t>1414/10/30</t>
        </is>
      </c>
    </row>
    <row r="6152">
      <c r="A6152" t="n">
        <v>14141101</v>
      </c>
      <c r="B6152" t="n">
        <v>49695</v>
      </c>
      <c r="C6152" t="inlineStr">
        <is>
          <t>1414/11/01</t>
        </is>
      </c>
    </row>
    <row r="6153">
      <c r="A6153" t="n">
        <v>14141102</v>
      </c>
      <c r="B6153" t="n">
        <v>49696</v>
      </c>
      <c r="C6153" t="inlineStr">
        <is>
          <t>1414/11/02</t>
        </is>
      </c>
    </row>
    <row r="6154">
      <c r="A6154" t="n">
        <v>14141103</v>
      </c>
      <c r="B6154" t="n">
        <v>49697</v>
      </c>
      <c r="C6154" t="inlineStr">
        <is>
          <t>1414/11/03</t>
        </is>
      </c>
    </row>
    <row r="6155">
      <c r="A6155" t="n">
        <v>14141104</v>
      </c>
      <c r="B6155" t="n">
        <v>49698</v>
      </c>
      <c r="C6155" t="inlineStr">
        <is>
          <t>1414/11/04</t>
        </is>
      </c>
    </row>
    <row r="6156">
      <c r="A6156" t="n">
        <v>14141105</v>
      </c>
      <c r="B6156" t="n">
        <v>49699</v>
      </c>
      <c r="C6156" t="inlineStr">
        <is>
          <t>1414/11/05</t>
        </is>
      </c>
    </row>
    <row r="6157">
      <c r="A6157" t="n">
        <v>14141106</v>
      </c>
      <c r="B6157" t="n">
        <v>49700</v>
      </c>
      <c r="C6157" t="inlineStr">
        <is>
          <t>1414/11/06</t>
        </is>
      </c>
    </row>
    <row r="6158">
      <c r="A6158" t="n">
        <v>14141107</v>
      </c>
      <c r="B6158" t="n">
        <v>49701</v>
      </c>
      <c r="C6158" t="inlineStr">
        <is>
          <t>1414/11/07</t>
        </is>
      </c>
    </row>
    <row r="6159">
      <c r="A6159" t="n">
        <v>14141108</v>
      </c>
      <c r="B6159" t="n">
        <v>49702</v>
      </c>
      <c r="C6159" t="inlineStr">
        <is>
          <t>1414/11/08</t>
        </is>
      </c>
    </row>
    <row r="6160">
      <c r="A6160" t="n">
        <v>14141109</v>
      </c>
      <c r="B6160" t="n">
        <v>49703</v>
      </c>
      <c r="C6160" t="inlineStr">
        <is>
          <t>1414/11/09</t>
        </is>
      </c>
    </row>
    <row r="6161">
      <c r="A6161" t="n">
        <v>14141110</v>
      </c>
      <c r="B6161" t="n">
        <v>49704</v>
      </c>
      <c r="C6161" t="inlineStr">
        <is>
          <t>1414/11/10</t>
        </is>
      </c>
    </row>
    <row r="6162">
      <c r="A6162" t="n">
        <v>14141111</v>
      </c>
      <c r="B6162" t="n">
        <v>49705</v>
      </c>
      <c r="C6162" t="inlineStr">
        <is>
          <t>1414/11/11</t>
        </is>
      </c>
    </row>
    <row r="6163">
      <c r="A6163" t="n">
        <v>14141112</v>
      </c>
      <c r="B6163" t="n">
        <v>49706</v>
      </c>
      <c r="C6163" t="inlineStr">
        <is>
          <t>1414/11/12</t>
        </is>
      </c>
    </row>
    <row r="6164">
      <c r="A6164" t="n">
        <v>14141113</v>
      </c>
      <c r="B6164" t="n">
        <v>49707</v>
      </c>
      <c r="C6164" t="inlineStr">
        <is>
          <t>1414/11/13</t>
        </is>
      </c>
    </row>
    <row r="6165">
      <c r="A6165" t="n">
        <v>14141114</v>
      </c>
      <c r="B6165" t="n">
        <v>49708</v>
      </c>
      <c r="C6165" t="inlineStr">
        <is>
          <t>1414/11/14</t>
        </is>
      </c>
    </row>
    <row r="6166">
      <c r="A6166" t="n">
        <v>14141115</v>
      </c>
      <c r="B6166" t="n">
        <v>49709</v>
      </c>
      <c r="C6166" t="inlineStr">
        <is>
          <t>1414/11/15</t>
        </is>
      </c>
    </row>
    <row r="6167">
      <c r="A6167" t="n">
        <v>14141116</v>
      </c>
      <c r="B6167" t="n">
        <v>49710</v>
      </c>
      <c r="C6167" t="inlineStr">
        <is>
          <t>1414/11/16</t>
        </is>
      </c>
    </row>
    <row r="6168">
      <c r="A6168" t="n">
        <v>14141117</v>
      </c>
      <c r="B6168" t="n">
        <v>49711</v>
      </c>
      <c r="C6168" t="inlineStr">
        <is>
          <t>1414/11/17</t>
        </is>
      </c>
    </row>
    <row r="6169">
      <c r="A6169" t="n">
        <v>14141118</v>
      </c>
      <c r="B6169" t="n">
        <v>49712</v>
      </c>
      <c r="C6169" t="inlineStr">
        <is>
          <t>1414/11/18</t>
        </is>
      </c>
    </row>
    <row r="6170">
      <c r="A6170" t="n">
        <v>14141119</v>
      </c>
      <c r="B6170" t="n">
        <v>49713</v>
      </c>
      <c r="C6170" t="inlineStr">
        <is>
          <t>1414/11/19</t>
        </is>
      </c>
    </row>
    <row r="6171">
      <c r="A6171" t="n">
        <v>14141120</v>
      </c>
      <c r="B6171" t="n">
        <v>49714</v>
      </c>
      <c r="C6171" t="inlineStr">
        <is>
          <t>1414/11/20</t>
        </is>
      </c>
    </row>
    <row r="6172">
      <c r="A6172" t="n">
        <v>14141121</v>
      </c>
      <c r="B6172" t="n">
        <v>49715</v>
      </c>
      <c r="C6172" t="inlineStr">
        <is>
          <t>1414/11/21</t>
        </is>
      </c>
    </row>
    <row r="6173">
      <c r="A6173" t="n">
        <v>14141122</v>
      </c>
      <c r="B6173" t="n">
        <v>49716</v>
      </c>
      <c r="C6173" t="inlineStr">
        <is>
          <t>1414/11/22</t>
        </is>
      </c>
    </row>
    <row r="6174">
      <c r="A6174" t="n">
        <v>14141123</v>
      </c>
      <c r="B6174" t="n">
        <v>49717</v>
      </c>
      <c r="C6174" t="inlineStr">
        <is>
          <t>1414/11/23</t>
        </is>
      </c>
    </row>
    <row r="6175">
      <c r="A6175" t="n">
        <v>14141124</v>
      </c>
      <c r="B6175" t="n">
        <v>49718</v>
      </c>
      <c r="C6175" t="inlineStr">
        <is>
          <t>1414/11/24</t>
        </is>
      </c>
    </row>
    <row r="6176">
      <c r="A6176" t="n">
        <v>14141125</v>
      </c>
      <c r="B6176" t="n">
        <v>49719</v>
      </c>
      <c r="C6176" t="inlineStr">
        <is>
          <t>1414/11/25</t>
        </is>
      </c>
    </row>
    <row r="6177">
      <c r="A6177" t="n">
        <v>14141126</v>
      </c>
      <c r="B6177" t="n">
        <v>49720</v>
      </c>
      <c r="C6177" t="inlineStr">
        <is>
          <t>1414/11/26</t>
        </is>
      </c>
    </row>
    <row r="6178">
      <c r="A6178" t="n">
        <v>14141127</v>
      </c>
      <c r="B6178" t="n">
        <v>49721</v>
      </c>
      <c r="C6178" t="inlineStr">
        <is>
          <t>1414/11/27</t>
        </is>
      </c>
    </row>
    <row r="6179">
      <c r="A6179" t="n">
        <v>14141128</v>
      </c>
      <c r="B6179" t="n">
        <v>49722</v>
      </c>
      <c r="C6179" t="inlineStr">
        <is>
          <t>1414/11/28</t>
        </is>
      </c>
    </row>
    <row r="6180">
      <c r="A6180" t="n">
        <v>14141129</v>
      </c>
      <c r="B6180" t="n">
        <v>49723</v>
      </c>
      <c r="C6180" t="inlineStr">
        <is>
          <t>1414/11/29</t>
        </is>
      </c>
    </row>
    <row r="6181">
      <c r="A6181" t="n">
        <v>14141130</v>
      </c>
      <c r="B6181" t="n">
        <v>49724</v>
      </c>
      <c r="C6181" t="inlineStr">
        <is>
          <t>1414/11/30</t>
        </is>
      </c>
    </row>
    <row r="6182">
      <c r="A6182" t="n">
        <v>14141201</v>
      </c>
      <c r="B6182" t="n">
        <v>49725</v>
      </c>
      <c r="C6182" t="inlineStr">
        <is>
          <t>1414/12/01</t>
        </is>
      </c>
    </row>
    <row r="6183">
      <c r="A6183" t="n">
        <v>14141202</v>
      </c>
      <c r="B6183" t="n">
        <v>49726</v>
      </c>
      <c r="C6183" t="inlineStr">
        <is>
          <t>1414/12/02</t>
        </is>
      </c>
    </row>
    <row r="6184">
      <c r="A6184" t="n">
        <v>14141203</v>
      </c>
      <c r="B6184" t="n">
        <v>49727</v>
      </c>
      <c r="C6184" t="inlineStr">
        <is>
          <t>1414/12/03</t>
        </is>
      </c>
    </row>
    <row r="6185">
      <c r="A6185" t="n">
        <v>14141204</v>
      </c>
      <c r="B6185" t="n">
        <v>49728</v>
      </c>
      <c r="C6185" t="inlineStr">
        <is>
          <t>1414/12/04</t>
        </is>
      </c>
    </row>
    <row r="6186">
      <c r="A6186" t="n">
        <v>14141205</v>
      </c>
      <c r="B6186" t="n">
        <v>49729</v>
      </c>
      <c r="C6186" t="inlineStr">
        <is>
          <t>1414/12/05</t>
        </is>
      </c>
    </row>
    <row r="6187">
      <c r="A6187" t="n">
        <v>14141206</v>
      </c>
      <c r="B6187" t="n">
        <v>49730</v>
      </c>
      <c r="C6187" t="inlineStr">
        <is>
          <t>1414/12/06</t>
        </is>
      </c>
    </row>
    <row r="6188">
      <c r="A6188" t="n">
        <v>14141207</v>
      </c>
      <c r="B6188" t="n">
        <v>49731</v>
      </c>
      <c r="C6188" t="inlineStr">
        <is>
          <t>1414/12/07</t>
        </is>
      </c>
    </row>
    <row r="6189">
      <c r="A6189" t="n">
        <v>14141208</v>
      </c>
      <c r="B6189" t="n">
        <v>49732</v>
      </c>
      <c r="C6189" t="inlineStr">
        <is>
          <t>1414/12/08</t>
        </is>
      </c>
    </row>
    <row r="6190">
      <c r="A6190" t="n">
        <v>14141209</v>
      </c>
      <c r="B6190" t="n">
        <v>49733</v>
      </c>
      <c r="C6190" t="inlineStr">
        <is>
          <t>1414/12/09</t>
        </is>
      </c>
    </row>
    <row r="6191">
      <c r="A6191" t="n">
        <v>14141210</v>
      </c>
      <c r="B6191" t="n">
        <v>49734</v>
      </c>
      <c r="C6191" t="inlineStr">
        <is>
          <t>1414/12/10</t>
        </is>
      </c>
    </row>
    <row r="6192">
      <c r="A6192" t="n">
        <v>14141211</v>
      </c>
      <c r="B6192" t="n">
        <v>49735</v>
      </c>
      <c r="C6192" t="inlineStr">
        <is>
          <t>1414/12/11</t>
        </is>
      </c>
    </row>
    <row r="6193">
      <c r="A6193" t="n">
        <v>14141212</v>
      </c>
      <c r="B6193" t="n">
        <v>49736</v>
      </c>
      <c r="C6193" t="inlineStr">
        <is>
          <t>1414/12/12</t>
        </is>
      </c>
    </row>
    <row r="6194">
      <c r="A6194" t="n">
        <v>14141213</v>
      </c>
      <c r="B6194" t="n">
        <v>49737</v>
      </c>
      <c r="C6194" t="inlineStr">
        <is>
          <t>1414/12/13</t>
        </is>
      </c>
    </row>
    <row r="6195">
      <c r="A6195" t="n">
        <v>14141214</v>
      </c>
      <c r="B6195" t="n">
        <v>49738</v>
      </c>
      <c r="C6195" t="inlineStr">
        <is>
          <t>1414/12/14</t>
        </is>
      </c>
    </row>
    <row r="6196">
      <c r="A6196" t="n">
        <v>14141215</v>
      </c>
      <c r="B6196" t="n">
        <v>49739</v>
      </c>
      <c r="C6196" t="inlineStr">
        <is>
          <t>1414/12/15</t>
        </is>
      </c>
    </row>
    <row r="6197">
      <c r="A6197" t="n">
        <v>14141216</v>
      </c>
      <c r="B6197" t="n">
        <v>49740</v>
      </c>
      <c r="C6197" t="inlineStr">
        <is>
          <t>1414/12/16</t>
        </is>
      </c>
    </row>
    <row r="6198">
      <c r="A6198" t="n">
        <v>14141217</v>
      </c>
      <c r="B6198" t="n">
        <v>49741</v>
      </c>
      <c r="C6198" t="inlineStr">
        <is>
          <t>1414/12/17</t>
        </is>
      </c>
    </row>
    <row r="6199">
      <c r="A6199" t="n">
        <v>14141218</v>
      </c>
      <c r="B6199" t="n">
        <v>49742</v>
      </c>
      <c r="C6199" t="inlineStr">
        <is>
          <t>1414/12/18</t>
        </is>
      </c>
    </row>
    <row r="6200">
      <c r="A6200" t="n">
        <v>14141219</v>
      </c>
      <c r="B6200" t="n">
        <v>49743</v>
      </c>
      <c r="C6200" t="inlineStr">
        <is>
          <t>1414/12/19</t>
        </is>
      </c>
    </row>
    <row r="6201">
      <c r="A6201" t="n">
        <v>14141220</v>
      </c>
      <c r="B6201" t="n">
        <v>49744</v>
      </c>
      <c r="C6201" t="inlineStr">
        <is>
          <t>1414/12/20</t>
        </is>
      </c>
    </row>
    <row r="6202">
      <c r="A6202" t="n">
        <v>14141221</v>
      </c>
      <c r="B6202" t="n">
        <v>49745</v>
      </c>
      <c r="C6202" t="inlineStr">
        <is>
          <t>1414/12/21</t>
        </is>
      </c>
    </row>
    <row r="6203">
      <c r="A6203" t="n">
        <v>14141222</v>
      </c>
      <c r="B6203" t="n">
        <v>49746</v>
      </c>
      <c r="C6203" t="inlineStr">
        <is>
          <t>1414/12/22</t>
        </is>
      </c>
    </row>
    <row r="6204">
      <c r="A6204" t="n">
        <v>14141223</v>
      </c>
      <c r="B6204" t="n">
        <v>49747</v>
      </c>
      <c r="C6204" t="inlineStr">
        <is>
          <t>1414/12/23</t>
        </is>
      </c>
    </row>
    <row r="6205">
      <c r="A6205" t="n">
        <v>14141224</v>
      </c>
      <c r="B6205" t="n">
        <v>49748</v>
      </c>
      <c r="C6205" t="inlineStr">
        <is>
          <t>1414/12/24</t>
        </is>
      </c>
    </row>
    <row r="6206">
      <c r="A6206" t="n">
        <v>14141225</v>
      </c>
      <c r="B6206" t="n">
        <v>49749</v>
      </c>
      <c r="C6206" t="inlineStr">
        <is>
          <t>1414/12/25</t>
        </is>
      </c>
    </row>
    <row r="6207">
      <c r="A6207" t="n">
        <v>14141226</v>
      </c>
      <c r="B6207" t="n">
        <v>49750</v>
      </c>
      <c r="C6207" t="inlineStr">
        <is>
          <t>1414/12/26</t>
        </is>
      </c>
    </row>
    <row r="6208">
      <c r="A6208" t="n">
        <v>14141227</v>
      </c>
      <c r="B6208" t="n">
        <v>49751</v>
      </c>
      <c r="C6208" t="inlineStr">
        <is>
          <t>1414/12/27</t>
        </is>
      </c>
    </row>
    <row r="6209">
      <c r="A6209" t="n">
        <v>14141228</v>
      </c>
      <c r="B6209" t="n">
        <v>49752</v>
      </c>
      <c r="C6209" t="inlineStr">
        <is>
          <t>1414/12/28</t>
        </is>
      </c>
    </row>
    <row r="6210">
      <c r="A6210" t="n">
        <v>14141229</v>
      </c>
      <c r="B6210" t="n">
        <v>49753</v>
      </c>
      <c r="C6210" t="inlineStr">
        <is>
          <t>1414/12/29</t>
        </is>
      </c>
    </row>
    <row r="6211">
      <c r="A6211" t="n">
        <v>14150101</v>
      </c>
      <c r="B6211" t="n">
        <v>49754</v>
      </c>
      <c r="C6211" t="inlineStr">
        <is>
          <t>1415/01/01</t>
        </is>
      </c>
    </row>
    <row r="6212">
      <c r="A6212" t="n">
        <v>14150102</v>
      </c>
      <c r="B6212" t="n">
        <v>49755</v>
      </c>
      <c r="C6212" t="inlineStr">
        <is>
          <t>1415/01/02</t>
        </is>
      </c>
    </row>
    <row r="6213">
      <c r="A6213" t="n">
        <v>14150103</v>
      </c>
      <c r="B6213" t="n">
        <v>49756</v>
      </c>
      <c r="C6213" t="inlineStr">
        <is>
          <t>1415/01/03</t>
        </is>
      </c>
    </row>
    <row r="6214">
      <c r="A6214" t="n">
        <v>14150104</v>
      </c>
      <c r="B6214" t="n">
        <v>49757</v>
      </c>
      <c r="C6214" t="inlineStr">
        <is>
          <t>1415/01/04</t>
        </is>
      </c>
    </row>
    <row r="6215">
      <c r="A6215" t="n">
        <v>14150105</v>
      </c>
      <c r="B6215" t="n">
        <v>49758</v>
      </c>
      <c r="C6215" t="inlineStr">
        <is>
          <t>1415/01/05</t>
        </is>
      </c>
    </row>
    <row r="6216">
      <c r="A6216" t="n">
        <v>14150106</v>
      </c>
      <c r="B6216" t="n">
        <v>49759</v>
      </c>
      <c r="C6216" t="inlineStr">
        <is>
          <t>1415/01/06</t>
        </is>
      </c>
    </row>
    <row r="6217">
      <c r="A6217" t="n">
        <v>14150107</v>
      </c>
      <c r="B6217" t="n">
        <v>49760</v>
      </c>
      <c r="C6217" t="inlineStr">
        <is>
          <t>1415/01/07</t>
        </is>
      </c>
    </row>
    <row r="6218">
      <c r="A6218" t="n">
        <v>14150108</v>
      </c>
      <c r="B6218" t="n">
        <v>49761</v>
      </c>
      <c r="C6218" t="inlineStr">
        <is>
          <t>1415/01/08</t>
        </is>
      </c>
    </row>
    <row r="6219">
      <c r="A6219" t="n">
        <v>14150109</v>
      </c>
      <c r="B6219" t="n">
        <v>49762</v>
      </c>
      <c r="C6219" t="inlineStr">
        <is>
          <t>1415/01/09</t>
        </is>
      </c>
    </row>
    <row r="6220">
      <c r="A6220" t="n">
        <v>14150110</v>
      </c>
      <c r="B6220" t="n">
        <v>49763</v>
      </c>
      <c r="C6220" t="inlineStr">
        <is>
          <t>1415/01/10</t>
        </is>
      </c>
    </row>
    <row r="6221">
      <c r="A6221" t="n">
        <v>14150111</v>
      </c>
      <c r="B6221" t="n">
        <v>49764</v>
      </c>
      <c r="C6221" t="inlineStr">
        <is>
          <t>1415/01/11</t>
        </is>
      </c>
    </row>
    <row r="6222">
      <c r="A6222" t="n">
        <v>14150112</v>
      </c>
      <c r="B6222" t="n">
        <v>49765</v>
      </c>
      <c r="C6222" t="inlineStr">
        <is>
          <t>1415/01/12</t>
        </is>
      </c>
    </row>
    <row r="6223">
      <c r="A6223" t="n">
        <v>14150113</v>
      </c>
      <c r="B6223" t="n">
        <v>49766</v>
      </c>
      <c r="C6223" t="inlineStr">
        <is>
          <t>1415/01/13</t>
        </is>
      </c>
    </row>
    <row r="6224">
      <c r="A6224" t="n">
        <v>14150114</v>
      </c>
      <c r="B6224" t="n">
        <v>49767</v>
      </c>
      <c r="C6224" t="inlineStr">
        <is>
          <t>1415/01/14</t>
        </is>
      </c>
    </row>
    <row r="6225">
      <c r="A6225" t="n">
        <v>14150115</v>
      </c>
      <c r="B6225" t="n">
        <v>49768</v>
      </c>
      <c r="C6225" t="inlineStr">
        <is>
          <t>1415/01/15</t>
        </is>
      </c>
    </row>
    <row r="6226">
      <c r="A6226" t="n">
        <v>14150116</v>
      </c>
      <c r="B6226" t="n">
        <v>49769</v>
      </c>
      <c r="C6226" t="inlineStr">
        <is>
          <t>1415/01/16</t>
        </is>
      </c>
    </row>
    <row r="6227">
      <c r="A6227" t="n">
        <v>14150117</v>
      </c>
      <c r="B6227" t="n">
        <v>49770</v>
      </c>
      <c r="C6227" t="inlineStr">
        <is>
          <t>1415/01/17</t>
        </is>
      </c>
    </row>
    <row r="6228">
      <c r="A6228" t="n">
        <v>14150118</v>
      </c>
      <c r="B6228" t="n">
        <v>49771</v>
      </c>
      <c r="C6228" t="inlineStr">
        <is>
          <t>1415/01/18</t>
        </is>
      </c>
    </row>
    <row r="6229">
      <c r="A6229" t="n">
        <v>14150119</v>
      </c>
      <c r="B6229" t="n">
        <v>49772</v>
      </c>
      <c r="C6229" t="inlineStr">
        <is>
          <t>1415/01/19</t>
        </is>
      </c>
    </row>
    <row r="6230">
      <c r="A6230" t="n">
        <v>14150120</v>
      </c>
      <c r="B6230" t="n">
        <v>49773</v>
      </c>
      <c r="C6230" t="inlineStr">
        <is>
          <t>1415/01/20</t>
        </is>
      </c>
    </row>
    <row r="6231">
      <c r="A6231" t="n">
        <v>14150121</v>
      </c>
      <c r="B6231" t="n">
        <v>49774</v>
      </c>
      <c r="C6231" t="inlineStr">
        <is>
          <t>1415/01/21</t>
        </is>
      </c>
    </row>
    <row r="6232">
      <c r="A6232" t="n">
        <v>14150122</v>
      </c>
      <c r="B6232" t="n">
        <v>49775</v>
      </c>
      <c r="C6232" t="inlineStr">
        <is>
          <t>1415/01/22</t>
        </is>
      </c>
    </row>
    <row r="6233">
      <c r="A6233" t="n">
        <v>14150123</v>
      </c>
      <c r="B6233" t="n">
        <v>49776</v>
      </c>
      <c r="C6233" t="inlineStr">
        <is>
          <t>1415/01/23</t>
        </is>
      </c>
    </row>
    <row r="6234">
      <c r="A6234" t="n">
        <v>14150124</v>
      </c>
      <c r="B6234" t="n">
        <v>49777</v>
      </c>
      <c r="C6234" t="inlineStr">
        <is>
          <t>1415/01/24</t>
        </is>
      </c>
    </row>
    <row r="6235">
      <c r="A6235" t="n">
        <v>14150125</v>
      </c>
      <c r="B6235" t="n">
        <v>49778</v>
      </c>
      <c r="C6235" t="inlineStr">
        <is>
          <t>1415/01/25</t>
        </is>
      </c>
    </row>
    <row r="6236">
      <c r="A6236" t="n">
        <v>14150126</v>
      </c>
      <c r="B6236" t="n">
        <v>49779</v>
      </c>
      <c r="C6236" t="inlineStr">
        <is>
          <t>1415/01/26</t>
        </is>
      </c>
    </row>
    <row r="6237">
      <c r="A6237" t="n">
        <v>14150127</v>
      </c>
      <c r="B6237" t="n">
        <v>49780</v>
      </c>
      <c r="C6237" t="inlineStr">
        <is>
          <t>1415/01/27</t>
        </is>
      </c>
    </row>
    <row r="6238">
      <c r="A6238" t="n">
        <v>14150128</v>
      </c>
      <c r="B6238" t="n">
        <v>49781</v>
      </c>
      <c r="C6238" t="inlineStr">
        <is>
          <t>1415/01/28</t>
        </is>
      </c>
    </row>
    <row r="6239">
      <c r="A6239" t="n">
        <v>14150129</v>
      </c>
      <c r="B6239" t="n">
        <v>49782</v>
      </c>
      <c r="C6239" t="inlineStr">
        <is>
          <t>1415/01/29</t>
        </is>
      </c>
    </row>
    <row r="6240">
      <c r="A6240" t="n">
        <v>14150130</v>
      </c>
      <c r="B6240" t="n">
        <v>49783</v>
      </c>
      <c r="C6240" t="inlineStr">
        <is>
          <t>1415/01/30</t>
        </is>
      </c>
    </row>
    <row r="6241">
      <c r="A6241" t="n">
        <v>14150131</v>
      </c>
      <c r="B6241" t="n">
        <v>49784</v>
      </c>
      <c r="C6241" t="inlineStr">
        <is>
          <t>1415/01/31</t>
        </is>
      </c>
    </row>
    <row r="6242">
      <c r="A6242" t="n">
        <v>14150201</v>
      </c>
      <c r="B6242" t="n">
        <v>49785</v>
      </c>
      <c r="C6242" t="inlineStr">
        <is>
          <t>1415/02/01</t>
        </is>
      </c>
    </row>
    <row r="6243">
      <c r="A6243" t="n">
        <v>14150202</v>
      </c>
      <c r="B6243" t="n">
        <v>49786</v>
      </c>
      <c r="C6243" t="inlineStr">
        <is>
          <t>1415/02/02</t>
        </is>
      </c>
    </row>
    <row r="6244">
      <c r="A6244" t="n">
        <v>14150203</v>
      </c>
      <c r="B6244" t="n">
        <v>49787</v>
      </c>
      <c r="C6244" t="inlineStr">
        <is>
          <t>1415/02/03</t>
        </is>
      </c>
    </row>
    <row r="6245">
      <c r="A6245" t="n">
        <v>14150204</v>
      </c>
      <c r="B6245" t="n">
        <v>49788</v>
      </c>
      <c r="C6245" t="inlineStr">
        <is>
          <t>1415/02/04</t>
        </is>
      </c>
    </row>
    <row r="6246">
      <c r="A6246" t="n">
        <v>14150205</v>
      </c>
      <c r="B6246" t="n">
        <v>49789</v>
      </c>
      <c r="C6246" t="inlineStr">
        <is>
          <t>1415/02/05</t>
        </is>
      </c>
    </row>
    <row r="6247">
      <c r="A6247" t="n">
        <v>14150206</v>
      </c>
      <c r="B6247" t="n">
        <v>49790</v>
      </c>
      <c r="C6247" t="inlineStr">
        <is>
          <t>1415/02/06</t>
        </is>
      </c>
    </row>
    <row r="6248">
      <c r="A6248" t="n">
        <v>14150207</v>
      </c>
      <c r="B6248" t="n">
        <v>49791</v>
      </c>
      <c r="C6248" t="inlineStr">
        <is>
          <t>1415/02/07</t>
        </is>
      </c>
    </row>
    <row r="6249">
      <c r="A6249" t="n">
        <v>14150208</v>
      </c>
      <c r="B6249" t="n">
        <v>49792</v>
      </c>
      <c r="C6249" t="inlineStr">
        <is>
          <t>1415/02/08</t>
        </is>
      </c>
    </row>
    <row r="6250">
      <c r="A6250" t="n">
        <v>14150209</v>
      </c>
      <c r="B6250" t="n">
        <v>49793</v>
      </c>
      <c r="C6250" t="inlineStr">
        <is>
          <t>1415/02/09</t>
        </is>
      </c>
    </row>
    <row r="6251">
      <c r="A6251" t="n">
        <v>14150210</v>
      </c>
      <c r="B6251" t="n">
        <v>49794</v>
      </c>
      <c r="C6251" t="inlineStr">
        <is>
          <t>1415/02/10</t>
        </is>
      </c>
    </row>
    <row r="6252">
      <c r="A6252" t="n">
        <v>14150211</v>
      </c>
      <c r="B6252" t="n">
        <v>49795</v>
      </c>
      <c r="C6252" t="inlineStr">
        <is>
          <t>1415/02/11</t>
        </is>
      </c>
    </row>
    <row r="6253">
      <c r="A6253" t="n">
        <v>14150212</v>
      </c>
      <c r="B6253" t="n">
        <v>49796</v>
      </c>
      <c r="C6253" t="inlineStr">
        <is>
          <t>1415/02/12</t>
        </is>
      </c>
    </row>
    <row r="6254">
      <c r="A6254" t="n">
        <v>14150213</v>
      </c>
      <c r="B6254" t="n">
        <v>49797</v>
      </c>
      <c r="C6254" t="inlineStr">
        <is>
          <t>1415/02/13</t>
        </is>
      </c>
    </row>
    <row r="6255">
      <c r="A6255" t="n">
        <v>14150214</v>
      </c>
      <c r="B6255" t="n">
        <v>49798</v>
      </c>
      <c r="C6255" t="inlineStr">
        <is>
          <t>1415/02/14</t>
        </is>
      </c>
    </row>
    <row r="6256">
      <c r="A6256" t="n">
        <v>14150215</v>
      </c>
      <c r="B6256" t="n">
        <v>49799</v>
      </c>
      <c r="C6256" t="inlineStr">
        <is>
          <t>1415/02/15</t>
        </is>
      </c>
    </row>
    <row r="6257">
      <c r="A6257" t="n">
        <v>14150216</v>
      </c>
      <c r="B6257" t="n">
        <v>49800</v>
      </c>
      <c r="C6257" t="inlineStr">
        <is>
          <t>1415/02/16</t>
        </is>
      </c>
    </row>
    <row r="6258">
      <c r="A6258" t="n">
        <v>14150217</v>
      </c>
      <c r="B6258" t="n">
        <v>49801</v>
      </c>
      <c r="C6258" t="inlineStr">
        <is>
          <t>1415/02/17</t>
        </is>
      </c>
    </row>
    <row r="6259">
      <c r="A6259" t="n">
        <v>14150218</v>
      </c>
      <c r="B6259" t="n">
        <v>49802</v>
      </c>
      <c r="C6259" t="inlineStr">
        <is>
          <t>1415/02/18</t>
        </is>
      </c>
    </row>
    <row r="6260">
      <c r="A6260" t="n">
        <v>14150219</v>
      </c>
      <c r="B6260" t="n">
        <v>49803</v>
      </c>
      <c r="C6260" t="inlineStr">
        <is>
          <t>1415/02/19</t>
        </is>
      </c>
    </row>
    <row r="6261">
      <c r="A6261" t="n">
        <v>14150220</v>
      </c>
      <c r="B6261" t="n">
        <v>49804</v>
      </c>
      <c r="C6261" t="inlineStr">
        <is>
          <t>1415/02/20</t>
        </is>
      </c>
    </row>
    <row r="6262">
      <c r="A6262" t="n">
        <v>14150221</v>
      </c>
      <c r="B6262" t="n">
        <v>49805</v>
      </c>
      <c r="C6262" t="inlineStr">
        <is>
          <t>1415/02/21</t>
        </is>
      </c>
    </row>
    <row r="6263">
      <c r="A6263" t="n">
        <v>14150222</v>
      </c>
      <c r="B6263" t="n">
        <v>49806</v>
      </c>
      <c r="C6263" t="inlineStr">
        <is>
          <t>1415/02/22</t>
        </is>
      </c>
    </row>
    <row r="6264">
      <c r="A6264" t="n">
        <v>14150223</v>
      </c>
      <c r="B6264" t="n">
        <v>49807</v>
      </c>
      <c r="C6264" t="inlineStr">
        <is>
          <t>1415/02/23</t>
        </is>
      </c>
    </row>
    <row r="6265">
      <c r="A6265" t="n">
        <v>14150224</v>
      </c>
      <c r="B6265" t="n">
        <v>49808</v>
      </c>
      <c r="C6265" t="inlineStr">
        <is>
          <t>1415/02/24</t>
        </is>
      </c>
    </row>
    <row r="6266">
      <c r="A6266" t="n">
        <v>14150225</v>
      </c>
      <c r="B6266" t="n">
        <v>49809</v>
      </c>
      <c r="C6266" t="inlineStr">
        <is>
          <t>1415/02/25</t>
        </is>
      </c>
    </row>
    <row r="6267">
      <c r="A6267" t="n">
        <v>14150226</v>
      </c>
      <c r="B6267" t="n">
        <v>49810</v>
      </c>
      <c r="C6267" t="inlineStr">
        <is>
          <t>1415/02/26</t>
        </is>
      </c>
    </row>
    <row r="6268">
      <c r="A6268" t="n">
        <v>14150227</v>
      </c>
      <c r="B6268" t="n">
        <v>49811</v>
      </c>
      <c r="C6268" t="inlineStr">
        <is>
          <t>1415/02/27</t>
        </is>
      </c>
    </row>
    <row r="6269">
      <c r="A6269" t="n">
        <v>14150228</v>
      </c>
      <c r="B6269" t="n">
        <v>49812</v>
      </c>
      <c r="C6269" t="inlineStr">
        <is>
          <t>1415/02/28</t>
        </is>
      </c>
    </row>
    <row r="6270">
      <c r="A6270" t="n">
        <v>14150229</v>
      </c>
      <c r="B6270" t="n">
        <v>49813</v>
      </c>
      <c r="C6270" t="inlineStr">
        <is>
          <t>1415/02/29</t>
        </is>
      </c>
    </row>
    <row r="6271">
      <c r="A6271" t="n">
        <v>14150230</v>
      </c>
      <c r="B6271" t="n">
        <v>49814</v>
      </c>
      <c r="C6271" t="inlineStr">
        <is>
          <t>1415/02/30</t>
        </is>
      </c>
    </row>
    <row r="6272">
      <c r="A6272" t="n">
        <v>14150231</v>
      </c>
      <c r="B6272" t="n">
        <v>49815</v>
      </c>
      <c r="C6272" t="inlineStr">
        <is>
          <t>1415/02/31</t>
        </is>
      </c>
    </row>
    <row r="6273">
      <c r="A6273" t="n">
        <v>14150301</v>
      </c>
      <c r="B6273" t="n">
        <v>49816</v>
      </c>
      <c r="C6273" t="inlineStr">
        <is>
          <t>1415/03/01</t>
        </is>
      </c>
    </row>
    <row r="6274">
      <c r="A6274" t="n">
        <v>14150302</v>
      </c>
      <c r="B6274" t="n">
        <v>49817</v>
      </c>
      <c r="C6274" t="inlineStr">
        <is>
          <t>1415/03/02</t>
        </is>
      </c>
    </row>
    <row r="6275">
      <c r="A6275" t="n">
        <v>14150303</v>
      </c>
      <c r="B6275" t="n">
        <v>49818</v>
      </c>
      <c r="C6275" t="inlineStr">
        <is>
          <t>1415/03/03</t>
        </is>
      </c>
    </row>
    <row r="6276">
      <c r="A6276" t="n">
        <v>14150304</v>
      </c>
      <c r="B6276" t="n">
        <v>49819</v>
      </c>
      <c r="C6276" t="inlineStr">
        <is>
          <t>1415/03/04</t>
        </is>
      </c>
    </row>
    <row r="6277">
      <c r="A6277" t="n">
        <v>14150305</v>
      </c>
      <c r="B6277" t="n">
        <v>49820</v>
      </c>
      <c r="C6277" t="inlineStr">
        <is>
          <t>1415/03/05</t>
        </is>
      </c>
    </row>
    <row r="6278">
      <c r="A6278" t="n">
        <v>14150306</v>
      </c>
      <c r="B6278" t="n">
        <v>49821</v>
      </c>
      <c r="C6278" t="inlineStr">
        <is>
          <t>1415/03/06</t>
        </is>
      </c>
    </row>
    <row r="6279">
      <c r="A6279" t="n">
        <v>14150307</v>
      </c>
      <c r="B6279" t="n">
        <v>49822</v>
      </c>
      <c r="C6279" t="inlineStr">
        <is>
          <t>1415/03/07</t>
        </is>
      </c>
    </row>
    <row r="6280">
      <c r="A6280" t="n">
        <v>14150308</v>
      </c>
      <c r="B6280" t="n">
        <v>49823</v>
      </c>
      <c r="C6280" t="inlineStr">
        <is>
          <t>1415/03/08</t>
        </is>
      </c>
    </row>
    <row r="6281">
      <c r="A6281" t="n">
        <v>14150309</v>
      </c>
      <c r="B6281" t="n">
        <v>49824</v>
      </c>
      <c r="C6281" t="inlineStr">
        <is>
          <t>1415/03/09</t>
        </is>
      </c>
    </row>
    <row r="6282">
      <c r="A6282" t="n">
        <v>14150310</v>
      </c>
      <c r="B6282" t="n">
        <v>49825</v>
      </c>
      <c r="C6282" t="inlineStr">
        <is>
          <t>1415/03/10</t>
        </is>
      </c>
    </row>
    <row r="6283">
      <c r="A6283" t="n">
        <v>14150311</v>
      </c>
      <c r="B6283" t="n">
        <v>49826</v>
      </c>
      <c r="C6283" t="inlineStr">
        <is>
          <t>1415/03/11</t>
        </is>
      </c>
    </row>
    <row r="6284">
      <c r="A6284" t="n">
        <v>14150312</v>
      </c>
      <c r="B6284" t="n">
        <v>49827</v>
      </c>
      <c r="C6284" t="inlineStr">
        <is>
          <t>1415/03/12</t>
        </is>
      </c>
    </row>
    <row r="6285">
      <c r="A6285" t="n">
        <v>14150313</v>
      </c>
      <c r="B6285" t="n">
        <v>49828</v>
      </c>
      <c r="C6285" t="inlineStr">
        <is>
          <t>1415/03/13</t>
        </is>
      </c>
    </row>
    <row r="6286">
      <c r="A6286" t="n">
        <v>14150314</v>
      </c>
      <c r="B6286" t="n">
        <v>49829</v>
      </c>
      <c r="C6286" t="inlineStr">
        <is>
          <t>1415/03/14</t>
        </is>
      </c>
    </row>
    <row r="6287">
      <c r="A6287" t="n">
        <v>14150315</v>
      </c>
      <c r="B6287" t="n">
        <v>49830</v>
      </c>
      <c r="C6287" t="inlineStr">
        <is>
          <t>1415/03/15</t>
        </is>
      </c>
    </row>
    <row r="6288">
      <c r="A6288" t="n">
        <v>14150316</v>
      </c>
      <c r="B6288" t="n">
        <v>49831</v>
      </c>
      <c r="C6288" t="inlineStr">
        <is>
          <t>1415/03/16</t>
        </is>
      </c>
    </row>
    <row r="6289">
      <c r="A6289" t="n">
        <v>14150317</v>
      </c>
      <c r="B6289" t="n">
        <v>49832</v>
      </c>
      <c r="C6289" t="inlineStr">
        <is>
          <t>1415/03/17</t>
        </is>
      </c>
    </row>
    <row r="6290">
      <c r="A6290" t="n">
        <v>14150318</v>
      </c>
      <c r="B6290" t="n">
        <v>49833</v>
      </c>
      <c r="C6290" t="inlineStr">
        <is>
          <t>1415/03/18</t>
        </is>
      </c>
    </row>
    <row r="6291">
      <c r="A6291" t="n">
        <v>14150319</v>
      </c>
      <c r="B6291" t="n">
        <v>49834</v>
      </c>
      <c r="C6291" t="inlineStr">
        <is>
          <t>1415/03/19</t>
        </is>
      </c>
    </row>
    <row r="6292">
      <c r="A6292" t="n">
        <v>14150320</v>
      </c>
      <c r="B6292" t="n">
        <v>49835</v>
      </c>
      <c r="C6292" t="inlineStr">
        <is>
          <t>1415/03/20</t>
        </is>
      </c>
    </row>
    <row r="6293">
      <c r="A6293" t="n">
        <v>14150321</v>
      </c>
      <c r="B6293" t="n">
        <v>49836</v>
      </c>
      <c r="C6293" t="inlineStr">
        <is>
          <t>1415/03/21</t>
        </is>
      </c>
    </row>
    <row r="6294">
      <c r="A6294" t="n">
        <v>14150322</v>
      </c>
      <c r="B6294" t="n">
        <v>49837</v>
      </c>
      <c r="C6294" t="inlineStr">
        <is>
          <t>1415/03/22</t>
        </is>
      </c>
    </row>
    <row r="6295">
      <c r="A6295" t="n">
        <v>14150323</v>
      </c>
      <c r="B6295" t="n">
        <v>49838</v>
      </c>
      <c r="C6295" t="inlineStr">
        <is>
          <t>1415/03/23</t>
        </is>
      </c>
    </row>
    <row r="6296">
      <c r="A6296" t="n">
        <v>14150324</v>
      </c>
      <c r="B6296" t="n">
        <v>49839</v>
      </c>
      <c r="C6296" t="inlineStr">
        <is>
          <t>1415/03/24</t>
        </is>
      </c>
    </row>
    <row r="6297">
      <c r="A6297" t="n">
        <v>14150325</v>
      </c>
      <c r="B6297" t="n">
        <v>49840</v>
      </c>
      <c r="C6297" t="inlineStr">
        <is>
          <t>1415/03/25</t>
        </is>
      </c>
    </row>
    <row r="6298">
      <c r="A6298" t="n">
        <v>14150326</v>
      </c>
      <c r="B6298" t="n">
        <v>49841</v>
      </c>
      <c r="C6298" t="inlineStr">
        <is>
          <t>1415/03/26</t>
        </is>
      </c>
    </row>
    <row r="6299">
      <c r="A6299" t="n">
        <v>14150327</v>
      </c>
      <c r="B6299" t="n">
        <v>49842</v>
      </c>
      <c r="C6299" t="inlineStr">
        <is>
          <t>1415/03/27</t>
        </is>
      </c>
    </row>
    <row r="6300">
      <c r="A6300" t="n">
        <v>14150328</v>
      </c>
      <c r="B6300" t="n">
        <v>49843</v>
      </c>
      <c r="C6300" t="inlineStr">
        <is>
          <t>1415/03/28</t>
        </is>
      </c>
    </row>
    <row r="6301">
      <c r="A6301" t="n">
        <v>14150329</v>
      </c>
      <c r="B6301" t="n">
        <v>49844</v>
      </c>
      <c r="C6301" t="inlineStr">
        <is>
          <t>1415/03/29</t>
        </is>
      </c>
    </row>
    <row r="6302">
      <c r="A6302" t="n">
        <v>14150330</v>
      </c>
      <c r="B6302" t="n">
        <v>49845</v>
      </c>
      <c r="C6302" t="inlineStr">
        <is>
          <t>1415/03/30</t>
        </is>
      </c>
    </row>
    <row r="6303">
      <c r="A6303" t="n">
        <v>14150331</v>
      </c>
      <c r="B6303" t="n">
        <v>49846</v>
      </c>
      <c r="C6303" t="inlineStr">
        <is>
          <t>1415/03/31</t>
        </is>
      </c>
    </row>
    <row r="6304">
      <c r="A6304" t="n">
        <v>14150401</v>
      </c>
      <c r="B6304" t="n">
        <v>49847</v>
      </c>
      <c r="C6304" t="inlineStr">
        <is>
          <t>1415/04/01</t>
        </is>
      </c>
    </row>
    <row r="6305">
      <c r="A6305" t="n">
        <v>14150402</v>
      </c>
      <c r="B6305" t="n">
        <v>49848</v>
      </c>
      <c r="C6305" t="inlineStr">
        <is>
          <t>1415/04/02</t>
        </is>
      </c>
    </row>
    <row r="6306">
      <c r="A6306" t="n">
        <v>14150403</v>
      </c>
      <c r="B6306" t="n">
        <v>49849</v>
      </c>
      <c r="C6306" t="inlineStr">
        <is>
          <t>1415/04/03</t>
        </is>
      </c>
    </row>
    <row r="6307">
      <c r="A6307" t="n">
        <v>14150404</v>
      </c>
      <c r="B6307" t="n">
        <v>49850</v>
      </c>
      <c r="C6307" t="inlineStr">
        <is>
          <t>1415/04/04</t>
        </is>
      </c>
    </row>
    <row r="6308">
      <c r="A6308" t="n">
        <v>14150405</v>
      </c>
      <c r="B6308" t="n">
        <v>49851</v>
      </c>
      <c r="C6308" t="inlineStr">
        <is>
          <t>1415/04/05</t>
        </is>
      </c>
    </row>
    <row r="6309">
      <c r="A6309" t="n">
        <v>14150406</v>
      </c>
      <c r="B6309" t="n">
        <v>49852</v>
      </c>
      <c r="C6309" t="inlineStr">
        <is>
          <t>1415/04/06</t>
        </is>
      </c>
    </row>
    <row r="6310">
      <c r="A6310" t="n">
        <v>14150407</v>
      </c>
      <c r="B6310" t="n">
        <v>49853</v>
      </c>
      <c r="C6310" t="inlineStr">
        <is>
          <t>1415/04/07</t>
        </is>
      </c>
    </row>
    <row r="6311">
      <c r="A6311" t="n">
        <v>14150408</v>
      </c>
      <c r="B6311" t="n">
        <v>49854</v>
      </c>
      <c r="C6311" t="inlineStr">
        <is>
          <t>1415/04/08</t>
        </is>
      </c>
    </row>
    <row r="6312">
      <c r="A6312" t="n">
        <v>14150409</v>
      </c>
      <c r="B6312" t="n">
        <v>49855</v>
      </c>
      <c r="C6312" t="inlineStr">
        <is>
          <t>1415/04/09</t>
        </is>
      </c>
    </row>
    <row r="6313">
      <c r="A6313" t="n">
        <v>14150410</v>
      </c>
      <c r="B6313" t="n">
        <v>49856</v>
      </c>
      <c r="C6313" t="inlineStr">
        <is>
          <t>1415/04/10</t>
        </is>
      </c>
    </row>
    <row r="6314">
      <c r="A6314" t="n">
        <v>14150411</v>
      </c>
      <c r="B6314" t="n">
        <v>49857</v>
      </c>
      <c r="C6314" t="inlineStr">
        <is>
          <t>1415/04/11</t>
        </is>
      </c>
    </row>
    <row r="6315">
      <c r="A6315" t="n">
        <v>14150412</v>
      </c>
      <c r="B6315" t="n">
        <v>49858</v>
      </c>
      <c r="C6315" t="inlineStr">
        <is>
          <t>1415/04/12</t>
        </is>
      </c>
    </row>
    <row r="6316">
      <c r="A6316" t="n">
        <v>14150413</v>
      </c>
      <c r="B6316" t="n">
        <v>49859</v>
      </c>
      <c r="C6316" t="inlineStr">
        <is>
          <t>1415/04/13</t>
        </is>
      </c>
    </row>
    <row r="6317">
      <c r="A6317" t="n">
        <v>14150414</v>
      </c>
      <c r="B6317" t="n">
        <v>49860</v>
      </c>
      <c r="C6317" t="inlineStr">
        <is>
          <t>1415/04/14</t>
        </is>
      </c>
    </row>
    <row r="6318">
      <c r="A6318" t="n">
        <v>14150415</v>
      </c>
      <c r="B6318" t="n">
        <v>49861</v>
      </c>
      <c r="C6318" t="inlineStr">
        <is>
          <t>1415/04/15</t>
        </is>
      </c>
    </row>
    <row r="6319">
      <c r="A6319" t="n">
        <v>14150416</v>
      </c>
      <c r="B6319" t="n">
        <v>49862</v>
      </c>
      <c r="C6319" t="inlineStr">
        <is>
          <t>1415/04/16</t>
        </is>
      </c>
    </row>
    <row r="6320">
      <c r="A6320" t="n">
        <v>14150417</v>
      </c>
      <c r="B6320" t="n">
        <v>49863</v>
      </c>
      <c r="C6320" t="inlineStr">
        <is>
          <t>1415/04/17</t>
        </is>
      </c>
    </row>
    <row r="6321">
      <c r="A6321" t="n">
        <v>14150418</v>
      </c>
      <c r="B6321" t="n">
        <v>49864</v>
      </c>
      <c r="C6321" t="inlineStr">
        <is>
          <t>1415/04/18</t>
        </is>
      </c>
    </row>
    <row r="6322">
      <c r="A6322" t="n">
        <v>14150419</v>
      </c>
      <c r="B6322" t="n">
        <v>49865</v>
      </c>
      <c r="C6322" t="inlineStr">
        <is>
          <t>1415/04/19</t>
        </is>
      </c>
    </row>
    <row r="6323">
      <c r="A6323" t="n">
        <v>14150420</v>
      </c>
      <c r="B6323" t="n">
        <v>49866</v>
      </c>
      <c r="C6323" t="inlineStr">
        <is>
          <t>1415/04/20</t>
        </is>
      </c>
    </row>
    <row r="6324">
      <c r="A6324" t="n">
        <v>14150421</v>
      </c>
      <c r="B6324" t="n">
        <v>49867</v>
      </c>
      <c r="C6324" t="inlineStr">
        <is>
          <t>1415/04/21</t>
        </is>
      </c>
    </row>
    <row r="6325">
      <c r="A6325" t="n">
        <v>14150422</v>
      </c>
      <c r="B6325" t="n">
        <v>49868</v>
      </c>
      <c r="C6325" t="inlineStr">
        <is>
          <t>1415/04/22</t>
        </is>
      </c>
    </row>
    <row r="6326">
      <c r="A6326" t="n">
        <v>14150423</v>
      </c>
      <c r="B6326" t="n">
        <v>49869</v>
      </c>
      <c r="C6326" t="inlineStr">
        <is>
          <t>1415/04/23</t>
        </is>
      </c>
    </row>
    <row r="6327">
      <c r="A6327" t="n">
        <v>14150424</v>
      </c>
      <c r="B6327" t="n">
        <v>49870</v>
      </c>
      <c r="C6327" t="inlineStr">
        <is>
          <t>1415/04/24</t>
        </is>
      </c>
    </row>
    <row r="6328">
      <c r="A6328" t="n">
        <v>14150425</v>
      </c>
      <c r="B6328" t="n">
        <v>49871</v>
      </c>
      <c r="C6328" t="inlineStr">
        <is>
          <t>1415/04/25</t>
        </is>
      </c>
    </row>
    <row r="6329">
      <c r="A6329" t="n">
        <v>14150426</v>
      </c>
      <c r="B6329" t="n">
        <v>49872</v>
      </c>
      <c r="C6329" t="inlineStr">
        <is>
          <t>1415/04/26</t>
        </is>
      </c>
    </row>
    <row r="6330">
      <c r="A6330" t="n">
        <v>14150427</v>
      </c>
      <c r="B6330" t="n">
        <v>49873</v>
      </c>
      <c r="C6330" t="inlineStr">
        <is>
          <t>1415/04/27</t>
        </is>
      </c>
    </row>
    <row r="6331">
      <c r="A6331" t="n">
        <v>14150428</v>
      </c>
      <c r="B6331" t="n">
        <v>49874</v>
      </c>
      <c r="C6331" t="inlineStr">
        <is>
          <t>1415/04/28</t>
        </is>
      </c>
    </row>
    <row r="6332">
      <c r="A6332" t="n">
        <v>14150429</v>
      </c>
      <c r="B6332" t="n">
        <v>49875</v>
      </c>
      <c r="C6332" t="inlineStr">
        <is>
          <t>1415/04/29</t>
        </is>
      </c>
    </row>
    <row r="6333">
      <c r="A6333" t="n">
        <v>14150430</v>
      </c>
      <c r="B6333" t="n">
        <v>49876</v>
      </c>
      <c r="C6333" t="inlineStr">
        <is>
          <t>1415/04/30</t>
        </is>
      </c>
    </row>
    <row r="6334">
      <c r="A6334" t="n">
        <v>14150431</v>
      </c>
      <c r="B6334" t="n">
        <v>49877</v>
      </c>
      <c r="C6334" t="inlineStr">
        <is>
          <t>1415/04/31</t>
        </is>
      </c>
    </row>
    <row r="6335">
      <c r="A6335" t="n">
        <v>14150501</v>
      </c>
      <c r="B6335" t="n">
        <v>49878</v>
      </c>
      <c r="C6335" t="inlineStr">
        <is>
          <t>1415/05/01</t>
        </is>
      </c>
    </row>
    <row r="6336">
      <c r="A6336" t="n">
        <v>14150502</v>
      </c>
      <c r="B6336" t="n">
        <v>49879</v>
      </c>
      <c r="C6336" t="inlineStr">
        <is>
          <t>1415/05/02</t>
        </is>
      </c>
    </row>
    <row r="6337">
      <c r="A6337" t="n">
        <v>14150503</v>
      </c>
      <c r="B6337" t="n">
        <v>49880</v>
      </c>
      <c r="C6337" t="inlineStr">
        <is>
          <t>1415/05/03</t>
        </is>
      </c>
    </row>
    <row r="6338">
      <c r="A6338" t="n">
        <v>14150504</v>
      </c>
      <c r="B6338" t="n">
        <v>49881</v>
      </c>
      <c r="C6338" t="inlineStr">
        <is>
          <t>1415/05/04</t>
        </is>
      </c>
    </row>
    <row r="6339">
      <c r="A6339" t="n">
        <v>14150505</v>
      </c>
      <c r="B6339" t="n">
        <v>49882</v>
      </c>
      <c r="C6339" t="inlineStr">
        <is>
          <t>1415/05/05</t>
        </is>
      </c>
    </row>
    <row r="6340">
      <c r="A6340" t="n">
        <v>14150506</v>
      </c>
      <c r="B6340" t="n">
        <v>49883</v>
      </c>
      <c r="C6340" t="inlineStr">
        <is>
          <t>1415/05/06</t>
        </is>
      </c>
    </row>
    <row r="6341">
      <c r="A6341" t="n">
        <v>14150507</v>
      </c>
      <c r="B6341" t="n">
        <v>49884</v>
      </c>
      <c r="C6341" t="inlineStr">
        <is>
          <t>1415/05/07</t>
        </is>
      </c>
    </row>
    <row r="6342">
      <c r="A6342" t="n">
        <v>14150508</v>
      </c>
      <c r="B6342" t="n">
        <v>49885</v>
      </c>
      <c r="C6342" t="inlineStr">
        <is>
          <t>1415/05/08</t>
        </is>
      </c>
    </row>
    <row r="6343">
      <c r="A6343" t="n">
        <v>14150509</v>
      </c>
      <c r="B6343" t="n">
        <v>49886</v>
      </c>
      <c r="C6343" t="inlineStr">
        <is>
          <t>1415/05/09</t>
        </is>
      </c>
    </row>
    <row r="6344">
      <c r="A6344" t="n">
        <v>14150510</v>
      </c>
      <c r="B6344" t="n">
        <v>49887</v>
      </c>
      <c r="C6344" t="inlineStr">
        <is>
          <t>1415/05/10</t>
        </is>
      </c>
    </row>
    <row r="6345">
      <c r="A6345" t="n">
        <v>14150511</v>
      </c>
      <c r="B6345" t="n">
        <v>49888</v>
      </c>
      <c r="C6345" t="inlineStr">
        <is>
          <t>1415/05/11</t>
        </is>
      </c>
    </row>
    <row r="6346">
      <c r="A6346" t="n">
        <v>14150512</v>
      </c>
      <c r="B6346" t="n">
        <v>49889</v>
      </c>
      <c r="C6346" t="inlineStr">
        <is>
          <t>1415/05/12</t>
        </is>
      </c>
    </row>
    <row r="6347">
      <c r="A6347" t="n">
        <v>14150513</v>
      </c>
      <c r="B6347" t="n">
        <v>49890</v>
      </c>
      <c r="C6347" t="inlineStr">
        <is>
          <t>1415/05/13</t>
        </is>
      </c>
    </row>
    <row r="6348">
      <c r="A6348" t="n">
        <v>14150514</v>
      </c>
      <c r="B6348" t="n">
        <v>49891</v>
      </c>
      <c r="C6348" t="inlineStr">
        <is>
          <t>1415/05/14</t>
        </is>
      </c>
    </row>
    <row r="6349">
      <c r="A6349" t="n">
        <v>14150515</v>
      </c>
      <c r="B6349" t="n">
        <v>49892</v>
      </c>
      <c r="C6349" t="inlineStr">
        <is>
          <t>1415/05/15</t>
        </is>
      </c>
    </row>
    <row r="6350">
      <c r="A6350" t="n">
        <v>14150516</v>
      </c>
      <c r="B6350" t="n">
        <v>49893</v>
      </c>
      <c r="C6350" t="inlineStr">
        <is>
          <t>1415/05/16</t>
        </is>
      </c>
    </row>
    <row r="6351">
      <c r="A6351" t="n">
        <v>14150517</v>
      </c>
      <c r="B6351" t="n">
        <v>49894</v>
      </c>
      <c r="C6351" t="inlineStr">
        <is>
          <t>1415/05/17</t>
        </is>
      </c>
    </row>
    <row r="6352">
      <c r="A6352" t="n">
        <v>14150518</v>
      </c>
      <c r="B6352" t="n">
        <v>49895</v>
      </c>
      <c r="C6352" t="inlineStr">
        <is>
          <t>1415/05/18</t>
        </is>
      </c>
    </row>
    <row r="6353">
      <c r="A6353" t="n">
        <v>14150519</v>
      </c>
      <c r="B6353" t="n">
        <v>49896</v>
      </c>
      <c r="C6353" t="inlineStr">
        <is>
          <t>1415/05/19</t>
        </is>
      </c>
    </row>
    <row r="6354">
      <c r="A6354" t="n">
        <v>14150520</v>
      </c>
      <c r="B6354" t="n">
        <v>49897</v>
      </c>
      <c r="C6354" t="inlineStr">
        <is>
          <t>1415/05/20</t>
        </is>
      </c>
    </row>
    <row r="6355">
      <c r="A6355" t="n">
        <v>14150521</v>
      </c>
      <c r="B6355" t="n">
        <v>49898</v>
      </c>
      <c r="C6355" t="inlineStr">
        <is>
          <t>1415/05/21</t>
        </is>
      </c>
    </row>
    <row r="6356">
      <c r="A6356" t="n">
        <v>14150522</v>
      </c>
      <c r="B6356" t="n">
        <v>49899</v>
      </c>
      <c r="C6356" t="inlineStr">
        <is>
          <t>1415/05/22</t>
        </is>
      </c>
    </row>
    <row r="6357">
      <c r="A6357" t="n">
        <v>14150523</v>
      </c>
      <c r="B6357" t="n">
        <v>49900</v>
      </c>
      <c r="C6357" t="inlineStr">
        <is>
          <t>1415/05/23</t>
        </is>
      </c>
    </row>
    <row r="6358">
      <c r="A6358" t="n">
        <v>14150524</v>
      </c>
      <c r="B6358" t="n">
        <v>49901</v>
      </c>
      <c r="C6358" t="inlineStr">
        <is>
          <t>1415/05/24</t>
        </is>
      </c>
    </row>
    <row r="6359">
      <c r="A6359" t="n">
        <v>14150525</v>
      </c>
      <c r="B6359" t="n">
        <v>49902</v>
      </c>
      <c r="C6359" t="inlineStr">
        <is>
          <t>1415/05/25</t>
        </is>
      </c>
    </row>
    <row r="6360">
      <c r="A6360" t="n">
        <v>14150526</v>
      </c>
      <c r="B6360" t="n">
        <v>49903</v>
      </c>
      <c r="C6360" t="inlineStr">
        <is>
          <t>1415/05/26</t>
        </is>
      </c>
    </row>
    <row r="6361">
      <c r="A6361" t="n">
        <v>14150527</v>
      </c>
      <c r="B6361" t="n">
        <v>49904</v>
      </c>
      <c r="C6361" t="inlineStr">
        <is>
          <t>1415/05/27</t>
        </is>
      </c>
    </row>
    <row r="6362">
      <c r="A6362" t="n">
        <v>14150528</v>
      </c>
      <c r="B6362" t="n">
        <v>49905</v>
      </c>
      <c r="C6362" t="inlineStr">
        <is>
          <t>1415/05/28</t>
        </is>
      </c>
    </row>
    <row r="6363">
      <c r="A6363" t="n">
        <v>14150529</v>
      </c>
      <c r="B6363" t="n">
        <v>49906</v>
      </c>
      <c r="C6363" t="inlineStr">
        <is>
          <t>1415/05/29</t>
        </is>
      </c>
    </row>
    <row r="6364">
      <c r="A6364" t="n">
        <v>14150530</v>
      </c>
      <c r="B6364" t="n">
        <v>49907</v>
      </c>
      <c r="C6364" t="inlineStr">
        <is>
          <t>1415/05/30</t>
        </is>
      </c>
    </row>
    <row r="6365">
      <c r="A6365" t="n">
        <v>14150531</v>
      </c>
      <c r="B6365" t="n">
        <v>49908</v>
      </c>
      <c r="C6365" t="inlineStr">
        <is>
          <t>1415/05/31</t>
        </is>
      </c>
    </row>
    <row r="6366">
      <c r="A6366" t="n">
        <v>14150601</v>
      </c>
      <c r="B6366" t="n">
        <v>49909</v>
      </c>
      <c r="C6366" t="inlineStr">
        <is>
          <t>1415/06/01</t>
        </is>
      </c>
    </row>
    <row r="6367">
      <c r="A6367" t="n">
        <v>14150602</v>
      </c>
      <c r="B6367" t="n">
        <v>49910</v>
      </c>
      <c r="C6367" t="inlineStr">
        <is>
          <t>1415/06/02</t>
        </is>
      </c>
    </row>
    <row r="6368">
      <c r="A6368" t="n">
        <v>14150603</v>
      </c>
      <c r="B6368" t="n">
        <v>49911</v>
      </c>
      <c r="C6368" t="inlineStr">
        <is>
          <t>1415/06/03</t>
        </is>
      </c>
    </row>
    <row r="6369">
      <c r="A6369" t="n">
        <v>14150604</v>
      </c>
      <c r="B6369" t="n">
        <v>49912</v>
      </c>
      <c r="C6369" t="inlineStr">
        <is>
          <t>1415/06/04</t>
        </is>
      </c>
    </row>
    <row r="6370">
      <c r="A6370" t="n">
        <v>14150605</v>
      </c>
      <c r="B6370" t="n">
        <v>49913</v>
      </c>
      <c r="C6370" t="inlineStr">
        <is>
          <t>1415/06/05</t>
        </is>
      </c>
    </row>
    <row r="6371">
      <c r="A6371" t="n">
        <v>14150606</v>
      </c>
      <c r="B6371" t="n">
        <v>49914</v>
      </c>
      <c r="C6371" t="inlineStr">
        <is>
          <t>1415/06/06</t>
        </is>
      </c>
    </row>
    <row r="6372">
      <c r="A6372" t="n">
        <v>14150607</v>
      </c>
      <c r="B6372" t="n">
        <v>49915</v>
      </c>
      <c r="C6372" t="inlineStr">
        <is>
          <t>1415/06/07</t>
        </is>
      </c>
    </row>
    <row r="6373">
      <c r="A6373" t="n">
        <v>14150608</v>
      </c>
      <c r="B6373" t="n">
        <v>49916</v>
      </c>
      <c r="C6373" t="inlineStr">
        <is>
          <t>1415/06/08</t>
        </is>
      </c>
    </row>
    <row r="6374">
      <c r="A6374" t="n">
        <v>14150609</v>
      </c>
      <c r="B6374" t="n">
        <v>49917</v>
      </c>
      <c r="C6374" t="inlineStr">
        <is>
          <t>1415/06/09</t>
        </is>
      </c>
    </row>
    <row r="6375">
      <c r="A6375" t="n">
        <v>14150610</v>
      </c>
      <c r="B6375" t="n">
        <v>49918</v>
      </c>
      <c r="C6375" t="inlineStr">
        <is>
          <t>1415/06/10</t>
        </is>
      </c>
    </row>
    <row r="6376">
      <c r="A6376" t="n">
        <v>14150611</v>
      </c>
      <c r="B6376" t="n">
        <v>49919</v>
      </c>
      <c r="C6376" t="inlineStr">
        <is>
          <t>1415/06/11</t>
        </is>
      </c>
    </row>
    <row r="6377">
      <c r="A6377" t="n">
        <v>14150612</v>
      </c>
      <c r="B6377" t="n">
        <v>49920</v>
      </c>
      <c r="C6377" t="inlineStr">
        <is>
          <t>1415/06/12</t>
        </is>
      </c>
    </row>
    <row r="6378">
      <c r="A6378" t="n">
        <v>14150613</v>
      </c>
      <c r="B6378" t="n">
        <v>49921</v>
      </c>
      <c r="C6378" t="inlineStr">
        <is>
          <t>1415/06/13</t>
        </is>
      </c>
    </row>
    <row r="6379">
      <c r="A6379" t="n">
        <v>14150614</v>
      </c>
      <c r="B6379" t="n">
        <v>49922</v>
      </c>
      <c r="C6379" t="inlineStr">
        <is>
          <t>1415/06/14</t>
        </is>
      </c>
    </row>
    <row r="6380">
      <c r="A6380" t="n">
        <v>14150615</v>
      </c>
      <c r="B6380" t="n">
        <v>49923</v>
      </c>
      <c r="C6380" t="inlineStr">
        <is>
          <t>1415/06/15</t>
        </is>
      </c>
    </row>
    <row r="6381">
      <c r="A6381" t="n">
        <v>14150616</v>
      </c>
      <c r="B6381" t="n">
        <v>49924</v>
      </c>
      <c r="C6381" t="inlineStr">
        <is>
          <t>1415/06/16</t>
        </is>
      </c>
    </row>
    <row r="6382">
      <c r="A6382" t="n">
        <v>14150617</v>
      </c>
      <c r="B6382" t="n">
        <v>49925</v>
      </c>
      <c r="C6382" t="inlineStr">
        <is>
          <t>1415/06/17</t>
        </is>
      </c>
    </row>
    <row r="6383">
      <c r="A6383" t="n">
        <v>14150618</v>
      </c>
      <c r="B6383" t="n">
        <v>49926</v>
      </c>
      <c r="C6383" t="inlineStr">
        <is>
          <t>1415/06/18</t>
        </is>
      </c>
    </row>
    <row r="6384">
      <c r="A6384" t="n">
        <v>14150619</v>
      </c>
      <c r="B6384" t="n">
        <v>49927</v>
      </c>
      <c r="C6384" t="inlineStr">
        <is>
          <t>1415/06/19</t>
        </is>
      </c>
    </row>
    <row r="6385">
      <c r="A6385" t="n">
        <v>14150620</v>
      </c>
      <c r="B6385" t="n">
        <v>49928</v>
      </c>
      <c r="C6385" t="inlineStr">
        <is>
          <t>1415/06/20</t>
        </is>
      </c>
    </row>
    <row r="6386">
      <c r="A6386" t="n">
        <v>14150621</v>
      </c>
      <c r="B6386" t="n">
        <v>49929</v>
      </c>
      <c r="C6386" t="inlineStr">
        <is>
          <t>1415/06/21</t>
        </is>
      </c>
    </row>
    <row r="6387">
      <c r="A6387" t="n">
        <v>14150622</v>
      </c>
      <c r="B6387" t="n">
        <v>49930</v>
      </c>
      <c r="C6387" t="inlineStr">
        <is>
          <t>1415/06/22</t>
        </is>
      </c>
    </row>
    <row r="6388">
      <c r="A6388" t="n">
        <v>14150623</v>
      </c>
      <c r="B6388" t="n">
        <v>49931</v>
      </c>
      <c r="C6388" t="inlineStr">
        <is>
          <t>1415/06/23</t>
        </is>
      </c>
    </row>
    <row r="6389">
      <c r="A6389" t="n">
        <v>14150624</v>
      </c>
      <c r="B6389" t="n">
        <v>49932</v>
      </c>
      <c r="C6389" t="inlineStr">
        <is>
          <t>1415/06/24</t>
        </is>
      </c>
    </row>
    <row r="6390">
      <c r="A6390" t="n">
        <v>14150625</v>
      </c>
      <c r="B6390" t="n">
        <v>49933</v>
      </c>
      <c r="C6390" t="inlineStr">
        <is>
          <t>1415/06/25</t>
        </is>
      </c>
    </row>
    <row r="6391">
      <c r="A6391" t="n">
        <v>14150626</v>
      </c>
      <c r="B6391" t="n">
        <v>49934</v>
      </c>
      <c r="C6391" t="inlineStr">
        <is>
          <t>1415/06/26</t>
        </is>
      </c>
    </row>
    <row r="6392">
      <c r="A6392" t="n">
        <v>14150627</v>
      </c>
      <c r="B6392" t="n">
        <v>49935</v>
      </c>
      <c r="C6392" t="inlineStr">
        <is>
          <t>1415/06/27</t>
        </is>
      </c>
    </row>
    <row r="6393">
      <c r="A6393" t="n">
        <v>14150628</v>
      </c>
      <c r="B6393" t="n">
        <v>49936</v>
      </c>
      <c r="C6393" t="inlineStr">
        <is>
          <t>1415/06/28</t>
        </is>
      </c>
    </row>
    <row r="6394">
      <c r="A6394" t="n">
        <v>14150629</v>
      </c>
      <c r="B6394" t="n">
        <v>49937</v>
      </c>
      <c r="C6394" t="inlineStr">
        <is>
          <t>1415/06/29</t>
        </is>
      </c>
    </row>
    <row r="6395">
      <c r="A6395" t="n">
        <v>14150630</v>
      </c>
      <c r="B6395" t="n">
        <v>49938</v>
      </c>
      <c r="C6395" t="inlineStr">
        <is>
          <t>1415/06/30</t>
        </is>
      </c>
    </row>
    <row r="6396">
      <c r="A6396" t="n">
        <v>14150631</v>
      </c>
      <c r="B6396" t="n">
        <v>49939</v>
      </c>
      <c r="C6396" t="inlineStr">
        <is>
          <t>1415/06/31</t>
        </is>
      </c>
    </row>
    <row r="6397">
      <c r="A6397" t="n">
        <v>14150701</v>
      </c>
      <c r="B6397" t="n">
        <v>49940</v>
      </c>
      <c r="C6397" t="inlineStr">
        <is>
          <t>1415/07/01</t>
        </is>
      </c>
    </row>
    <row r="6398">
      <c r="A6398" t="n">
        <v>14150702</v>
      </c>
      <c r="B6398" t="n">
        <v>49941</v>
      </c>
      <c r="C6398" t="inlineStr">
        <is>
          <t>1415/07/02</t>
        </is>
      </c>
    </row>
    <row r="6399">
      <c r="A6399" t="n">
        <v>14150703</v>
      </c>
      <c r="B6399" t="n">
        <v>49942</v>
      </c>
      <c r="C6399" t="inlineStr">
        <is>
          <t>1415/07/03</t>
        </is>
      </c>
    </row>
    <row r="6400">
      <c r="A6400" t="n">
        <v>14150704</v>
      </c>
      <c r="B6400" t="n">
        <v>49943</v>
      </c>
      <c r="C6400" t="inlineStr">
        <is>
          <t>1415/07/04</t>
        </is>
      </c>
    </row>
    <row r="6401">
      <c r="A6401" t="n">
        <v>14150705</v>
      </c>
      <c r="B6401" t="n">
        <v>49944</v>
      </c>
      <c r="C6401" t="inlineStr">
        <is>
          <t>1415/07/05</t>
        </is>
      </c>
    </row>
    <row r="6402">
      <c r="A6402" t="n">
        <v>14150706</v>
      </c>
      <c r="B6402" t="n">
        <v>49945</v>
      </c>
      <c r="C6402" t="inlineStr">
        <is>
          <t>1415/07/06</t>
        </is>
      </c>
    </row>
    <row r="6403">
      <c r="A6403" t="n">
        <v>14150707</v>
      </c>
      <c r="B6403" t="n">
        <v>49946</v>
      </c>
      <c r="C6403" t="inlineStr">
        <is>
          <t>1415/07/07</t>
        </is>
      </c>
    </row>
    <row r="6404">
      <c r="A6404" t="n">
        <v>14150708</v>
      </c>
      <c r="B6404" t="n">
        <v>49947</v>
      </c>
      <c r="C6404" t="inlineStr">
        <is>
          <t>1415/07/08</t>
        </is>
      </c>
    </row>
    <row r="6405">
      <c r="A6405" t="n">
        <v>14150709</v>
      </c>
      <c r="B6405" t="n">
        <v>49948</v>
      </c>
      <c r="C6405" t="inlineStr">
        <is>
          <t>1415/07/09</t>
        </is>
      </c>
    </row>
    <row r="6406">
      <c r="A6406" t="n">
        <v>14150710</v>
      </c>
      <c r="B6406" t="n">
        <v>49949</v>
      </c>
      <c r="C6406" t="inlineStr">
        <is>
          <t>1415/07/10</t>
        </is>
      </c>
    </row>
    <row r="6407">
      <c r="A6407" t="n">
        <v>14150711</v>
      </c>
      <c r="B6407" t="n">
        <v>49950</v>
      </c>
      <c r="C6407" t="inlineStr">
        <is>
          <t>1415/07/11</t>
        </is>
      </c>
    </row>
    <row r="6408">
      <c r="A6408" t="n">
        <v>14150712</v>
      </c>
      <c r="B6408" t="n">
        <v>49951</v>
      </c>
      <c r="C6408" t="inlineStr">
        <is>
          <t>1415/07/12</t>
        </is>
      </c>
    </row>
    <row r="6409">
      <c r="A6409" t="n">
        <v>14150713</v>
      </c>
      <c r="B6409" t="n">
        <v>49952</v>
      </c>
      <c r="C6409" t="inlineStr">
        <is>
          <t>1415/07/13</t>
        </is>
      </c>
    </row>
    <row r="6410">
      <c r="A6410" t="n">
        <v>14150714</v>
      </c>
      <c r="B6410" t="n">
        <v>49953</v>
      </c>
      <c r="C6410" t="inlineStr">
        <is>
          <t>1415/07/14</t>
        </is>
      </c>
    </row>
    <row r="6411">
      <c r="A6411" t="n">
        <v>14150715</v>
      </c>
      <c r="B6411" t="n">
        <v>49954</v>
      </c>
      <c r="C6411" t="inlineStr">
        <is>
          <t>1415/07/15</t>
        </is>
      </c>
    </row>
    <row r="6412">
      <c r="A6412" t="n">
        <v>14150716</v>
      </c>
      <c r="B6412" t="n">
        <v>49955</v>
      </c>
      <c r="C6412" t="inlineStr">
        <is>
          <t>1415/07/16</t>
        </is>
      </c>
    </row>
    <row r="6413">
      <c r="A6413" t="n">
        <v>14150717</v>
      </c>
      <c r="B6413" t="n">
        <v>49956</v>
      </c>
      <c r="C6413" t="inlineStr">
        <is>
          <t>1415/07/17</t>
        </is>
      </c>
    </row>
    <row r="6414">
      <c r="A6414" t="n">
        <v>14150718</v>
      </c>
      <c r="B6414" t="n">
        <v>49957</v>
      </c>
      <c r="C6414" t="inlineStr">
        <is>
          <t>1415/07/18</t>
        </is>
      </c>
    </row>
    <row r="6415">
      <c r="A6415" t="n">
        <v>14150719</v>
      </c>
      <c r="B6415" t="n">
        <v>49958</v>
      </c>
      <c r="C6415" t="inlineStr">
        <is>
          <t>1415/07/19</t>
        </is>
      </c>
    </row>
    <row r="6416">
      <c r="A6416" t="n">
        <v>14150720</v>
      </c>
      <c r="B6416" t="n">
        <v>49959</v>
      </c>
      <c r="C6416" t="inlineStr">
        <is>
          <t>1415/07/20</t>
        </is>
      </c>
    </row>
    <row r="6417">
      <c r="A6417" t="n">
        <v>14150721</v>
      </c>
      <c r="B6417" t="n">
        <v>49960</v>
      </c>
      <c r="C6417" t="inlineStr">
        <is>
          <t>1415/07/21</t>
        </is>
      </c>
    </row>
    <row r="6418">
      <c r="A6418" t="n">
        <v>14150722</v>
      </c>
      <c r="B6418" t="n">
        <v>49961</v>
      </c>
      <c r="C6418" t="inlineStr">
        <is>
          <t>1415/07/22</t>
        </is>
      </c>
    </row>
    <row r="6419">
      <c r="A6419" t="n">
        <v>14150723</v>
      </c>
      <c r="B6419" t="n">
        <v>49962</v>
      </c>
      <c r="C6419" t="inlineStr">
        <is>
          <t>1415/07/23</t>
        </is>
      </c>
    </row>
    <row r="6420">
      <c r="A6420" t="n">
        <v>14150724</v>
      </c>
      <c r="B6420" t="n">
        <v>49963</v>
      </c>
      <c r="C6420" t="inlineStr">
        <is>
          <t>1415/07/24</t>
        </is>
      </c>
    </row>
    <row r="6421">
      <c r="A6421" t="n">
        <v>14150725</v>
      </c>
      <c r="B6421" t="n">
        <v>49964</v>
      </c>
      <c r="C6421" t="inlineStr">
        <is>
          <t>1415/07/25</t>
        </is>
      </c>
    </row>
    <row r="6422">
      <c r="A6422" t="n">
        <v>14150726</v>
      </c>
      <c r="B6422" t="n">
        <v>49965</v>
      </c>
      <c r="C6422" t="inlineStr">
        <is>
          <t>1415/07/26</t>
        </is>
      </c>
    </row>
    <row r="6423">
      <c r="A6423" t="n">
        <v>14150727</v>
      </c>
      <c r="B6423" t="n">
        <v>49966</v>
      </c>
      <c r="C6423" t="inlineStr">
        <is>
          <t>1415/07/27</t>
        </is>
      </c>
    </row>
    <row r="6424">
      <c r="A6424" t="n">
        <v>14150728</v>
      </c>
      <c r="B6424" t="n">
        <v>49967</v>
      </c>
      <c r="C6424" t="inlineStr">
        <is>
          <t>1415/07/28</t>
        </is>
      </c>
    </row>
    <row r="6425">
      <c r="A6425" t="n">
        <v>14150729</v>
      </c>
      <c r="B6425" t="n">
        <v>49968</v>
      </c>
      <c r="C6425" t="inlineStr">
        <is>
          <t>1415/07/29</t>
        </is>
      </c>
    </row>
    <row r="6426">
      <c r="A6426" t="n">
        <v>14150730</v>
      </c>
      <c r="B6426" t="n">
        <v>49969</v>
      </c>
      <c r="C6426" t="inlineStr">
        <is>
          <t>1415/07/30</t>
        </is>
      </c>
    </row>
    <row r="6427">
      <c r="A6427" t="n">
        <v>14150801</v>
      </c>
      <c r="B6427" t="n">
        <v>49970</v>
      </c>
      <c r="C6427" t="inlineStr">
        <is>
          <t>1415/08/01</t>
        </is>
      </c>
    </row>
    <row r="6428">
      <c r="A6428" t="n">
        <v>14150802</v>
      </c>
      <c r="B6428" t="n">
        <v>49971</v>
      </c>
      <c r="C6428" t="inlineStr">
        <is>
          <t>1415/08/02</t>
        </is>
      </c>
    </row>
    <row r="6429">
      <c r="A6429" t="n">
        <v>14150803</v>
      </c>
      <c r="B6429" t="n">
        <v>49972</v>
      </c>
      <c r="C6429" t="inlineStr">
        <is>
          <t>1415/08/03</t>
        </is>
      </c>
    </row>
    <row r="6430">
      <c r="A6430" t="n">
        <v>14150804</v>
      </c>
      <c r="B6430" t="n">
        <v>49973</v>
      </c>
      <c r="C6430" t="inlineStr">
        <is>
          <t>1415/08/04</t>
        </is>
      </c>
    </row>
    <row r="6431">
      <c r="A6431" t="n">
        <v>14150805</v>
      </c>
      <c r="B6431" t="n">
        <v>49974</v>
      </c>
      <c r="C6431" t="inlineStr">
        <is>
          <t>1415/08/05</t>
        </is>
      </c>
    </row>
    <row r="6432">
      <c r="A6432" t="n">
        <v>14150806</v>
      </c>
      <c r="B6432" t="n">
        <v>49975</v>
      </c>
      <c r="C6432" t="inlineStr">
        <is>
          <t>1415/08/06</t>
        </is>
      </c>
    </row>
    <row r="6433">
      <c r="A6433" t="n">
        <v>14150807</v>
      </c>
      <c r="B6433" t="n">
        <v>49976</v>
      </c>
      <c r="C6433" t="inlineStr">
        <is>
          <t>1415/08/07</t>
        </is>
      </c>
    </row>
    <row r="6434">
      <c r="A6434" t="n">
        <v>14150808</v>
      </c>
      <c r="B6434" t="n">
        <v>49977</v>
      </c>
      <c r="C6434" t="inlineStr">
        <is>
          <t>1415/08/08</t>
        </is>
      </c>
    </row>
    <row r="6435">
      <c r="A6435" t="n">
        <v>14150809</v>
      </c>
      <c r="B6435" t="n">
        <v>49978</v>
      </c>
      <c r="C6435" t="inlineStr">
        <is>
          <t>1415/08/09</t>
        </is>
      </c>
    </row>
    <row r="6436">
      <c r="A6436" t="n">
        <v>14150810</v>
      </c>
      <c r="B6436" t="n">
        <v>49979</v>
      </c>
      <c r="C6436" t="inlineStr">
        <is>
          <t>1415/08/10</t>
        </is>
      </c>
    </row>
    <row r="6437">
      <c r="A6437" t="n">
        <v>14150811</v>
      </c>
      <c r="B6437" t="n">
        <v>49980</v>
      </c>
      <c r="C6437" t="inlineStr">
        <is>
          <t>1415/08/11</t>
        </is>
      </c>
    </row>
    <row r="6438">
      <c r="A6438" t="n">
        <v>14150812</v>
      </c>
      <c r="B6438" t="n">
        <v>49981</v>
      </c>
      <c r="C6438" t="inlineStr">
        <is>
          <t>1415/08/12</t>
        </is>
      </c>
    </row>
    <row r="6439">
      <c r="A6439" t="n">
        <v>14150813</v>
      </c>
      <c r="B6439" t="n">
        <v>49982</v>
      </c>
      <c r="C6439" t="inlineStr">
        <is>
          <t>1415/08/13</t>
        </is>
      </c>
    </row>
    <row r="6440">
      <c r="A6440" t="n">
        <v>14150814</v>
      </c>
      <c r="B6440" t="n">
        <v>49983</v>
      </c>
      <c r="C6440" t="inlineStr">
        <is>
          <t>1415/08/14</t>
        </is>
      </c>
    </row>
    <row r="6441">
      <c r="A6441" t="n">
        <v>14150815</v>
      </c>
      <c r="B6441" t="n">
        <v>49984</v>
      </c>
      <c r="C6441" t="inlineStr">
        <is>
          <t>1415/08/15</t>
        </is>
      </c>
    </row>
    <row r="6442">
      <c r="A6442" t="n">
        <v>14150816</v>
      </c>
      <c r="B6442" t="n">
        <v>49985</v>
      </c>
      <c r="C6442" t="inlineStr">
        <is>
          <t>1415/08/16</t>
        </is>
      </c>
    </row>
    <row r="6443">
      <c r="A6443" t="n">
        <v>14150817</v>
      </c>
      <c r="B6443" t="n">
        <v>49986</v>
      </c>
      <c r="C6443" t="inlineStr">
        <is>
          <t>1415/08/17</t>
        </is>
      </c>
    </row>
    <row r="6444">
      <c r="A6444" t="n">
        <v>14150818</v>
      </c>
      <c r="B6444" t="n">
        <v>49987</v>
      </c>
      <c r="C6444" t="inlineStr">
        <is>
          <t>1415/08/18</t>
        </is>
      </c>
    </row>
    <row r="6445">
      <c r="A6445" t="n">
        <v>14150819</v>
      </c>
      <c r="B6445" t="n">
        <v>49988</v>
      </c>
      <c r="C6445" t="inlineStr">
        <is>
          <t>1415/08/19</t>
        </is>
      </c>
    </row>
    <row r="6446">
      <c r="A6446" t="n">
        <v>14150820</v>
      </c>
      <c r="B6446" t="n">
        <v>49989</v>
      </c>
      <c r="C6446" t="inlineStr">
        <is>
          <t>1415/08/20</t>
        </is>
      </c>
    </row>
    <row r="6447">
      <c r="A6447" t="n">
        <v>14150821</v>
      </c>
      <c r="B6447" t="n">
        <v>49990</v>
      </c>
      <c r="C6447" t="inlineStr">
        <is>
          <t>1415/08/21</t>
        </is>
      </c>
    </row>
    <row r="6448">
      <c r="A6448" t="n">
        <v>14150822</v>
      </c>
      <c r="B6448" t="n">
        <v>49991</v>
      </c>
      <c r="C6448" t="inlineStr">
        <is>
          <t>1415/08/22</t>
        </is>
      </c>
    </row>
    <row r="6449">
      <c r="A6449" t="n">
        <v>14150823</v>
      </c>
      <c r="B6449" t="n">
        <v>49992</v>
      </c>
      <c r="C6449" t="inlineStr">
        <is>
          <t>1415/08/23</t>
        </is>
      </c>
    </row>
    <row r="6450">
      <c r="A6450" t="n">
        <v>14150824</v>
      </c>
      <c r="B6450" t="n">
        <v>49993</v>
      </c>
      <c r="C6450" t="inlineStr">
        <is>
          <t>1415/08/24</t>
        </is>
      </c>
    </row>
    <row r="6451">
      <c r="A6451" t="n">
        <v>14150825</v>
      </c>
      <c r="B6451" t="n">
        <v>49994</v>
      </c>
      <c r="C6451" t="inlineStr">
        <is>
          <t>1415/08/25</t>
        </is>
      </c>
    </row>
    <row r="6452">
      <c r="A6452" t="n">
        <v>14150826</v>
      </c>
      <c r="B6452" t="n">
        <v>49995</v>
      </c>
      <c r="C6452" t="inlineStr">
        <is>
          <t>1415/08/26</t>
        </is>
      </c>
    </row>
    <row r="6453">
      <c r="A6453" t="n">
        <v>14150827</v>
      </c>
      <c r="B6453" t="n">
        <v>49996</v>
      </c>
      <c r="C6453" t="inlineStr">
        <is>
          <t>1415/08/27</t>
        </is>
      </c>
    </row>
    <row r="6454">
      <c r="A6454" t="n">
        <v>14150828</v>
      </c>
      <c r="B6454" t="n">
        <v>49997</v>
      </c>
      <c r="C6454" t="inlineStr">
        <is>
          <t>1415/08/28</t>
        </is>
      </c>
    </row>
    <row r="6455">
      <c r="A6455" t="n">
        <v>14150829</v>
      </c>
      <c r="B6455" t="n">
        <v>49998</v>
      </c>
      <c r="C6455" t="inlineStr">
        <is>
          <t>1415/08/29</t>
        </is>
      </c>
    </row>
    <row r="6456">
      <c r="A6456" t="n">
        <v>14150830</v>
      </c>
      <c r="B6456" t="n">
        <v>49999</v>
      </c>
      <c r="C6456" t="inlineStr">
        <is>
          <t>1415/08/30</t>
        </is>
      </c>
    </row>
    <row r="6457">
      <c r="A6457" t="n">
        <v>14150901</v>
      </c>
      <c r="B6457" t="n">
        <v>50000</v>
      </c>
      <c r="C6457" t="inlineStr">
        <is>
          <t>1415/09/01</t>
        </is>
      </c>
    </row>
    <row r="6458">
      <c r="A6458" t="n">
        <v>14150902</v>
      </c>
      <c r="B6458" t="n">
        <v>50001</v>
      </c>
      <c r="C6458" t="inlineStr">
        <is>
          <t>1415/09/02</t>
        </is>
      </c>
    </row>
    <row r="6459">
      <c r="A6459" t="n">
        <v>14150903</v>
      </c>
      <c r="B6459" t="n">
        <v>50002</v>
      </c>
      <c r="C6459" t="inlineStr">
        <is>
          <t>1415/09/03</t>
        </is>
      </c>
    </row>
    <row r="6460">
      <c r="A6460" t="n">
        <v>14150904</v>
      </c>
      <c r="B6460" t="n">
        <v>50003</v>
      </c>
      <c r="C6460" t="inlineStr">
        <is>
          <t>1415/09/04</t>
        </is>
      </c>
    </row>
    <row r="6461">
      <c r="A6461" t="n">
        <v>14150905</v>
      </c>
      <c r="B6461" t="n">
        <v>50004</v>
      </c>
      <c r="C6461" t="inlineStr">
        <is>
          <t>1415/09/05</t>
        </is>
      </c>
    </row>
    <row r="6462">
      <c r="A6462" t="n">
        <v>14150906</v>
      </c>
      <c r="B6462" t="n">
        <v>50005</v>
      </c>
      <c r="C6462" t="inlineStr">
        <is>
          <t>1415/09/06</t>
        </is>
      </c>
    </row>
    <row r="6463">
      <c r="A6463" t="n">
        <v>14150907</v>
      </c>
      <c r="B6463" t="n">
        <v>50006</v>
      </c>
      <c r="C6463" t="inlineStr">
        <is>
          <t>1415/09/07</t>
        </is>
      </c>
    </row>
    <row r="6464">
      <c r="A6464" t="n">
        <v>14150908</v>
      </c>
      <c r="B6464" t="n">
        <v>50007</v>
      </c>
      <c r="C6464" t="inlineStr">
        <is>
          <t>1415/09/08</t>
        </is>
      </c>
    </row>
    <row r="6465">
      <c r="A6465" t="n">
        <v>14150909</v>
      </c>
      <c r="B6465" t="n">
        <v>50008</v>
      </c>
      <c r="C6465" t="inlineStr">
        <is>
          <t>1415/09/09</t>
        </is>
      </c>
    </row>
    <row r="6466">
      <c r="A6466" t="n">
        <v>14150910</v>
      </c>
      <c r="B6466" t="n">
        <v>50009</v>
      </c>
      <c r="C6466" t="inlineStr">
        <is>
          <t>1415/09/10</t>
        </is>
      </c>
    </row>
    <row r="6467">
      <c r="A6467" t="n">
        <v>14150911</v>
      </c>
      <c r="B6467" t="n">
        <v>50010</v>
      </c>
      <c r="C6467" t="inlineStr">
        <is>
          <t>1415/09/11</t>
        </is>
      </c>
    </row>
    <row r="6468">
      <c r="A6468" t="n">
        <v>14150912</v>
      </c>
      <c r="B6468" t="n">
        <v>50011</v>
      </c>
      <c r="C6468" t="inlineStr">
        <is>
          <t>1415/09/12</t>
        </is>
      </c>
    </row>
    <row r="6469">
      <c r="A6469" t="n">
        <v>14150913</v>
      </c>
      <c r="B6469" t="n">
        <v>50012</v>
      </c>
      <c r="C6469" t="inlineStr">
        <is>
          <t>1415/09/13</t>
        </is>
      </c>
    </row>
    <row r="6470">
      <c r="A6470" t="n">
        <v>14150914</v>
      </c>
      <c r="B6470" t="n">
        <v>50013</v>
      </c>
      <c r="C6470" t="inlineStr">
        <is>
          <t>1415/09/14</t>
        </is>
      </c>
    </row>
    <row r="6471">
      <c r="A6471" t="n">
        <v>14150915</v>
      </c>
      <c r="B6471" t="n">
        <v>50014</v>
      </c>
      <c r="C6471" t="inlineStr">
        <is>
          <t>1415/09/15</t>
        </is>
      </c>
    </row>
    <row r="6472">
      <c r="A6472" t="n">
        <v>14150916</v>
      </c>
      <c r="B6472" t="n">
        <v>50015</v>
      </c>
      <c r="C6472" t="inlineStr">
        <is>
          <t>1415/09/16</t>
        </is>
      </c>
    </row>
    <row r="6473">
      <c r="A6473" t="n">
        <v>14150917</v>
      </c>
      <c r="B6473" t="n">
        <v>50016</v>
      </c>
      <c r="C6473" t="inlineStr">
        <is>
          <t>1415/09/17</t>
        </is>
      </c>
    </row>
    <row r="6474">
      <c r="A6474" t="n">
        <v>14150918</v>
      </c>
      <c r="B6474" t="n">
        <v>50017</v>
      </c>
      <c r="C6474" t="inlineStr">
        <is>
          <t>1415/09/18</t>
        </is>
      </c>
    </row>
    <row r="6475">
      <c r="A6475" t="n">
        <v>14150919</v>
      </c>
      <c r="B6475" t="n">
        <v>50018</v>
      </c>
      <c r="C6475" t="inlineStr">
        <is>
          <t>1415/09/19</t>
        </is>
      </c>
    </row>
    <row r="6476">
      <c r="A6476" t="n">
        <v>14150920</v>
      </c>
      <c r="B6476" t="n">
        <v>50019</v>
      </c>
      <c r="C6476" t="inlineStr">
        <is>
          <t>1415/09/20</t>
        </is>
      </c>
    </row>
    <row r="6477">
      <c r="A6477" t="n">
        <v>14150921</v>
      </c>
      <c r="B6477" t="n">
        <v>50020</v>
      </c>
      <c r="C6477" t="inlineStr">
        <is>
          <t>1415/09/21</t>
        </is>
      </c>
    </row>
    <row r="6478">
      <c r="A6478" t="n">
        <v>14150922</v>
      </c>
      <c r="B6478" t="n">
        <v>50021</v>
      </c>
      <c r="C6478" t="inlineStr">
        <is>
          <t>1415/09/22</t>
        </is>
      </c>
    </row>
    <row r="6479">
      <c r="A6479" t="n">
        <v>14150923</v>
      </c>
      <c r="B6479" t="n">
        <v>50022</v>
      </c>
      <c r="C6479" t="inlineStr">
        <is>
          <t>1415/09/23</t>
        </is>
      </c>
    </row>
    <row r="6480">
      <c r="A6480" t="n">
        <v>14150924</v>
      </c>
      <c r="B6480" t="n">
        <v>50023</v>
      </c>
      <c r="C6480" t="inlineStr">
        <is>
          <t>1415/09/24</t>
        </is>
      </c>
    </row>
    <row r="6481">
      <c r="A6481" t="n">
        <v>14150925</v>
      </c>
      <c r="B6481" t="n">
        <v>50024</v>
      </c>
      <c r="C6481" t="inlineStr">
        <is>
          <t>1415/09/25</t>
        </is>
      </c>
    </row>
    <row r="6482">
      <c r="A6482" t="n">
        <v>14150926</v>
      </c>
      <c r="B6482" t="n">
        <v>50025</v>
      </c>
      <c r="C6482" t="inlineStr">
        <is>
          <t>1415/09/26</t>
        </is>
      </c>
    </row>
    <row r="6483">
      <c r="A6483" t="n">
        <v>14150927</v>
      </c>
      <c r="B6483" t="n">
        <v>50026</v>
      </c>
      <c r="C6483" t="inlineStr">
        <is>
          <t>1415/09/27</t>
        </is>
      </c>
    </row>
    <row r="6484">
      <c r="A6484" t="n">
        <v>14150928</v>
      </c>
      <c r="B6484" t="n">
        <v>50027</v>
      </c>
      <c r="C6484" t="inlineStr">
        <is>
          <t>1415/09/28</t>
        </is>
      </c>
    </row>
    <row r="6485">
      <c r="A6485" t="n">
        <v>14150929</v>
      </c>
      <c r="B6485" t="n">
        <v>50028</v>
      </c>
      <c r="C6485" t="inlineStr">
        <is>
          <t>1415/09/29</t>
        </is>
      </c>
    </row>
    <row r="6486">
      <c r="A6486" t="n">
        <v>14150930</v>
      </c>
      <c r="B6486" t="n">
        <v>50029</v>
      </c>
      <c r="C6486" t="inlineStr">
        <is>
          <t>1415/09/30</t>
        </is>
      </c>
    </row>
    <row r="6487">
      <c r="A6487" t="n">
        <v>14151001</v>
      </c>
      <c r="B6487" t="n">
        <v>50030</v>
      </c>
      <c r="C6487" t="inlineStr">
        <is>
          <t>1415/10/01</t>
        </is>
      </c>
    </row>
    <row r="6488">
      <c r="A6488" t="n">
        <v>14151002</v>
      </c>
      <c r="B6488" t="n">
        <v>50031</v>
      </c>
      <c r="C6488" t="inlineStr">
        <is>
          <t>1415/10/02</t>
        </is>
      </c>
    </row>
    <row r="6489">
      <c r="A6489" t="n">
        <v>14151003</v>
      </c>
      <c r="B6489" t="n">
        <v>50032</v>
      </c>
      <c r="C6489" t="inlineStr">
        <is>
          <t>1415/10/03</t>
        </is>
      </c>
    </row>
    <row r="6490">
      <c r="A6490" t="n">
        <v>14151004</v>
      </c>
      <c r="B6490" t="n">
        <v>50033</v>
      </c>
      <c r="C6490" t="inlineStr">
        <is>
          <t>1415/10/04</t>
        </is>
      </c>
    </row>
    <row r="6491">
      <c r="A6491" t="n">
        <v>14151005</v>
      </c>
      <c r="B6491" t="n">
        <v>50034</v>
      </c>
      <c r="C6491" t="inlineStr">
        <is>
          <t>1415/10/05</t>
        </is>
      </c>
    </row>
    <row r="6492">
      <c r="A6492" t="n">
        <v>14151006</v>
      </c>
      <c r="B6492" t="n">
        <v>50035</v>
      </c>
      <c r="C6492" t="inlineStr">
        <is>
          <t>1415/10/06</t>
        </is>
      </c>
    </row>
    <row r="6493">
      <c r="A6493" t="n">
        <v>14151007</v>
      </c>
      <c r="B6493" t="n">
        <v>50036</v>
      </c>
      <c r="C6493" t="inlineStr">
        <is>
          <t>1415/10/07</t>
        </is>
      </c>
    </row>
    <row r="6494">
      <c r="A6494" t="n">
        <v>14151008</v>
      </c>
      <c r="B6494" t="n">
        <v>50037</v>
      </c>
      <c r="C6494" t="inlineStr">
        <is>
          <t>1415/10/08</t>
        </is>
      </c>
    </row>
    <row r="6495">
      <c r="A6495" t="n">
        <v>14151009</v>
      </c>
      <c r="B6495" t="n">
        <v>50038</v>
      </c>
      <c r="C6495" t="inlineStr">
        <is>
          <t>1415/10/09</t>
        </is>
      </c>
    </row>
    <row r="6496">
      <c r="A6496" t="n">
        <v>14151010</v>
      </c>
      <c r="B6496" t="n">
        <v>50039</v>
      </c>
      <c r="C6496" t="inlineStr">
        <is>
          <t>1415/10/10</t>
        </is>
      </c>
    </row>
    <row r="6497">
      <c r="A6497" t="n">
        <v>14151011</v>
      </c>
      <c r="B6497" t="n">
        <v>50040</v>
      </c>
      <c r="C6497" t="inlineStr">
        <is>
          <t>1415/10/11</t>
        </is>
      </c>
    </row>
    <row r="6498">
      <c r="A6498" t="n">
        <v>14151012</v>
      </c>
      <c r="B6498" t="n">
        <v>50041</v>
      </c>
      <c r="C6498" t="inlineStr">
        <is>
          <t>1415/10/12</t>
        </is>
      </c>
    </row>
    <row r="6499">
      <c r="A6499" t="n">
        <v>14151013</v>
      </c>
      <c r="B6499" t="n">
        <v>50042</v>
      </c>
      <c r="C6499" t="inlineStr">
        <is>
          <t>1415/10/13</t>
        </is>
      </c>
    </row>
    <row r="6500">
      <c r="A6500" t="n">
        <v>14151014</v>
      </c>
      <c r="B6500" t="n">
        <v>50043</v>
      </c>
      <c r="C6500" t="inlineStr">
        <is>
          <t>1415/10/14</t>
        </is>
      </c>
    </row>
    <row r="6501">
      <c r="A6501" t="n">
        <v>14151015</v>
      </c>
      <c r="B6501" t="n">
        <v>50044</v>
      </c>
      <c r="C6501" t="inlineStr">
        <is>
          <t>1415/10/15</t>
        </is>
      </c>
    </row>
    <row r="6502">
      <c r="A6502" t="n">
        <v>14151016</v>
      </c>
      <c r="B6502" t="n">
        <v>50045</v>
      </c>
      <c r="C6502" t="inlineStr">
        <is>
          <t>1415/10/16</t>
        </is>
      </c>
    </row>
    <row r="6503">
      <c r="A6503" t="n">
        <v>14151017</v>
      </c>
      <c r="B6503" t="n">
        <v>50046</v>
      </c>
      <c r="C6503" t="inlineStr">
        <is>
          <t>1415/10/17</t>
        </is>
      </c>
    </row>
    <row r="6504">
      <c r="A6504" t="n">
        <v>14151018</v>
      </c>
      <c r="B6504" t="n">
        <v>50047</v>
      </c>
      <c r="C6504" t="inlineStr">
        <is>
          <t>1415/10/18</t>
        </is>
      </c>
    </row>
    <row r="6505">
      <c r="A6505" t="n">
        <v>14151019</v>
      </c>
      <c r="B6505" t="n">
        <v>50048</v>
      </c>
      <c r="C6505" t="inlineStr">
        <is>
          <t>1415/10/19</t>
        </is>
      </c>
    </row>
    <row r="6506">
      <c r="A6506" t="n">
        <v>14151020</v>
      </c>
      <c r="B6506" t="n">
        <v>50049</v>
      </c>
      <c r="C6506" t="inlineStr">
        <is>
          <t>1415/10/20</t>
        </is>
      </c>
    </row>
    <row r="6507">
      <c r="A6507" t="n">
        <v>14151021</v>
      </c>
      <c r="B6507" t="n">
        <v>50050</v>
      </c>
      <c r="C6507" t="inlineStr">
        <is>
          <t>1415/10/21</t>
        </is>
      </c>
    </row>
    <row r="6508">
      <c r="A6508" t="n">
        <v>14151022</v>
      </c>
      <c r="B6508" t="n">
        <v>50051</v>
      </c>
      <c r="C6508" t="inlineStr">
        <is>
          <t>1415/10/22</t>
        </is>
      </c>
    </row>
    <row r="6509">
      <c r="A6509" t="n">
        <v>14151023</v>
      </c>
      <c r="B6509" t="n">
        <v>50052</v>
      </c>
      <c r="C6509" t="inlineStr">
        <is>
          <t>1415/10/23</t>
        </is>
      </c>
    </row>
    <row r="6510">
      <c r="A6510" t="n">
        <v>14151024</v>
      </c>
      <c r="B6510" t="n">
        <v>50053</v>
      </c>
      <c r="C6510" t="inlineStr">
        <is>
          <t>1415/10/24</t>
        </is>
      </c>
    </row>
    <row r="6511">
      <c r="A6511" t="n">
        <v>14151025</v>
      </c>
      <c r="B6511" t="n">
        <v>50054</v>
      </c>
      <c r="C6511" t="inlineStr">
        <is>
          <t>1415/10/25</t>
        </is>
      </c>
    </row>
    <row r="6512">
      <c r="A6512" t="n">
        <v>14151026</v>
      </c>
      <c r="B6512" t="n">
        <v>50055</v>
      </c>
      <c r="C6512" t="inlineStr">
        <is>
          <t>1415/10/26</t>
        </is>
      </c>
    </row>
    <row r="6513">
      <c r="A6513" t="n">
        <v>14151027</v>
      </c>
      <c r="B6513" t="n">
        <v>50056</v>
      </c>
      <c r="C6513" t="inlineStr">
        <is>
          <t>1415/10/27</t>
        </is>
      </c>
    </row>
    <row r="6514">
      <c r="A6514" t="n">
        <v>14151028</v>
      </c>
      <c r="B6514" t="n">
        <v>50057</v>
      </c>
      <c r="C6514" t="inlineStr">
        <is>
          <t>1415/10/28</t>
        </is>
      </c>
    </row>
    <row r="6515">
      <c r="A6515" t="n">
        <v>14151029</v>
      </c>
      <c r="B6515" t="n">
        <v>50058</v>
      </c>
      <c r="C6515" t="inlineStr">
        <is>
          <t>1415/10/29</t>
        </is>
      </c>
    </row>
    <row r="6516">
      <c r="A6516" t="n">
        <v>14151030</v>
      </c>
      <c r="B6516" t="n">
        <v>50059</v>
      </c>
      <c r="C6516" t="inlineStr">
        <is>
          <t>1415/10/30</t>
        </is>
      </c>
    </row>
    <row r="6517">
      <c r="A6517" t="n">
        <v>14151101</v>
      </c>
      <c r="B6517" t="n">
        <v>50060</v>
      </c>
      <c r="C6517" t="inlineStr">
        <is>
          <t>1415/11/01</t>
        </is>
      </c>
    </row>
    <row r="6518">
      <c r="A6518" t="n">
        <v>14151102</v>
      </c>
      <c r="B6518" t="n">
        <v>50061</v>
      </c>
      <c r="C6518" t="inlineStr">
        <is>
          <t>1415/11/02</t>
        </is>
      </c>
    </row>
    <row r="6519">
      <c r="A6519" t="n">
        <v>14151103</v>
      </c>
      <c r="B6519" t="n">
        <v>50062</v>
      </c>
      <c r="C6519" t="inlineStr">
        <is>
          <t>1415/11/03</t>
        </is>
      </c>
    </row>
    <row r="6520">
      <c r="A6520" t="n">
        <v>14151104</v>
      </c>
      <c r="B6520" t="n">
        <v>50063</v>
      </c>
      <c r="C6520" t="inlineStr">
        <is>
          <t>1415/11/04</t>
        </is>
      </c>
    </row>
    <row r="6521">
      <c r="A6521" t="n">
        <v>14151105</v>
      </c>
      <c r="B6521" t="n">
        <v>50064</v>
      </c>
      <c r="C6521" t="inlineStr">
        <is>
          <t>1415/11/05</t>
        </is>
      </c>
    </row>
    <row r="6522">
      <c r="A6522" t="n">
        <v>14151106</v>
      </c>
      <c r="B6522" t="n">
        <v>50065</v>
      </c>
      <c r="C6522" t="inlineStr">
        <is>
          <t>1415/11/06</t>
        </is>
      </c>
    </row>
    <row r="6523">
      <c r="A6523" t="n">
        <v>14151107</v>
      </c>
      <c r="B6523" t="n">
        <v>50066</v>
      </c>
      <c r="C6523" t="inlineStr">
        <is>
          <t>1415/11/07</t>
        </is>
      </c>
    </row>
    <row r="6524">
      <c r="A6524" t="n">
        <v>14151108</v>
      </c>
      <c r="B6524" t="n">
        <v>50067</v>
      </c>
      <c r="C6524" t="inlineStr">
        <is>
          <t>1415/11/08</t>
        </is>
      </c>
    </row>
    <row r="6525">
      <c r="A6525" t="n">
        <v>14151109</v>
      </c>
      <c r="B6525" t="n">
        <v>50068</v>
      </c>
      <c r="C6525" t="inlineStr">
        <is>
          <t>1415/11/09</t>
        </is>
      </c>
    </row>
    <row r="6526">
      <c r="A6526" t="n">
        <v>14151110</v>
      </c>
      <c r="B6526" t="n">
        <v>50069</v>
      </c>
      <c r="C6526" t="inlineStr">
        <is>
          <t>1415/11/10</t>
        </is>
      </c>
    </row>
    <row r="6527">
      <c r="A6527" t="n">
        <v>14151111</v>
      </c>
      <c r="B6527" t="n">
        <v>50070</v>
      </c>
      <c r="C6527" t="inlineStr">
        <is>
          <t>1415/11/11</t>
        </is>
      </c>
    </row>
    <row r="6528">
      <c r="A6528" t="n">
        <v>14151112</v>
      </c>
      <c r="B6528" t="n">
        <v>50071</v>
      </c>
      <c r="C6528" t="inlineStr">
        <is>
          <t>1415/11/12</t>
        </is>
      </c>
    </row>
    <row r="6529">
      <c r="A6529" t="n">
        <v>14151113</v>
      </c>
      <c r="B6529" t="n">
        <v>50072</v>
      </c>
      <c r="C6529" t="inlineStr">
        <is>
          <t>1415/11/13</t>
        </is>
      </c>
    </row>
    <row r="6530">
      <c r="A6530" t="n">
        <v>14151114</v>
      </c>
      <c r="B6530" t="n">
        <v>50073</v>
      </c>
      <c r="C6530" t="inlineStr">
        <is>
          <t>1415/11/14</t>
        </is>
      </c>
    </row>
    <row r="6531">
      <c r="A6531" t="n">
        <v>14151115</v>
      </c>
      <c r="B6531" t="n">
        <v>50074</v>
      </c>
      <c r="C6531" t="inlineStr">
        <is>
          <t>1415/11/15</t>
        </is>
      </c>
    </row>
    <row r="6532">
      <c r="A6532" t="n">
        <v>14151116</v>
      </c>
      <c r="B6532" t="n">
        <v>50075</v>
      </c>
      <c r="C6532" t="inlineStr">
        <is>
          <t>1415/11/16</t>
        </is>
      </c>
    </row>
    <row r="6533">
      <c r="A6533" t="n">
        <v>14151117</v>
      </c>
      <c r="B6533" t="n">
        <v>50076</v>
      </c>
      <c r="C6533" t="inlineStr">
        <is>
          <t>1415/11/17</t>
        </is>
      </c>
    </row>
    <row r="6534">
      <c r="A6534" t="n">
        <v>14151118</v>
      </c>
      <c r="B6534" t="n">
        <v>50077</v>
      </c>
      <c r="C6534" t="inlineStr">
        <is>
          <t>1415/11/18</t>
        </is>
      </c>
    </row>
    <row r="6535">
      <c r="A6535" t="n">
        <v>14151119</v>
      </c>
      <c r="B6535" t="n">
        <v>50078</v>
      </c>
      <c r="C6535" t="inlineStr">
        <is>
          <t>1415/11/19</t>
        </is>
      </c>
    </row>
    <row r="6536">
      <c r="A6536" t="n">
        <v>14151120</v>
      </c>
      <c r="B6536" t="n">
        <v>50079</v>
      </c>
      <c r="C6536" t="inlineStr">
        <is>
          <t>1415/11/20</t>
        </is>
      </c>
    </row>
    <row r="6537">
      <c r="A6537" t="n">
        <v>14151121</v>
      </c>
      <c r="B6537" t="n">
        <v>50080</v>
      </c>
      <c r="C6537" t="inlineStr">
        <is>
          <t>1415/11/21</t>
        </is>
      </c>
    </row>
    <row r="6538">
      <c r="A6538" t="n">
        <v>14151122</v>
      </c>
      <c r="B6538" t="n">
        <v>50081</v>
      </c>
      <c r="C6538" t="inlineStr">
        <is>
          <t>1415/11/22</t>
        </is>
      </c>
    </row>
    <row r="6539">
      <c r="A6539" t="n">
        <v>14151123</v>
      </c>
      <c r="B6539" t="n">
        <v>50082</v>
      </c>
      <c r="C6539" t="inlineStr">
        <is>
          <t>1415/11/23</t>
        </is>
      </c>
    </row>
    <row r="6540">
      <c r="A6540" t="n">
        <v>14151124</v>
      </c>
      <c r="B6540" t="n">
        <v>50083</v>
      </c>
      <c r="C6540" t="inlineStr">
        <is>
          <t>1415/11/24</t>
        </is>
      </c>
    </row>
    <row r="6541">
      <c r="A6541" t="n">
        <v>14151125</v>
      </c>
      <c r="B6541" t="n">
        <v>50084</v>
      </c>
      <c r="C6541" t="inlineStr">
        <is>
          <t>1415/11/25</t>
        </is>
      </c>
    </row>
    <row r="6542">
      <c r="A6542" t="n">
        <v>14151126</v>
      </c>
      <c r="B6542" t="n">
        <v>50085</v>
      </c>
      <c r="C6542" t="inlineStr">
        <is>
          <t>1415/11/26</t>
        </is>
      </c>
    </row>
    <row r="6543">
      <c r="A6543" t="n">
        <v>14151127</v>
      </c>
      <c r="B6543" t="n">
        <v>50086</v>
      </c>
      <c r="C6543" t="inlineStr">
        <is>
          <t>1415/11/27</t>
        </is>
      </c>
    </row>
    <row r="6544">
      <c r="A6544" t="n">
        <v>14151128</v>
      </c>
      <c r="B6544" t="n">
        <v>50087</v>
      </c>
      <c r="C6544" t="inlineStr">
        <is>
          <t>1415/11/28</t>
        </is>
      </c>
    </row>
    <row r="6545">
      <c r="A6545" t="n">
        <v>14151129</v>
      </c>
      <c r="B6545" t="n">
        <v>50088</v>
      </c>
      <c r="C6545" t="inlineStr">
        <is>
          <t>1415/11/29</t>
        </is>
      </c>
    </row>
    <row r="6546">
      <c r="A6546" t="n">
        <v>14151130</v>
      </c>
      <c r="B6546" t="n">
        <v>50089</v>
      </c>
      <c r="C6546" t="inlineStr">
        <is>
          <t>1415/11/30</t>
        </is>
      </c>
    </row>
    <row r="6547">
      <c r="A6547" t="n">
        <v>14151201</v>
      </c>
      <c r="B6547" t="n">
        <v>50090</v>
      </c>
      <c r="C6547" t="inlineStr">
        <is>
          <t>1415/12/01</t>
        </is>
      </c>
    </row>
    <row r="6548">
      <c r="A6548" t="n">
        <v>14151202</v>
      </c>
      <c r="B6548" t="n">
        <v>50091</v>
      </c>
      <c r="C6548" t="inlineStr">
        <is>
          <t>1415/12/02</t>
        </is>
      </c>
    </row>
    <row r="6549">
      <c r="A6549" t="n">
        <v>14151203</v>
      </c>
      <c r="B6549" t="n">
        <v>50092</v>
      </c>
      <c r="C6549" t="inlineStr">
        <is>
          <t>1415/12/03</t>
        </is>
      </c>
    </row>
    <row r="6550">
      <c r="A6550" t="n">
        <v>14151204</v>
      </c>
      <c r="B6550" t="n">
        <v>50093</v>
      </c>
      <c r="C6550" t="inlineStr">
        <is>
          <t>1415/12/04</t>
        </is>
      </c>
    </row>
    <row r="6551">
      <c r="A6551" t="n">
        <v>14151205</v>
      </c>
      <c r="B6551" t="n">
        <v>50094</v>
      </c>
      <c r="C6551" t="inlineStr">
        <is>
          <t>1415/12/05</t>
        </is>
      </c>
    </row>
    <row r="6552">
      <c r="A6552" t="n">
        <v>14151206</v>
      </c>
      <c r="B6552" t="n">
        <v>50095</v>
      </c>
      <c r="C6552" t="inlineStr">
        <is>
          <t>1415/12/06</t>
        </is>
      </c>
    </row>
    <row r="6553">
      <c r="A6553" t="n">
        <v>14151207</v>
      </c>
      <c r="B6553" t="n">
        <v>50096</v>
      </c>
      <c r="C6553" t="inlineStr">
        <is>
          <t>1415/12/07</t>
        </is>
      </c>
    </row>
    <row r="6554">
      <c r="A6554" t="n">
        <v>14151208</v>
      </c>
      <c r="B6554" t="n">
        <v>50097</v>
      </c>
      <c r="C6554" t="inlineStr">
        <is>
          <t>1415/12/08</t>
        </is>
      </c>
    </row>
    <row r="6555">
      <c r="A6555" t="n">
        <v>14151209</v>
      </c>
      <c r="B6555" t="n">
        <v>50098</v>
      </c>
      <c r="C6555" t="inlineStr">
        <is>
          <t>1415/12/09</t>
        </is>
      </c>
    </row>
    <row r="6556">
      <c r="A6556" t="n">
        <v>14151210</v>
      </c>
      <c r="B6556" t="n">
        <v>50099</v>
      </c>
      <c r="C6556" t="inlineStr">
        <is>
          <t>1415/12/10</t>
        </is>
      </c>
    </row>
    <row r="6557">
      <c r="A6557" t="n">
        <v>14151211</v>
      </c>
      <c r="B6557" t="n">
        <v>50100</v>
      </c>
      <c r="C6557" t="inlineStr">
        <is>
          <t>1415/12/11</t>
        </is>
      </c>
    </row>
    <row r="6558">
      <c r="A6558" t="n">
        <v>14151212</v>
      </c>
      <c r="B6558" t="n">
        <v>50101</v>
      </c>
      <c r="C6558" t="inlineStr">
        <is>
          <t>1415/12/12</t>
        </is>
      </c>
    </row>
    <row r="6559">
      <c r="A6559" t="n">
        <v>14151213</v>
      </c>
      <c r="B6559" t="n">
        <v>50102</v>
      </c>
      <c r="C6559" t="inlineStr">
        <is>
          <t>1415/12/13</t>
        </is>
      </c>
    </row>
    <row r="6560">
      <c r="A6560" t="n">
        <v>14151214</v>
      </c>
      <c r="B6560" t="n">
        <v>50103</v>
      </c>
      <c r="C6560" t="inlineStr">
        <is>
          <t>1415/12/14</t>
        </is>
      </c>
    </row>
    <row r="6561">
      <c r="A6561" t="n">
        <v>14151215</v>
      </c>
      <c r="B6561" t="n">
        <v>50104</v>
      </c>
      <c r="C6561" t="inlineStr">
        <is>
          <t>1415/12/15</t>
        </is>
      </c>
    </row>
    <row r="6562">
      <c r="A6562" t="n">
        <v>14151216</v>
      </c>
      <c r="B6562" t="n">
        <v>50105</v>
      </c>
      <c r="C6562" t="inlineStr">
        <is>
          <t>1415/12/16</t>
        </is>
      </c>
    </row>
    <row r="6563">
      <c r="A6563" t="n">
        <v>14151217</v>
      </c>
      <c r="B6563" t="n">
        <v>50106</v>
      </c>
      <c r="C6563" t="inlineStr">
        <is>
          <t>1415/12/17</t>
        </is>
      </c>
    </row>
    <row r="6564">
      <c r="A6564" t="n">
        <v>14151218</v>
      </c>
      <c r="B6564" t="n">
        <v>50107</v>
      </c>
      <c r="C6564" t="inlineStr">
        <is>
          <t>1415/12/18</t>
        </is>
      </c>
    </row>
    <row r="6565">
      <c r="A6565" t="n">
        <v>14151219</v>
      </c>
      <c r="B6565" t="n">
        <v>50108</v>
      </c>
      <c r="C6565" t="inlineStr">
        <is>
          <t>1415/12/19</t>
        </is>
      </c>
    </row>
    <row r="6566">
      <c r="A6566" t="n">
        <v>14151220</v>
      </c>
      <c r="B6566" t="n">
        <v>50109</v>
      </c>
      <c r="C6566" t="inlineStr">
        <is>
          <t>1415/12/20</t>
        </is>
      </c>
    </row>
    <row r="6567">
      <c r="A6567" t="n">
        <v>14151221</v>
      </c>
      <c r="B6567" t="n">
        <v>50110</v>
      </c>
      <c r="C6567" t="inlineStr">
        <is>
          <t>1415/12/21</t>
        </is>
      </c>
    </row>
    <row r="6568">
      <c r="A6568" t="n">
        <v>14151222</v>
      </c>
      <c r="B6568" t="n">
        <v>50111</v>
      </c>
      <c r="C6568" t="inlineStr">
        <is>
          <t>1415/12/22</t>
        </is>
      </c>
    </row>
    <row r="6569">
      <c r="A6569" t="n">
        <v>14151223</v>
      </c>
      <c r="B6569" t="n">
        <v>50112</v>
      </c>
      <c r="C6569" t="inlineStr">
        <is>
          <t>1415/12/23</t>
        </is>
      </c>
    </row>
    <row r="6570">
      <c r="A6570" t="n">
        <v>14151224</v>
      </c>
      <c r="B6570" t="n">
        <v>50113</v>
      </c>
      <c r="C6570" t="inlineStr">
        <is>
          <t>1415/12/24</t>
        </is>
      </c>
    </row>
    <row r="6571">
      <c r="A6571" t="n">
        <v>14151225</v>
      </c>
      <c r="B6571" t="n">
        <v>50114</v>
      </c>
      <c r="C6571" t="inlineStr">
        <is>
          <t>1415/12/25</t>
        </is>
      </c>
    </row>
    <row r="6572">
      <c r="A6572" t="n">
        <v>14151226</v>
      </c>
      <c r="B6572" t="n">
        <v>50115</v>
      </c>
      <c r="C6572" t="inlineStr">
        <is>
          <t>1415/12/26</t>
        </is>
      </c>
    </row>
    <row r="6573">
      <c r="A6573" t="n">
        <v>14151227</v>
      </c>
      <c r="B6573" t="n">
        <v>50116</v>
      </c>
      <c r="C6573" t="inlineStr">
        <is>
          <t>1415/12/27</t>
        </is>
      </c>
    </row>
    <row r="6574">
      <c r="A6574" t="n">
        <v>14151228</v>
      </c>
      <c r="B6574" t="n">
        <v>50117</v>
      </c>
      <c r="C6574" t="inlineStr">
        <is>
          <t>1415/12/28</t>
        </is>
      </c>
    </row>
    <row r="6575">
      <c r="A6575" t="n">
        <v>14151229</v>
      </c>
      <c r="B6575" t="n">
        <v>50118</v>
      </c>
      <c r="C6575" t="inlineStr">
        <is>
          <t>1415/12/29</t>
        </is>
      </c>
    </row>
    <row r="6576">
      <c r="A6576" t="n">
        <v>14160101</v>
      </c>
      <c r="B6576" t="n">
        <v>50119</v>
      </c>
      <c r="C6576" t="inlineStr">
        <is>
          <t>1416/01/01</t>
        </is>
      </c>
    </row>
    <row r="6577">
      <c r="A6577" t="n">
        <v>14160102</v>
      </c>
      <c r="B6577" t="n">
        <v>50120</v>
      </c>
      <c r="C6577" t="inlineStr">
        <is>
          <t>1416/01/02</t>
        </is>
      </c>
    </row>
    <row r="6578">
      <c r="A6578" t="n">
        <v>14160103</v>
      </c>
      <c r="B6578" t="n">
        <v>50121</v>
      </c>
      <c r="C6578" t="inlineStr">
        <is>
          <t>1416/01/03</t>
        </is>
      </c>
    </row>
    <row r="6579">
      <c r="A6579" t="n">
        <v>14160104</v>
      </c>
      <c r="B6579" t="n">
        <v>50122</v>
      </c>
      <c r="C6579" t="inlineStr">
        <is>
          <t>1416/01/04</t>
        </is>
      </c>
    </row>
    <row r="6580">
      <c r="A6580" t="n">
        <v>14160105</v>
      </c>
      <c r="B6580" t="n">
        <v>50123</v>
      </c>
      <c r="C6580" t="inlineStr">
        <is>
          <t>1416/01/05</t>
        </is>
      </c>
    </row>
    <row r="6581">
      <c r="A6581" t="n">
        <v>14160106</v>
      </c>
      <c r="B6581" t="n">
        <v>50124</v>
      </c>
      <c r="C6581" t="inlineStr">
        <is>
          <t>1416/01/06</t>
        </is>
      </c>
    </row>
    <row r="6582">
      <c r="A6582" t="n">
        <v>14160107</v>
      </c>
      <c r="B6582" t="n">
        <v>50125</v>
      </c>
      <c r="C6582" t="inlineStr">
        <is>
          <t>1416/01/07</t>
        </is>
      </c>
    </row>
    <row r="6583">
      <c r="A6583" t="n">
        <v>14160108</v>
      </c>
      <c r="B6583" t="n">
        <v>50126</v>
      </c>
      <c r="C6583" t="inlineStr">
        <is>
          <t>1416/01/08</t>
        </is>
      </c>
    </row>
    <row r="6584">
      <c r="A6584" t="n">
        <v>14160109</v>
      </c>
      <c r="B6584" t="n">
        <v>50127</v>
      </c>
      <c r="C6584" t="inlineStr">
        <is>
          <t>1416/01/09</t>
        </is>
      </c>
    </row>
    <row r="6585">
      <c r="A6585" t="n">
        <v>14160110</v>
      </c>
      <c r="B6585" t="n">
        <v>50128</v>
      </c>
      <c r="C6585" t="inlineStr">
        <is>
          <t>1416/01/10</t>
        </is>
      </c>
    </row>
    <row r="6586">
      <c r="A6586" t="n">
        <v>14160111</v>
      </c>
      <c r="B6586" t="n">
        <v>50129</v>
      </c>
      <c r="C6586" t="inlineStr">
        <is>
          <t>1416/01/11</t>
        </is>
      </c>
    </row>
    <row r="6587">
      <c r="A6587" t="n">
        <v>14160112</v>
      </c>
      <c r="B6587" t="n">
        <v>50130</v>
      </c>
      <c r="C6587" t="inlineStr">
        <is>
          <t>1416/01/12</t>
        </is>
      </c>
    </row>
    <row r="6588">
      <c r="A6588" t="n">
        <v>14160113</v>
      </c>
      <c r="B6588" t="n">
        <v>50131</v>
      </c>
      <c r="C6588" t="inlineStr">
        <is>
          <t>1416/01/13</t>
        </is>
      </c>
    </row>
    <row r="6589">
      <c r="A6589" t="n">
        <v>14160114</v>
      </c>
      <c r="B6589" t="n">
        <v>50132</v>
      </c>
      <c r="C6589" t="inlineStr">
        <is>
          <t>1416/01/14</t>
        </is>
      </c>
    </row>
    <row r="6590">
      <c r="A6590" t="n">
        <v>14160115</v>
      </c>
      <c r="B6590" t="n">
        <v>50133</v>
      </c>
      <c r="C6590" t="inlineStr">
        <is>
          <t>1416/01/15</t>
        </is>
      </c>
    </row>
    <row r="6591">
      <c r="A6591" t="n">
        <v>14160116</v>
      </c>
      <c r="B6591" t="n">
        <v>50134</v>
      </c>
      <c r="C6591" t="inlineStr">
        <is>
          <t>1416/01/16</t>
        </is>
      </c>
    </row>
    <row r="6592">
      <c r="A6592" t="n">
        <v>14160117</v>
      </c>
      <c r="B6592" t="n">
        <v>50135</v>
      </c>
      <c r="C6592" t="inlineStr">
        <is>
          <t>1416/01/17</t>
        </is>
      </c>
    </row>
    <row r="6593">
      <c r="A6593" t="n">
        <v>14160118</v>
      </c>
      <c r="B6593" t="n">
        <v>50136</v>
      </c>
      <c r="C6593" t="inlineStr">
        <is>
          <t>1416/01/18</t>
        </is>
      </c>
    </row>
    <row r="6594">
      <c r="A6594" t="n">
        <v>14160119</v>
      </c>
      <c r="B6594" t="n">
        <v>50137</v>
      </c>
      <c r="C6594" t="inlineStr">
        <is>
          <t>1416/01/19</t>
        </is>
      </c>
    </row>
    <row r="6595">
      <c r="A6595" t="n">
        <v>14160120</v>
      </c>
      <c r="B6595" t="n">
        <v>50138</v>
      </c>
      <c r="C6595" t="inlineStr">
        <is>
          <t>1416/01/20</t>
        </is>
      </c>
    </row>
    <row r="6596">
      <c r="A6596" t="n">
        <v>14160121</v>
      </c>
      <c r="B6596" t="n">
        <v>50139</v>
      </c>
      <c r="C6596" t="inlineStr">
        <is>
          <t>1416/01/21</t>
        </is>
      </c>
    </row>
    <row r="6597">
      <c r="A6597" t="n">
        <v>14160122</v>
      </c>
      <c r="B6597" t="n">
        <v>50140</v>
      </c>
      <c r="C6597" t="inlineStr">
        <is>
          <t>1416/01/22</t>
        </is>
      </c>
    </row>
    <row r="6598">
      <c r="A6598" t="n">
        <v>14160123</v>
      </c>
      <c r="B6598" t="n">
        <v>50141</v>
      </c>
      <c r="C6598" t="inlineStr">
        <is>
          <t>1416/01/23</t>
        </is>
      </c>
    </row>
    <row r="6599">
      <c r="A6599" t="n">
        <v>14160124</v>
      </c>
      <c r="B6599" t="n">
        <v>50142</v>
      </c>
      <c r="C6599" t="inlineStr">
        <is>
          <t>1416/01/24</t>
        </is>
      </c>
    </row>
    <row r="6600">
      <c r="A6600" t="n">
        <v>14160125</v>
      </c>
      <c r="B6600" t="n">
        <v>50143</v>
      </c>
      <c r="C6600" t="inlineStr">
        <is>
          <t>1416/01/25</t>
        </is>
      </c>
    </row>
    <row r="6601">
      <c r="A6601" t="n">
        <v>14160126</v>
      </c>
      <c r="B6601" t="n">
        <v>50144</v>
      </c>
      <c r="C6601" t="inlineStr">
        <is>
          <t>1416/01/26</t>
        </is>
      </c>
    </row>
    <row r="6602">
      <c r="A6602" t="n">
        <v>14160127</v>
      </c>
      <c r="B6602" t="n">
        <v>50145</v>
      </c>
      <c r="C6602" t="inlineStr">
        <is>
          <t>1416/01/27</t>
        </is>
      </c>
    </row>
    <row r="6603">
      <c r="A6603" t="n">
        <v>14160128</v>
      </c>
      <c r="B6603" t="n">
        <v>50146</v>
      </c>
      <c r="C6603" t="inlineStr">
        <is>
          <t>1416/01/28</t>
        </is>
      </c>
    </row>
    <row r="6604">
      <c r="A6604" t="n">
        <v>14160129</v>
      </c>
      <c r="B6604" t="n">
        <v>50147</v>
      </c>
      <c r="C6604" t="inlineStr">
        <is>
          <t>1416/01/29</t>
        </is>
      </c>
    </row>
    <row r="6605">
      <c r="A6605" t="n">
        <v>14160130</v>
      </c>
      <c r="B6605" t="n">
        <v>50148</v>
      </c>
      <c r="C6605" t="inlineStr">
        <is>
          <t>1416/01/30</t>
        </is>
      </c>
    </row>
    <row r="6606">
      <c r="A6606" t="n">
        <v>14160131</v>
      </c>
      <c r="B6606" t="n">
        <v>50149</v>
      </c>
      <c r="C6606" t="inlineStr">
        <is>
          <t>1416/01/31</t>
        </is>
      </c>
    </row>
    <row r="6607">
      <c r="A6607" t="n">
        <v>14160201</v>
      </c>
      <c r="B6607" t="n">
        <v>50150</v>
      </c>
      <c r="C6607" t="inlineStr">
        <is>
          <t>1416/02/01</t>
        </is>
      </c>
    </row>
    <row r="6608">
      <c r="A6608" t="n">
        <v>14160202</v>
      </c>
      <c r="B6608" t="n">
        <v>50151</v>
      </c>
      <c r="C6608" t="inlineStr">
        <is>
          <t>1416/02/02</t>
        </is>
      </c>
    </row>
    <row r="6609">
      <c r="A6609" t="n">
        <v>14160203</v>
      </c>
      <c r="B6609" t="n">
        <v>50152</v>
      </c>
      <c r="C6609" t="inlineStr">
        <is>
          <t>1416/02/03</t>
        </is>
      </c>
    </row>
    <row r="6610">
      <c r="A6610" t="n">
        <v>14160204</v>
      </c>
      <c r="B6610" t="n">
        <v>50153</v>
      </c>
      <c r="C6610" t="inlineStr">
        <is>
          <t>1416/02/04</t>
        </is>
      </c>
    </row>
    <row r="6611">
      <c r="A6611" t="n">
        <v>14160205</v>
      </c>
      <c r="B6611" t="n">
        <v>50154</v>
      </c>
      <c r="C6611" t="inlineStr">
        <is>
          <t>1416/02/05</t>
        </is>
      </c>
    </row>
    <row r="6612">
      <c r="A6612" t="n">
        <v>14160206</v>
      </c>
      <c r="B6612" t="n">
        <v>50155</v>
      </c>
      <c r="C6612" t="inlineStr">
        <is>
          <t>1416/02/06</t>
        </is>
      </c>
    </row>
    <row r="6613">
      <c r="A6613" t="n">
        <v>14160207</v>
      </c>
      <c r="B6613" t="n">
        <v>50156</v>
      </c>
      <c r="C6613" t="inlineStr">
        <is>
          <t>1416/02/07</t>
        </is>
      </c>
    </row>
    <row r="6614">
      <c r="A6614" t="n">
        <v>14160208</v>
      </c>
      <c r="B6614" t="n">
        <v>50157</v>
      </c>
      <c r="C6614" t="inlineStr">
        <is>
          <t>1416/02/08</t>
        </is>
      </c>
    </row>
    <row r="6615">
      <c r="A6615" t="n">
        <v>14160209</v>
      </c>
      <c r="B6615" t="n">
        <v>50158</v>
      </c>
      <c r="C6615" t="inlineStr">
        <is>
          <t>1416/02/09</t>
        </is>
      </c>
    </row>
    <row r="6616">
      <c r="A6616" t="n">
        <v>14160210</v>
      </c>
      <c r="B6616" t="n">
        <v>50159</v>
      </c>
      <c r="C6616" t="inlineStr">
        <is>
          <t>1416/02/10</t>
        </is>
      </c>
    </row>
    <row r="6617">
      <c r="A6617" t="n">
        <v>14160211</v>
      </c>
      <c r="B6617" t="n">
        <v>50160</v>
      </c>
      <c r="C6617" t="inlineStr">
        <is>
          <t>1416/02/11</t>
        </is>
      </c>
    </row>
    <row r="6618">
      <c r="A6618" t="n">
        <v>14160212</v>
      </c>
      <c r="B6618" t="n">
        <v>50161</v>
      </c>
      <c r="C6618" t="inlineStr">
        <is>
          <t>1416/02/12</t>
        </is>
      </c>
    </row>
    <row r="6619">
      <c r="A6619" t="n">
        <v>14160213</v>
      </c>
      <c r="B6619" t="n">
        <v>50162</v>
      </c>
      <c r="C6619" t="inlineStr">
        <is>
          <t>1416/02/13</t>
        </is>
      </c>
    </row>
    <row r="6620">
      <c r="A6620" t="n">
        <v>14160214</v>
      </c>
      <c r="B6620" t="n">
        <v>50163</v>
      </c>
      <c r="C6620" t="inlineStr">
        <is>
          <t>1416/02/14</t>
        </is>
      </c>
    </row>
    <row r="6621">
      <c r="A6621" t="n">
        <v>14160215</v>
      </c>
      <c r="B6621" t="n">
        <v>50164</v>
      </c>
      <c r="C6621" t="inlineStr">
        <is>
          <t>1416/02/15</t>
        </is>
      </c>
    </row>
    <row r="6622">
      <c r="A6622" t="n">
        <v>14160216</v>
      </c>
      <c r="B6622" t="n">
        <v>50165</v>
      </c>
      <c r="C6622" t="inlineStr">
        <is>
          <t>1416/02/16</t>
        </is>
      </c>
    </row>
    <row r="6623">
      <c r="A6623" t="n">
        <v>14160217</v>
      </c>
      <c r="B6623" t="n">
        <v>50166</v>
      </c>
      <c r="C6623" t="inlineStr">
        <is>
          <t>1416/02/17</t>
        </is>
      </c>
    </row>
    <row r="6624">
      <c r="A6624" t="n">
        <v>14160218</v>
      </c>
      <c r="B6624" t="n">
        <v>50167</v>
      </c>
      <c r="C6624" t="inlineStr">
        <is>
          <t>1416/02/18</t>
        </is>
      </c>
    </row>
    <row r="6625">
      <c r="A6625" t="n">
        <v>14160219</v>
      </c>
      <c r="B6625" t="n">
        <v>50168</v>
      </c>
      <c r="C6625" t="inlineStr">
        <is>
          <t>1416/02/19</t>
        </is>
      </c>
    </row>
    <row r="6626">
      <c r="A6626" t="n">
        <v>14160220</v>
      </c>
      <c r="B6626" t="n">
        <v>50169</v>
      </c>
      <c r="C6626" t="inlineStr">
        <is>
          <t>1416/02/20</t>
        </is>
      </c>
    </row>
    <row r="6627">
      <c r="A6627" t="n">
        <v>14160221</v>
      </c>
      <c r="B6627" t="n">
        <v>50170</v>
      </c>
      <c r="C6627" t="inlineStr">
        <is>
          <t>1416/02/21</t>
        </is>
      </c>
    </row>
    <row r="6628">
      <c r="A6628" t="n">
        <v>14160222</v>
      </c>
      <c r="B6628" t="n">
        <v>50171</v>
      </c>
      <c r="C6628" t="inlineStr">
        <is>
          <t>1416/02/22</t>
        </is>
      </c>
    </row>
    <row r="6629">
      <c r="A6629" t="n">
        <v>14160223</v>
      </c>
      <c r="B6629" t="n">
        <v>50172</v>
      </c>
      <c r="C6629" t="inlineStr">
        <is>
          <t>1416/02/23</t>
        </is>
      </c>
    </row>
    <row r="6630">
      <c r="A6630" t="n">
        <v>14160224</v>
      </c>
      <c r="B6630" t="n">
        <v>50173</v>
      </c>
      <c r="C6630" t="inlineStr">
        <is>
          <t>1416/02/24</t>
        </is>
      </c>
    </row>
    <row r="6631">
      <c r="A6631" t="n">
        <v>14160225</v>
      </c>
      <c r="B6631" t="n">
        <v>50174</v>
      </c>
      <c r="C6631" t="inlineStr">
        <is>
          <t>1416/02/25</t>
        </is>
      </c>
    </row>
    <row r="6632">
      <c r="A6632" t="n">
        <v>14160226</v>
      </c>
      <c r="B6632" t="n">
        <v>50175</v>
      </c>
      <c r="C6632" t="inlineStr">
        <is>
          <t>1416/02/26</t>
        </is>
      </c>
    </row>
    <row r="6633">
      <c r="A6633" t="n">
        <v>14160227</v>
      </c>
      <c r="B6633" t="n">
        <v>50176</v>
      </c>
      <c r="C6633" t="inlineStr">
        <is>
          <t>1416/02/27</t>
        </is>
      </c>
    </row>
    <row r="6634">
      <c r="A6634" t="n">
        <v>14160228</v>
      </c>
      <c r="B6634" t="n">
        <v>50177</v>
      </c>
      <c r="C6634" t="inlineStr">
        <is>
          <t>1416/02/28</t>
        </is>
      </c>
    </row>
    <row r="6635">
      <c r="A6635" t="n">
        <v>14160229</v>
      </c>
      <c r="B6635" t="n">
        <v>50178</v>
      </c>
      <c r="C6635" t="inlineStr">
        <is>
          <t>1416/02/29</t>
        </is>
      </c>
    </row>
    <row r="6636">
      <c r="A6636" t="n">
        <v>14160230</v>
      </c>
      <c r="B6636" t="n">
        <v>50179</v>
      </c>
      <c r="C6636" t="inlineStr">
        <is>
          <t>1416/02/30</t>
        </is>
      </c>
    </row>
    <row r="6637">
      <c r="A6637" t="n">
        <v>14160231</v>
      </c>
      <c r="B6637" t="n">
        <v>50180</v>
      </c>
      <c r="C6637" t="inlineStr">
        <is>
          <t>1416/02/31</t>
        </is>
      </c>
    </row>
    <row r="6638">
      <c r="A6638" t="n">
        <v>14160301</v>
      </c>
      <c r="B6638" t="n">
        <v>50181</v>
      </c>
      <c r="C6638" t="inlineStr">
        <is>
          <t>1416/03/01</t>
        </is>
      </c>
    </row>
    <row r="6639">
      <c r="A6639" t="n">
        <v>14160302</v>
      </c>
      <c r="B6639" t="n">
        <v>50182</v>
      </c>
      <c r="C6639" t="inlineStr">
        <is>
          <t>1416/03/02</t>
        </is>
      </c>
    </row>
    <row r="6640">
      <c r="A6640" t="n">
        <v>14160303</v>
      </c>
      <c r="B6640" t="n">
        <v>50183</v>
      </c>
      <c r="C6640" t="inlineStr">
        <is>
          <t>1416/03/03</t>
        </is>
      </c>
    </row>
    <row r="6641">
      <c r="A6641" t="n">
        <v>14160304</v>
      </c>
      <c r="B6641" t="n">
        <v>50184</v>
      </c>
      <c r="C6641" t="inlineStr">
        <is>
          <t>1416/03/04</t>
        </is>
      </c>
    </row>
    <row r="6642">
      <c r="A6642" t="n">
        <v>14160305</v>
      </c>
      <c r="B6642" t="n">
        <v>50185</v>
      </c>
      <c r="C6642" t="inlineStr">
        <is>
          <t>1416/03/05</t>
        </is>
      </c>
    </row>
    <row r="6643">
      <c r="A6643" t="n">
        <v>14160306</v>
      </c>
      <c r="B6643" t="n">
        <v>50186</v>
      </c>
      <c r="C6643" t="inlineStr">
        <is>
          <t>1416/03/06</t>
        </is>
      </c>
    </row>
    <row r="6644">
      <c r="A6644" t="n">
        <v>14160307</v>
      </c>
      <c r="B6644" t="n">
        <v>50187</v>
      </c>
      <c r="C6644" t="inlineStr">
        <is>
          <t>1416/03/07</t>
        </is>
      </c>
    </row>
    <row r="6645">
      <c r="A6645" t="n">
        <v>14160308</v>
      </c>
      <c r="B6645" t="n">
        <v>50188</v>
      </c>
      <c r="C6645" t="inlineStr">
        <is>
          <t>1416/03/08</t>
        </is>
      </c>
    </row>
    <row r="6646">
      <c r="A6646" t="n">
        <v>14160309</v>
      </c>
      <c r="B6646" t="n">
        <v>50189</v>
      </c>
      <c r="C6646" t="inlineStr">
        <is>
          <t>1416/03/09</t>
        </is>
      </c>
    </row>
    <row r="6647">
      <c r="A6647" t="n">
        <v>14160310</v>
      </c>
      <c r="B6647" t="n">
        <v>50190</v>
      </c>
      <c r="C6647" t="inlineStr">
        <is>
          <t>1416/03/10</t>
        </is>
      </c>
    </row>
    <row r="6648">
      <c r="A6648" t="n">
        <v>14160311</v>
      </c>
      <c r="B6648" t="n">
        <v>50191</v>
      </c>
      <c r="C6648" t="inlineStr">
        <is>
          <t>1416/03/11</t>
        </is>
      </c>
    </row>
    <row r="6649">
      <c r="A6649" t="n">
        <v>14160312</v>
      </c>
      <c r="B6649" t="n">
        <v>50192</v>
      </c>
      <c r="C6649" t="inlineStr">
        <is>
          <t>1416/03/12</t>
        </is>
      </c>
    </row>
    <row r="6650">
      <c r="A6650" t="n">
        <v>14160313</v>
      </c>
      <c r="B6650" t="n">
        <v>50193</v>
      </c>
      <c r="C6650" t="inlineStr">
        <is>
          <t>1416/03/13</t>
        </is>
      </c>
    </row>
    <row r="6651">
      <c r="A6651" t="n">
        <v>14160314</v>
      </c>
      <c r="B6651" t="n">
        <v>50194</v>
      </c>
      <c r="C6651" t="inlineStr">
        <is>
          <t>1416/03/14</t>
        </is>
      </c>
    </row>
    <row r="6652">
      <c r="A6652" t="n">
        <v>14160315</v>
      </c>
      <c r="B6652" t="n">
        <v>50195</v>
      </c>
      <c r="C6652" t="inlineStr">
        <is>
          <t>1416/03/15</t>
        </is>
      </c>
    </row>
    <row r="6653">
      <c r="A6653" t="n">
        <v>14160316</v>
      </c>
      <c r="B6653" t="n">
        <v>50196</v>
      </c>
      <c r="C6653" t="inlineStr">
        <is>
          <t>1416/03/16</t>
        </is>
      </c>
    </row>
    <row r="6654">
      <c r="A6654" t="n">
        <v>14160317</v>
      </c>
      <c r="B6654" t="n">
        <v>50197</v>
      </c>
      <c r="C6654" t="inlineStr">
        <is>
          <t>1416/03/17</t>
        </is>
      </c>
    </row>
    <row r="6655">
      <c r="A6655" t="n">
        <v>14160318</v>
      </c>
      <c r="B6655" t="n">
        <v>50198</v>
      </c>
      <c r="C6655" t="inlineStr">
        <is>
          <t>1416/03/18</t>
        </is>
      </c>
    </row>
    <row r="6656">
      <c r="A6656" t="n">
        <v>14160319</v>
      </c>
      <c r="B6656" t="n">
        <v>50199</v>
      </c>
      <c r="C6656" t="inlineStr">
        <is>
          <t>1416/03/19</t>
        </is>
      </c>
    </row>
    <row r="6657">
      <c r="A6657" t="n">
        <v>14160320</v>
      </c>
      <c r="B6657" t="n">
        <v>50200</v>
      </c>
      <c r="C6657" t="inlineStr">
        <is>
          <t>1416/03/20</t>
        </is>
      </c>
    </row>
    <row r="6658">
      <c r="A6658" t="n">
        <v>14160321</v>
      </c>
      <c r="B6658" t="n">
        <v>50201</v>
      </c>
      <c r="C6658" t="inlineStr">
        <is>
          <t>1416/03/21</t>
        </is>
      </c>
    </row>
    <row r="6659">
      <c r="A6659" t="n">
        <v>14160322</v>
      </c>
      <c r="B6659" t="n">
        <v>50202</v>
      </c>
      <c r="C6659" t="inlineStr">
        <is>
          <t>1416/03/22</t>
        </is>
      </c>
    </row>
    <row r="6660">
      <c r="A6660" t="n">
        <v>14160323</v>
      </c>
      <c r="B6660" t="n">
        <v>50203</v>
      </c>
      <c r="C6660" t="inlineStr">
        <is>
          <t>1416/03/23</t>
        </is>
      </c>
    </row>
    <row r="6661">
      <c r="A6661" t="n">
        <v>14160324</v>
      </c>
      <c r="B6661" t="n">
        <v>50204</v>
      </c>
      <c r="C6661" t="inlineStr">
        <is>
          <t>1416/03/24</t>
        </is>
      </c>
    </row>
    <row r="6662">
      <c r="A6662" t="n">
        <v>14160325</v>
      </c>
      <c r="B6662" t="n">
        <v>50205</v>
      </c>
      <c r="C6662" t="inlineStr">
        <is>
          <t>1416/03/25</t>
        </is>
      </c>
    </row>
    <row r="6663">
      <c r="A6663" t="n">
        <v>14160326</v>
      </c>
      <c r="B6663" t="n">
        <v>50206</v>
      </c>
      <c r="C6663" t="inlineStr">
        <is>
          <t>1416/03/26</t>
        </is>
      </c>
    </row>
    <row r="6664">
      <c r="A6664" t="n">
        <v>14160327</v>
      </c>
      <c r="B6664" t="n">
        <v>50207</v>
      </c>
      <c r="C6664" t="inlineStr">
        <is>
          <t>1416/03/27</t>
        </is>
      </c>
    </row>
    <row r="6665">
      <c r="A6665" t="n">
        <v>14160328</v>
      </c>
      <c r="B6665" t="n">
        <v>50208</v>
      </c>
      <c r="C6665" t="inlineStr">
        <is>
          <t>1416/03/28</t>
        </is>
      </c>
    </row>
    <row r="6666">
      <c r="A6666" t="n">
        <v>14160329</v>
      </c>
      <c r="B6666" t="n">
        <v>50209</v>
      </c>
      <c r="C6666" t="inlineStr">
        <is>
          <t>1416/03/29</t>
        </is>
      </c>
    </row>
    <row r="6667">
      <c r="A6667" t="n">
        <v>14160330</v>
      </c>
      <c r="B6667" t="n">
        <v>50210</v>
      </c>
      <c r="C6667" t="inlineStr">
        <is>
          <t>1416/03/30</t>
        </is>
      </c>
    </row>
    <row r="6668">
      <c r="A6668" t="n">
        <v>14160331</v>
      </c>
      <c r="B6668" t="n">
        <v>50211</v>
      </c>
      <c r="C6668" t="inlineStr">
        <is>
          <t>1416/03/31</t>
        </is>
      </c>
    </row>
    <row r="6669">
      <c r="A6669" t="n">
        <v>14160401</v>
      </c>
      <c r="B6669" t="n">
        <v>50212</v>
      </c>
      <c r="C6669" t="inlineStr">
        <is>
          <t>1416/04/01</t>
        </is>
      </c>
    </row>
    <row r="6670">
      <c r="A6670" t="n">
        <v>14160402</v>
      </c>
      <c r="B6670" t="n">
        <v>50213</v>
      </c>
      <c r="C6670" t="inlineStr">
        <is>
          <t>1416/04/02</t>
        </is>
      </c>
    </row>
    <row r="6671">
      <c r="A6671" t="n">
        <v>14160403</v>
      </c>
      <c r="B6671" t="n">
        <v>50214</v>
      </c>
      <c r="C6671" t="inlineStr">
        <is>
          <t>1416/04/03</t>
        </is>
      </c>
    </row>
    <row r="6672">
      <c r="A6672" t="n">
        <v>14160404</v>
      </c>
      <c r="B6672" t="n">
        <v>50215</v>
      </c>
      <c r="C6672" t="inlineStr">
        <is>
          <t>1416/04/04</t>
        </is>
      </c>
    </row>
    <row r="6673">
      <c r="A6673" t="n">
        <v>14160405</v>
      </c>
      <c r="B6673" t="n">
        <v>50216</v>
      </c>
      <c r="C6673" t="inlineStr">
        <is>
          <t>1416/04/05</t>
        </is>
      </c>
    </row>
    <row r="6674">
      <c r="A6674" t="n">
        <v>14160406</v>
      </c>
      <c r="B6674" t="n">
        <v>50217</v>
      </c>
      <c r="C6674" t="inlineStr">
        <is>
          <t>1416/04/06</t>
        </is>
      </c>
    </row>
    <row r="6675">
      <c r="A6675" t="n">
        <v>14160407</v>
      </c>
      <c r="B6675" t="n">
        <v>50218</v>
      </c>
      <c r="C6675" t="inlineStr">
        <is>
          <t>1416/04/07</t>
        </is>
      </c>
    </row>
    <row r="6676">
      <c r="A6676" t="n">
        <v>14160408</v>
      </c>
      <c r="B6676" t="n">
        <v>50219</v>
      </c>
      <c r="C6676" t="inlineStr">
        <is>
          <t>1416/04/08</t>
        </is>
      </c>
    </row>
    <row r="6677">
      <c r="A6677" t="n">
        <v>14160409</v>
      </c>
      <c r="B6677" t="n">
        <v>50220</v>
      </c>
      <c r="C6677" t="inlineStr">
        <is>
          <t>1416/04/09</t>
        </is>
      </c>
    </row>
    <row r="6678">
      <c r="A6678" t="n">
        <v>14160410</v>
      </c>
      <c r="B6678" t="n">
        <v>50221</v>
      </c>
      <c r="C6678" t="inlineStr">
        <is>
          <t>1416/04/10</t>
        </is>
      </c>
    </row>
    <row r="6679">
      <c r="A6679" t="n">
        <v>14160411</v>
      </c>
      <c r="B6679" t="n">
        <v>50222</v>
      </c>
      <c r="C6679" t="inlineStr">
        <is>
          <t>1416/04/11</t>
        </is>
      </c>
    </row>
    <row r="6680">
      <c r="A6680" t="n">
        <v>14160412</v>
      </c>
      <c r="B6680" t="n">
        <v>50223</v>
      </c>
      <c r="C6680" t="inlineStr">
        <is>
          <t>1416/04/12</t>
        </is>
      </c>
    </row>
    <row r="6681">
      <c r="A6681" t="n">
        <v>14160413</v>
      </c>
      <c r="B6681" t="n">
        <v>50224</v>
      </c>
      <c r="C6681" t="inlineStr">
        <is>
          <t>1416/04/13</t>
        </is>
      </c>
    </row>
    <row r="6682">
      <c r="A6682" t="n">
        <v>14160414</v>
      </c>
      <c r="B6682" t="n">
        <v>50225</v>
      </c>
      <c r="C6682" t="inlineStr">
        <is>
          <t>1416/04/14</t>
        </is>
      </c>
    </row>
    <row r="6683">
      <c r="A6683" t="n">
        <v>14160415</v>
      </c>
      <c r="B6683" t="n">
        <v>50226</v>
      </c>
      <c r="C6683" t="inlineStr">
        <is>
          <t>1416/04/15</t>
        </is>
      </c>
    </row>
    <row r="6684">
      <c r="A6684" t="n">
        <v>14160416</v>
      </c>
      <c r="B6684" t="n">
        <v>50227</v>
      </c>
      <c r="C6684" t="inlineStr">
        <is>
          <t>1416/04/16</t>
        </is>
      </c>
    </row>
    <row r="6685">
      <c r="A6685" t="n">
        <v>14160417</v>
      </c>
      <c r="B6685" t="n">
        <v>50228</v>
      </c>
      <c r="C6685" t="inlineStr">
        <is>
          <t>1416/04/17</t>
        </is>
      </c>
    </row>
    <row r="6686">
      <c r="A6686" t="n">
        <v>14160418</v>
      </c>
      <c r="B6686" t="n">
        <v>50229</v>
      </c>
      <c r="C6686" t="inlineStr">
        <is>
          <t>1416/04/18</t>
        </is>
      </c>
    </row>
    <row r="6687">
      <c r="A6687" t="n">
        <v>14160419</v>
      </c>
      <c r="B6687" t="n">
        <v>50230</v>
      </c>
      <c r="C6687" t="inlineStr">
        <is>
          <t>1416/04/19</t>
        </is>
      </c>
    </row>
    <row r="6688">
      <c r="A6688" t="n">
        <v>14160420</v>
      </c>
      <c r="B6688" t="n">
        <v>50231</v>
      </c>
      <c r="C6688" t="inlineStr">
        <is>
          <t>1416/04/20</t>
        </is>
      </c>
    </row>
    <row r="6689">
      <c r="A6689" t="n">
        <v>14160421</v>
      </c>
      <c r="B6689" t="n">
        <v>50232</v>
      </c>
      <c r="C6689" t="inlineStr">
        <is>
          <t>1416/04/21</t>
        </is>
      </c>
    </row>
    <row r="6690">
      <c r="A6690" t="n">
        <v>14160422</v>
      </c>
      <c r="B6690" t="n">
        <v>50233</v>
      </c>
      <c r="C6690" t="inlineStr">
        <is>
          <t>1416/04/22</t>
        </is>
      </c>
    </row>
    <row r="6691">
      <c r="A6691" t="n">
        <v>14160423</v>
      </c>
      <c r="B6691" t="n">
        <v>50234</v>
      </c>
      <c r="C6691" t="inlineStr">
        <is>
          <t>1416/04/23</t>
        </is>
      </c>
    </row>
    <row r="6692">
      <c r="A6692" t="n">
        <v>14160424</v>
      </c>
      <c r="B6692" t="n">
        <v>50235</v>
      </c>
      <c r="C6692" t="inlineStr">
        <is>
          <t>1416/04/24</t>
        </is>
      </c>
    </row>
    <row r="6693">
      <c r="A6693" t="n">
        <v>14160425</v>
      </c>
      <c r="B6693" t="n">
        <v>50236</v>
      </c>
      <c r="C6693" t="inlineStr">
        <is>
          <t>1416/04/25</t>
        </is>
      </c>
    </row>
    <row r="6694">
      <c r="A6694" t="n">
        <v>14160426</v>
      </c>
      <c r="B6694" t="n">
        <v>50237</v>
      </c>
      <c r="C6694" t="inlineStr">
        <is>
          <t>1416/04/26</t>
        </is>
      </c>
    </row>
    <row r="6695">
      <c r="A6695" t="n">
        <v>14160427</v>
      </c>
      <c r="B6695" t="n">
        <v>50238</v>
      </c>
      <c r="C6695" t="inlineStr">
        <is>
          <t>1416/04/27</t>
        </is>
      </c>
    </row>
    <row r="6696">
      <c r="A6696" t="n">
        <v>14160428</v>
      </c>
      <c r="B6696" t="n">
        <v>50239</v>
      </c>
      <c r="C6696" t="inlineStr">
        <is>
          <t>1416/04/28</t>
        </is>
      </c>
    </row>
    <row r="6697">
      <c r="A6697" t="n">
        <v>14160429</v>
      </c>
      <c r="B6697" t="n">
        <v>50240</v>
      </c>
      <c r="C6697" t="inlineStr">
        <is>
          <t>1416/04/29</t>
        </is>
      </c>
    </row>
    <row r="6698">
      <c r="A6698" t="n">
        <v>14160430</v>
      </c>
      <c r="B6698" t="n">
        <v>50241</v>
      </c>
      <c r="C6698" t="inlineStr">
        <is>
          <t>1416/04/30</t>
        </is>
      </c>
    </row>
    <row r="6699">
      <c r="A6699" t="n">
        <v>14160431</v>
      </c>
      <c r="B6699" t="n">
        <v>50242</v>
      </c>
      <c r="C6699" t="inlineStr">
        <is>
          <t>1416/04/31</t>
        </is>
      </c>
    </row>
    <row r="6700">
      <c r="A6700" t="n">
        <v>14160501</v>
      </c>
      <c r="B6700" t="n">
        <v>50243</v>
      </c>
      <c r="C6700" t="inlineStr">
        <is>
          <t>1416/05/01</t>
        </is>
      </c>
    </row>
    <row r="6701">
      <c r="A6701" t="n">
        <v>14160502</v>
      </c>
      <c r="B6701" t="n">
        <v>50244</v>
      </c>
      <c r="C6701" t="inlineStr">
        <is>
          <t>1416/05/02</t>
        </is>
      </c>
    </row>
    <row r="6702">
      <c r="A6702" t="n">
        <v>14160503</v>
      </c>
      <c r="B6702" t="n">
        <v>50245</v>
      </c>
      <c r="C6702" t="inlineStr">
        <is>
          <t>1416/05/03</t>
        </is>
      </c>
    </row>
    <row r="6703">
      <c r="A6703" t="n">
        <v>14160504</v>
      </c>
      <c r="B6703" t="n">
        <v>50246</v>
      </c>
      <c r="C6703" t="inlineStr">
        <is>
          <t>1416/05/04</t>
        </is>
      </c>
    </row>
    <row r="6704">
      <c r="A6704" t="n">
        <v>14160505</v>
      </c>
      <c r="B6704" t="n">
        <v>50247</v>
      </c>
      <c r="C6704" t="inlineStr">
        <is>
          <t>1416/05/05</t>
        </is>
      </c>
    </row>
    <row r="6705">
      <c r="A6705" t="n">
        <v>14160506</v>
      </c>
      <c r="B6705" t="n">
        <v>50248</v>
      </c>
      <c r="C6705" t="inlineStr">
        <is>
          <t>1416/05/06</t>
        </is>
      </c>
    </row>
    <row r="6706">
      <c r="A6706" t="n">
        <v>14160507</v>
      </c>
      <c r="B6706" t="n">
        <v>50249</v>
      </c>
      <c r="C6706" t="inlineStr">
        <is>
          <t>1416/05/07</t>
        </is>
      </c>
    </row>
    <row r="6707">
      <c r="A6707" t="n">
        <v>14160508</v>
      </c>
      <c r="B6707" t="n">
        <v>50250</v>
      </c>
      <c r="C6707" t="inlineStr">
        <is>
          <t>1416/05/08</t>
        </is>
      </c>
    </row>
    <row r="6708">
      <c r="A6708" t="n">
        <v>14160509</v>
      </c>
      <c r="B6708" t="n">
        <v>50251</v>
      </c>
      <c r="C6708" t="inlineStr">
        <is>
          <t>1416/05/09</t>
        </is>
      </c>
    </row>
    <row r="6709">
      <c r="A6709" t="n">
        <v>14160510</v>
      </c>
      <c r="B6709" t="n">
        <v>50252</v>
      </c>
      <c r="C6709" t="inlineStr">
        <is>
          <t>1416/05/10</t>
        </is>
      </c>
    </row>
    <row r="6710">
      <c r="A6710" t="n">
        <v>14160511</v>
      </c>
      <c r="B6710" t="n">
        <v>50253</v>
      </c>
      <c r="C6710" t="inlineStr">
        <is>
          <t>1416/05/11</t>
        </is>
      </c>
    </row>
    <row r="6711">
      <c r="A6711" t="n">
        <v>14160512</v>
      </c>
      <c r="B6711" t="n">
        <v>50254</v>
      </c>
      <c r="C6711" t="inlineStr">
        <is>
          <t>1416/05/12</t>
        </is>
      </c>
    </row>
    <row r="6712">
      <c r="A6712" t="n">
        <v>14160513</v>
      </c>
      <c r="B6712" t="n">
        <v>50255</v>
      </c>
      <c r="C6712" t="inlineStr">
        <is>
          <t>1416/05/13</t>
        </is>
      </c>
    </row>
    <row r="6713">
      <c r="A6713" t="n">
        <v>14160514</v>
      </c>
      <c r="B6713" t="n">
        <v>50256</v>
      </c>
      <c r="C6713" t="inlineStr">
        <is>
          <t>1416/05/14</t>
        </is>
      </c>
    </row>
    <row r="6714">
      <c r="A6714" t="n">
        <v>14160515</v>
      </c>
      <c r="B6714" t="n">
        <v>50257</v>
      </c>
      <c r="C6714" t="inlineStr">
        <is>
          <t>1416/05/15</t>
        </is>
      </c>
    </row>
    <row r="6715">
      <c r="A6715" t="n">
        <v>14160516</v>
      </c>
      <c r="B6715" t="n">
        <v>50258</v>
      </c>
      <c r="C6715" t="inlineStr">
        <is>
          <t>1416/05/16</t>
        </is>
      </c>
    </row>
    <row r="6716">
      <c r="A6716" t="n">
        <v>14160517</v>
      </c>
      <c r="B6716" t="n">
        <v>50259</v>
      </c>
      <c r="C6716" t="inlineStr">
        <is>
          <t>1416/05/17</t>
        </is>
      </c>
    </row>
    <row r="6717">
      <c r="A6717" t="n">
        <v>14160518</v>
      </c>
      <c r="B6717" t="n">
        <v>50260</v>
      </c>
      <c r="C6717" t="inlineStr">
        <is>
          <t>1416/05/18</t>
        </is>
      </c>
    </row>
    <row r="6718">
      <c r="A6718" t="n">
        <v>14160519</v>
      </c>
      <c r="B6718" t="n">
        <v>50261</v>
      </c>
      <c r="C6718" t="inlineStr">
        <is>
          <t>1416/05/19</t>
        </is>
      </c>
    </row>
    <row r="6719">
      <c r="A6719" t="n">
        <v>14160520</v>
      </c>
      <c r="B6719" t="n">
        <v>50262</v>
      </c>
      <c r="C6719" t="inlineStr">
        <is>
          <t>1416/05/20</t>
        </is>
      </c>
    </row>
    <row r="6720">
      <c r="A6720" t="n">
        <v>14160521</v>
      </c>
      <c r="B6720" t="n">
        <v>50263</v>
      </c>
      <c r="C6720" t="inlineStr">
        <is>
          <t>1416/05/21</t>
        </is>
      </c>
    </row>
    <row r="6721">
      <c r="A6721" t="n">
        <v>14160522</v>
      </c>
      <c r="B6721" t="n">
        <v>50264</v>
      </c>
      <c r="C6721" t="inlineStr">
        <is>
          <t>1416/05/22</t>
        </is>
      </c>
    </row>
    <row r="6722">
      <c r="A6722" t="n">
        <v>14160523</v>
      </c>
      <c r="B6722" t="n">
        <v>50265</v>
      </c>
      <c r="C6722" t="inlineStr">
        <is>
          <t>1416/05/23</t>
        </is>
      </c>
    </row>
    <row r="6723">
      <c r="A6723" t="n">
        <v>14160524</v>
      </c>
      <c r="B6723" t="n">
        <v>50266</v>
      </c>
      <c r="C6723" t="inlineStr">
        <is>
          <t>1416/05/24</t>
        </is>
      </c>
    </row>
    <row r="6724">
      <c r="A6724" t="n">
        <v>14160525</v>
      </c>
      <c r="B6724" t="n">
        <v>50267</v>
      </c>
      <c r="C6724" t="inlineStr">
        <is>
          <t>1416/05/25</t>
        </is>
      </c>
    </row>
    <row r="6725">
      <c r="A6725" t="n">
        <v>14160526</v>
      </c>
      <c r="B6725" t="n">
        <v>50268</v>
      </c>
      <c r="C6725" t="inlineStr">
        <is>
          <t>1416/05/26</t>
        </is>
      </c>
    </row>
    <row r="6726">
      <c r="A6726" t="n">
        <v>14160527</v>
      </c>
      <c r="B6726" t="n">
        <v>50269</v>
      </c>
      <c r="C6726" t="inlineStr">
        <is>
          <t>1416/05/27</t>
        </is>
      </c>
    </row>
    <row r="6727">
      <c r="A6727" t="n">
        <v>14160528</v>
      </c>
      <c r="B6727" t="n">
        <v>50270</v>
      </c>
      <c r="C6727" t="inlineStr">
        <is>
          <t>1416/05/28</t>
        </is>
      </c>
    </row>
    <row r="6728">
      <c r="A6728" t="n">
        <v>14160529</v>
      </c>
      <c r="B6728" t="n">
        <v>50271</v>
      </c>
      <c r="C6728" t="inlineStr">
        <is>
          <t>1416/05/29</t>
        </is>
      </c>
    </row>
    <row r="6729">
      <c r="A6729" t="n">
        <v>14160530</v>
      </c>
      <c r="B6729" t="n">
        <v>50272</v>
      </c>
      <c r="C6729" t="inlineStr">
        <is>
          <t>1416/05/30</t>
        </is>
      </c>
    </row>
    <row r="6730">
      <c r="A6730" t="n">
        <v>14160531</v>
      </c>
      <c r="B6730" t="n">
        <v>50273</v>
      </c>
      <c r="C6730" t="inlineStr">
        <is>
          <t>1416/05/31</t>
        </is>
      </c>
    </row>
    <row r="6731">
      <c r="A6731" t="n">
        <v>14160601</v>
      </c>
      <c r="B6731" t="n">
        <v>50274</v>
      </c>
      <c r="C6731" t="inlineStr">
        <is>
          <t>1416/06/01</t>
        </is>
      </c>
    </row>
    <row r="6732">
      <c r="A6732" t="n">
        <v>14160602</v>
      </c>
      <c r="B6732" t="n">
        <v>50275</v>
      </c>
      <c r="C6732" t="inlineStr">
        <is>
          <t>1416/06/02</t>
        </is>
      </c>
    </row>
    <row r="6733">
      <c r="A6733" t="n">
        <v>14160603</v>
      </c>
      <c r="B6733" t="n">
        <v>50276</v>
      </c>
      <c r="C6733" t="inlineStr">
        <is>
          <t>1416/06/03</t>
        </is>
      </c>
    </row>
    <row r="6734">
      <c r="A6734" t="n">
        <v>14160604</v>
      </c>
      <c r="B6734" t="n">
        <v>50277</v>
      </c>
      <c r="C6734" t="inlineStr">
        <is>
          <t>1416/06/04</t>
        </is>
      </c>
    </row>
    <row r="6735">
      <c r="A6735" t="n">
        <v>14160605</v>
      </c>
      <c r="B6735" t="n">
        <v>50278</v>
      </c>
      <c r="C6735" t="inlineStr">
        <is>
          <t>1416/06/05</t>
        </is>
      </c>
    </row>
    <row r="6736">
      <c r="A6736" t="n">
        <v>14160606</v>
      </c>
      <c r="B6736" t="n">
        <v>50279</v>
      </c>
      <c r="C6736" t="inlineStr">
        <is>
          <t>1416/06/06</t>
        </is>
      </c>
    </row>
    <row r="6737">
      <c r="A6737" t="n">
        <v>14160607</v>
      </c>
      <c r="B6737" t="n">
        <v>50280</v>
      </c>
      <c r="C6737" t="inlineStr">
        <is>
          <t>1416/06/07</t>
        </is>
      </c>
    </row>
    <row r="6738">
      <c r="A6738" t="n">
        <v>14160608</v>
      </c>
      <c r="B6738" t="n">
        <v>50281</v>
      </c>
      <c r="C6738" t="inlineStr">
        <is>
          <t>1416/06/08</t>
        </is>
      </c>
    </row>
    <row r="6739">
      <c r="A6739" t="n">
        <v>14160609</v>
      </c>
      <c r="B6739" t="n">
        <v>50282</v>
      </c>
      <c r="C6739" t="inlineStr">
        <is>
          <t>1416/06/09</t>
        </is>
      </c>
    </row>
    <row r="6740">
      <c r="A6740" t="n">
        <v>14160610</v>
      </c>
      <c r="B6740" t="n">
        <v>50283</v>
      </c>
      <c r="C6740" t="inlineStr">
        <is>
          <t>1416/06/10</t>
        </is>
      </c>
    </row>
    <row r="6741">
      <c r="A6741" t="n">
        <v>14160611</v>
      </c>
      <c r="B6741" t="n">
        <v>50284</v>
      </c>
      <c r="C6741" t="inlineStr">
        <is>
          <t>1416/06/11</t>
        </is>
      </c>
    </row>
    <row r="6742">
      <c r="A6742" t="n">
        <v>14160612</v>
      </c>
      <c r="B6742" t="n">
        <v>50285</v>
      </c>
      <c r="C6742" t="inlineStr">
        <is>
          <t>1416/06/12</t>
        </is>
      </c>
    </row>
    <row r="6743">
      <c r="A6743" t="n">
        <v>14160613</v>
      </c>
      <c r="B6743" t="n">
        <v>50286</v>
      </c>
      <c r="C6743" t="inlineStr">
        <is>
          <t>1416/06/13</t>
        </is>
      </c>
    </row>
    <row r="6744">
      <c r="A6744" t="n">
        <v>14160614</v>
      </c>
      <c r="B6744" t="n">
        <v>50287</v>
      </c>
      <c r="C6744" t="inlineStr">
        <is>
          <t>1416/06/14</t>
        </is>
      </c>
    </row>
    <row r="6745">
      <c r="A6745" t="n">
        <v>14160615</v>
      </c>
      <c r="B6745" t="n">
        <v>50288</v>
      </c>
      <c r="C6745" t="inlineStr">
        <is>
          <t>1416/06/15</t>
        </is>
      </c>
    </row>
    <row r="6746">
      <c r="A6746" t="n">
        <v>14160616</v>
      </c>
      <c r="B6746" t="n">
        <v>50289</v>
      </c>
      <c r="C6746" t="inlineStr">
        <is>
          <t>1416/06/16</t>
        </is>
      </c>
    </row>
    <row r="6747">
      <c r="A6747" t="n">
        <v>14160617</v>
      </c>
      <c r="B6747" t="n">
        <v>50290</v>
      </c>
      <c r="C6747" t="inlineStr">
        <is>
          <t>1416/06/17</t>
        </is>
      </c>
    </row>
    <row r="6748">
      <c r="A6748" t="n">
        <v>14160618</v>
      </c>
      <c r="B6748" t="n">
        <v>50291</v>
      </c>
      <c r="C6748" t="inlineStr">
        <is>
          <t>1416/06/18</t>
        </is>
      </c>
    </row>
    <row r="6749">
      <c r="A6749" t="n">
        <v>14160619</v>
      </c>
      <c r="B6749" t="n">
        <v>50292</v>
      </c>
      <c r="C6749" t="inlineStr">
        <is>
          <t>1416/06/19</t>
        </is>
      </c>
    </row>
    <row r="6750">
      <c r="A6750" t="n">
        <v>14160620</v>
      </c>
      <c r="B6750" t="n">
        <v>50293</v>
      </c>
      <c r="C6750" t="inlineStr">
        <is>
          <t>1416/06/20</t>
        </is>
      </c>
    </row>
    <row r="6751">
      <c r="A6751" t="n">
        <v>14160621</v>
      </c>
      <c r="B6751" t="n">
        <v>50294</v>
      </c>
      <c r="C6751" t="inlineStr">
        <is>
          <t>1416/06/21</t>
        </is>
      </c>
    </row>
    <row r="6752">
      <c r="A6752" t="n">
        <v>14160622</v>
      </c>
      <c r="B6752" t="n">
        <v>50295</v>
      </c>
      <c r="C6752" t="inlineStr">
        <is>
          <t>1416/06/22</t>
        </is>
      </c>
    </row>
    <row r="6753">
      <c r="A6753" t="n">
        <v>14160623</v>
      </c>
      <c r="B6753" t="n">
        <v>50296</v>
      </c>
      <c r="C6753" t="inlineStr">
        <is>
          <t>1416/06/23</t>
        </is>
      </c>
    </row>
    <row r="6754">
      <c r="A6754" t="n">
        <v>14160624</v>
      </c>
      <c r="B6754" t="n">
        <v>50297</v>
      </c>
      <c r="C6754" t="inlineStr">
        <is>
          <t>1416/06/24</t>
        </is>
      </c>
    </row>
    <row r="6755">
      <c r="A6755" t="n">
        <v>14160625</v>
      </c>
      <c r="B6755" t="n">
        <v>50298</v>
      </c>
      <c r="C6755" t="inlineStr">
        <is>
          <t>1416/06/25</t>
        </is>
      </c>
    </row>
    <row r="6756">
      <c r="A6756" t="n">
        <v>14160626</v>
      </c>
      <c r="B6756" t="n">
        <v>50299</v>
      </c>
      <c r="C6756" t="inlineStr">
        <is>
          <t>1416/06/26</t>
        </is>
      </c>
    </row>
    <row r="6757">
      <c r="A6757" t="n">
        <v>14160627</v>
      </c>
      <c r="B6757" t="n">
        <v>50300</v>
      </c>
      <c r="C6757" t="inlineStr">
        <is>
          <t>1416/06/27</t>
        </is>
      </c>
    </row>
    <row r="6758">
      <c r="A6758" t="n">
        <v>14160628</v>
      </c>
      <c r="B6758" t="n">
        <v>50301</v>
      </c>
      <c r="C6758" t="inlineStr">
        <is>
          <t>1416/06/28</t>
        </is>
      </c>
    </row>
    <row r="6759">
      <c r="A6759" t="n">
        <v>14160629</v>
      </c>
      <c r="B6759" t="n">
        <v>50302</v>
      </c>
      <c r="C6759" t="inlineStr">
        <is>
          <t>1416/06/29</t>
        </is>
      </c>
    </row>
    <row r="6760">
      <c r="A6760" t="n">
        <v>14160630</v>
      </c>
      <c r="B6760" t="n">
        <v>50303</v>
      </c>
      <c r="C6760" t="inlineStr">
        <is>
          <t>1416/06/30</t>
        </is>
      </c>
    </row>
    <row r="6761">
      <c r="A6761" t="n">
        <v>14160631</v>
      </c>
      <c r="B6761" t="n">
        <v>50304</v>
      </c>
      <c r="C6761" t="inlineStr">
        <is>
          <t>1416/06/31</t>
        </is>
      </c>
    </row>
    <row r="6762">
      <c r="A6762" t="n">
        <v>14160701</v>
      </c>
      <c r="B6762" t="n">
        <v>50305</v>
      </c>
      <c r="C6762" t="inlineStr">
        <is>
          <t>1416/07/01</t>
        </is>
      </c>
    </row>
    <row r="6763">
      <c r="A6763" t="n">
        <v>14160702</v>
      </c>
      <c r="B6763" t="n">
        <v>50306</v>
      </c>
      <c r="C6763" t="inlineStr">
        <is>
          <t>1416/07/02</t>
        </is>
      </c>
    </row>
    <row r="6764">
      <c r="A6764" t="n">
        <v>14160703</v>
      </c>
      <c r="B6764" t="n">
        <v>50307</v>
      </c>
      <c r="C6764" t="inlineStr">
        <is>
          <t>1416/07/03</t>
        </is>
      </c>
    </row>
    <row r="6765">
      <c r="A6765" t="n">
        <v>14160704</v>
      </c>
      <c r="B6765" t="n">
        <v>50308</v>
      </c>
      <c r="C6765" t="inlineStr">
        <is>
          <t>1416/07/04</t>
        </is>
      </c>
    </row>
    <row r="6766">
      <c r="A6766" t="n">
        <v>14160705</v>
      </c>
      <c r="B6766" t="n">
        <v>50309</v>
      </c>
      <c r="C6766" t="inlineStr">
        <is>
          <t>1416/07/05</t>
        </is>
      </c>
    </row>
    <row r="6767">
      <c r="A6767" t="n">
        <v>14160706</v>
      </c>
      <c r="B6767" t="n">
        <v>50310</v>
      </c>
      <c r="C6767" t="inlineStr">
        <is>
          <t>1416/07/06</t>
        </is>
      </c>
    </row>
    <row r="6768">
      <c r="A6768" t="n">
        <v>14160707</v>
      </c>
      <c r="B6768" t="n">
        <v>50311</v>
      </c>
      <c r="C6768" t="inlineStr">
        <is>
          <t>1416/07/07</t>
        </is>
      </c>
    </row>
    <row r="6769">
      <c r="A6769" t="n">
        <v>14160708</v>
      </c>
      <c r="B6769" t="n">
        <v>50312</v>
      </c>
      <c r="C6769" t="inlineStr">
        <is>
          <t>1416/07/08</t>
        </is>
      </c>
    </row>
    <row r="6770">
      <c r="A6770" t="n">
        <v>14160709</v>
      </c>
      <c r="B6770" t="n">
        <v>50313</v>
      </c>
      <c r="C6770" t="inlineStr">
        <is>
          <t>1416/07/09</t>
        </is>
      </c>
    </row>
    <row r="6771">
      <c r="A6771" t="n">
        <v>14160710</v>
      </c>
      <c r="B6771" t="n">
        <v>50314</v>
      </c>
      <c r="C6771" t="inlineStr">
        <is>
          <t>1416/07/10</t>
        </is>
      </c>
    </row>
    <row r="6772">
      <c r="A6772" t="n">
        <v>14160711</v>
      </c>
      <c r="B6772" t="n">
        <v>50315</v>
      </c>
      <c r="C6772" t="inlineStr">
        <is>
          <t>1416/07/11</t>
        </is>
      </c>
    </row>
    <row r="6773">
      <c r="A6773" t="n">
        <v>14160712</v>
      </c>
      <c r="B6773" t="n">
        <v>50316</v>
      </c>
      <c r="C6773" t="inlineStr">
        <is>
          <t>1416/07/12</t>
        </is>
      </c>
    </row>
    <row r="6774">
      <c r="A6774" t="n">
        <v>14160713</v>
      </c>
      <c r="B6774" t="n">
        <v>50317</v>
      </c>
      <c r="C6774" t="inlineStr">
        <is>
          <t>1416/07/13</t>
        </is>
      </c>
    </row>
    <row r="6775">
      <c r="A6775" t="n">
        <v>14160714</v>
      </c>
      <c r="B6775" t="n">
        <v>50318</v>
      </c>
      <c r="C6775" t="inlineStr">
        <is>
          <t>1416/07/14</t>
        </is>
      </c>
    </row>
    <row r="6776">
      <c r="A6776" t="n">
        <v>14160715</v>
      </c>
      <c r="B6776" t="n">
        <v>50319</v>
      </c>
      <c r="C6776" t="inlineStr">
        <is>
          <t>1416/07/15</t>
        </is>
      </c>
    </row>
    <row r="6777">
      <c r="A6777" t="n">
        <v>14160716</v>
      </c>
      <c r="B6777" t="n">
        <v>50320</v>
      </c>
      <c r="C6777" t="inlineStr">
        <is>
          <t>1416/07/16</t>
        </is>
      </c>
    </row>
    <row r="6778">
      <c r="A6778" t="n">
        <v>14160717</v>
      </c>
      <c r="B6778" t="n">
        <v>50321</v>
      </c>
      <c r="C6778" t="inlineStr">
        <is>
          <t>1416/07/17</t>
        </is>
      </c>
    </row>
    <row r="6779">
      <c r="A6779" t="n">
        <v>14160718</v>
      </c>
      <c r="B6779" t="n">
        <v>50322</v>
      </c>
      <c r="C6779" t="inlineStr">
        <is>
          <t>1416/07/18</t>
        </is>
      </c>
    </row>
    <row r="6780">
      <c r="A6780" t="n">
        <v>14160719</v>
      </c>
      <c r="B6780" t="n">
        <v>50323</v>
      </c>
      <c r="C6780" t="inlineStr">
        <is>
          <t>1416/07/19</t>
        </is>
      </c>
    </row>
    <row r="6781">
      <c r="A6781" t="n">
        <v>14160720</v>
      </c>
      <c r="B6781" t="n">
        <v>50324</v>
      </c>
      <c r="C6781" t="inlineStr">
        <is>
          <t>1416/07/20</t>
        </is>
      </c>
    </row>
    <row r="6782">
      <c r="A6782" t="n">
        <v>14160721</v>
      </c>
      <c r="B6782" t="n">
        <v>50325</v>
      </c>
      <c r="C6782" t="inlineStr">
        <is>
          <t>1416/07/21</t>
        </is>
      </c>
    </row>
    <row r="6783">
      <c r="A6783" t="n">
        <v>14160722</v>
      </c>
      <c r="B6783" t="n">
        <v>50326</v>
      </c>
      <c r="C6783" t="inlineStr">
        <is>
          <t>1416/07/22</t>
        </is>
      </c>
    </row>
    <row r="6784">
      <c r="A6784" t="n">
        <v>14160723</v>
      </c>
      <c r="B6784" t="n">
        <v>50327</v>
      </c>
      <c r="C6784" t="inlineStr">
        <is>
          <t>1416/07/23</t>
        </is>
      </c>
    </row>
    <row r="6785">
      <c r="A6785" t="n">
        <v>14160724</v>
      </c>
      <c r="B6785" t="n">
        <v>50328</v>
      </c>
      <c r="C6785" t="inlineStr">
        <is>
          <t>1416/07/24</t>
        </is>
      </c>
    </row>
    <row r="6786">
      <c r="A6786" t="n">
        <v>14160725</v>
      </c>
      <c r="B6786" t="n">
        <v>50329</v>
      </c>
      <c r="C6786" t="inlineStr">
        <is>
          <t>1416/07/25</t>
        </is>
      </c>
    </row>
    <row r="6787">
      <c r="A6787" t="n">
        <v>14160726</v>
      </c>
      <c r="B6787" t="n">
        <v>50330</v>
      </c>
      <c r="C6787" t="inlineStr">
        <is>
          <t>1416/07/26</t>
        </is>
      </c>
    </row>
    <row r="6788">
      <c r="A6788" t="n">
        <v>14160727</v>
      </c>
      <c r="B6788" t="n">
        <v>50331</v>
      </c>
      <c r="C6788" t="inlineStr">
        <is>
          <t>1416/07/27</t>
        </is>
      </c>
    </row>
    <row r="6789">
      <c r="A6789" t="n">
        <v>14160728</v>
      </c>
      <c r="B6789" t="n">
        <v>50332</v>
      </c>
      <c r="C6789" t="inlineStr">
        <is>
          <t>1416/07/28</t>
        </is>
      </c>
    </row>
    <row r="6790">
      <c r="A6790" t="n">
        <v>14160729</v>
      </c>
      <c r="B6790" t="n">
        <v>50333</v>
      </c>
      <c r="C6790" t="inlineStr">
        <is>
          <t>1416/07/29</t>
        </is>
      </c>
    </row>
    <row r="6791">
      <c r="A6791" t="n">
        <v>14160730</v>
      </c>
      <c r="B6791" t="n">
        <v>50334</v>
      </c>
      <c r="C6791" t="inlineStr">
        <is>
          <t>1416/07/30</t>
        </is>
      </c>
    </row>
    <row r="6792">
      <c r="A6792" t="n">
        <v>14160801</v>
      </c>
      <c r="B6792" t="n">
        <v>50335</v>
      </c>
      <c r="C6792" t="inlineStr">
        <is>
          <t>1416/08/01</t>
        </is>
      </c>
    </row>
    <row r="6793">
      <c r="A6793" t="n">
        <v>14160802</v>
      </c>
      <c r="B6793" t="n">
        <v>50336</v>
      </c>
      <c r="C6793" t="inlineStr">
        <is>
          <t>1416/08/02</t>
        </is>
      </c>
    </row>
    <row r="6794">
      <c r="A6794" t="n">
        <v>14160803</v>
      </c>
      <c r="B6794" t="n">
        <v>50337</v>
      </c>
      <c r="C6794" t="inlineStr">
        <is>
          <t>1416/08/03</t>
        </is>
      </c>
    </row>
    <row r="6795">
      <c r="A6795" t="n">
        <v>14160804</v>
      </c>
      <c r="B6795" t="n">
        <v>50338</v>
      </c>
      <c r="C6795" t="inlineStr">
        <is>
          <t>1416/08/04</t>
        </is>
      </c>
    </row>
    <row r="6796">
      <c r="A6796" t="n">
        <v>14160805</v>
      </c>
      <c r="B6796" t="n">
        <v>50339</v>
      </c>
      <c r="C6796" t="inlineStr">
        <is>
          <t>1416/08/05</t>
        </is>
      </c>
    </row>
    <row r="6797">
      <c r="A6797" t="n">
        <v>14160806</v>
      </c>
      <c r="B6797" t="n">
        <v>50340</v>
      </c>
      <c r="C6797" t="inlineStr">
        <is>
          <t>1416/08/06</t>
        </is>
      </c>
    </row>
    <row r="6798">
      <c r="A6798" t="n">
        <v>14160807</v>
      </c>
      <c r="B6798" t="n">
        <v>50341</v>
      </c>
      <c r="C6798" t="inlineStr">
        <is>
          <t>1416/08/07</t>
        </is>
      </c>
    </row>
    <row r="6799">
      <c r="A6799" t="n">
        <v>14160808</v>
      </c>
      <c r="B6799" t="n">
        <v>50342</v>
      </c>
      <c r="C6799" t="inlineStr">
        <is>
          <t>1416/08/08</t>
        </is>
      </c>
    </row>
    <row r="6800">
      <c r="A6800" t="n">
        <v>14160809</v>
      </c>
      <c r="B6800" t="n">
        <v>50343</v>
      </c>
      <c r="C6800" t="inlineStr">
        <is>
          <t>1416/08/09</t>
        </is>
      </c>
    </row>
    <row r="6801">
      <c r="A6801" t="n">
        <v>14160810</v>
      </c>
      <c r="B6801" t="n">
        <v>50344</v>
      </c>
      <c r="C6801" t="inlineStr">
        <is>
          <t>1416/08/10</t>
        </is>
      </c>
    </row>
    <row r="6802">
      <c r="A6802" t="n">
        <v>14160811</v>
      </c>
      <c r="B6802" t="n">
        <v>50345</v>
      </c>
      <c r="C6802" t="inlineStr">
        <is>
          <t>1416/08/11</t>
        </is>
      </c>
    </row>
    <row r="6803">
      <c r="A6803" t="n">
        <v>14160812</v>
      </c>
      <c r="B6803" t="n">
        <v>50346</v>
      </c>
      <c r="C6803" t="inlineStr">
        <is>
          <t>1416/08/12</t>
        </is>
      </c>
    </row>
    <row r="6804">
      <c r="A6804" t="n">
        <v>14160813</v>
      </c>
      <c r="B6804" t="n">
        <v>50347</v>
      </c>
      <c r="C6804" t="inlineStr">
        <is>
          <t>1416/08/13</t>
        </is>
      </c>
    </row>
    <row r="6805">
      <c r="A6805" t="n">
        <v>14160814</v>
      </c>
      <c r="B6805" t="n">
        <v>50348</v>
      </c>
      <c r="C6805" t="inlineStr">
        <is>
          <t>1416/08/14</t>
        </is>
      </c>
    </row>
    <row r="6806">
      <c r="A6806" t="n">
        <v>14160815</v>
      </c>
      <c r="B6806" t="n">
        <v>50349</v>
      </c>
      <c r="C6806" t="inlineStr">
        <is>
          <t>1416/08/15</t>
        </is>
      </c>
    </row>
    <row r="6807">
      <c r="A6807" t="n">
        <v>14160816</v>
      </c>
      <c r="B6807" t="n">
        <v>50350</v>
      </c>
      <c r="C6807" t="inlineStr">
        <is>
          <t>1416/08/16</t>
        </is>
      </c>
    </row>
    <row r="6808">
      <c r="A6808" t="n">
        <v>14160817</v>
      </c>
      <c r="B6808" t="n">
        <v>50351</v>
      </c>
      <c r="C6808" t="inlineStr">
        <is>
          <t>1416/08/17</t>
        </is>
      </c>
    </row>
    <row r="6809">
      <c r="A6809" t="n">
        <v>14160818</v>
      </c>
      <c r="B6809" t="n">
        <v>50352</v>
      </c>
      <c r="C6809" t="inlineStr">
        <is>
          <t>1416/08/18</t>
        </is>
      </c>
    </row>
    <row r="6810">
      <c r="A6810" t="n">
        <v>14160819</v>
      </c>
      <c r="B6810" t="n">
        <v>50353</v>
      </c>
      <c r="C6810" t="inlineStr">
        <is>
          <t>1416/08/19</t>
        </is>
      </c>
    </row>
    <row r="6811">
      <c r="A6811" t="n">
        <v>14160820</v>
      </c>
      <c r="B6811" t="n">
        <v>50354</v>
      </c>
      <c r="C6811" t="inlineStr">
        <is>
          <t>1416/08/20</t>
        </is>
      </c>
    </row>
    <row r="6812">
      <c r="A6812" t="n">
        <v>14160821</v>
      </c>
      <c r="B6812" t="n">
        <v>50355</v>
      </c>
      <c r="C6812" t="inlineStr">
        <is>
          <t>1416/08/21</t>
        </is>
      </c>
    </row>
    <row r="6813">
      <c r="A6813" t="n">
        <v>14160822</v>
      </c>
      <c r="B6813" t="n">
        <v>50356</v>
      </c>
      <c r="C6813" t="inlineStr">
        <is>
          <t>1416/08/22</t>
        </is>
      </c>
    </row>
    <row r="6814">
      <c r="A6814" t="n">
        <v>14160823</v>
      </c>
      <c r="B6814" t="n">
        <v>50357</v>
      </c>
      <c r="C6814" t="inlineStr">
        <is>
          <t>1416/08/23</t>
        </is>
      </c>
    </row>
    <row r="6815">
      <c r="A6815" t="n">
        <v>14160824</v>
      </c>
      <c r="B6815" t="n">
        <v>50358</v>
      </c>
      <c r="C6815" t="inlineStr">
        <is>
          <t>1416/08/24</t>
        </is>
      </c>
    </row>
    <row r="6816">
      <c r="A6816" t="n">
        <v>14160825</v>
      </c>
      <c r="B6816" t="n">
        <v>50359</v>
      </c>
      <c r="C6816" t="inlineStr">
        <is>
          <t>1416/08/25</t>
        </is>
      </c>
    </row>
    <row r="6817">
      <c r="A6817" t="n">
        <v>14160826</v>
      </c>
      <c r="B6817" t="n">
        <v>50360</v>
      </c>
      <c r="C6817" t="inlineStr">
        <is>
          <t>1416/08/26</t>
        </is>
      </c>
    </row>
    <row r="6818">
      <c r="A6818" t="n">
        <v>14160827</v>
      </c>
      <c r="B6818" t="n">
        <v>50361</v>
      </c>
      <c r="C6818" t="inlineStr">
        <is>
          <t>1416/08/27</t>
        </is>
      </c>
    </row>
    <row r="6819">
      <c r="A6819" t="n">
        <v>14160828</v>
      </c>
      <c r="B6819" t="n">
        <v>50362</v>
      </c>
      <c r="C6819" t="inlineStr">
        <is>
          <t>1416/08/28</t>
        </is>
      </c>
    </row>
    <row r="6820">
      <c r="A6820" t="n">
        <v>14160829</v>
      </c>
      <c r="B6820" t="n">
        <v>50363</v>
      </c>
      <c r="C6820" t="inlineStr">
        <is>
          <t>1416/08/29</t>
        </is>
      </c>
    </row>
    <row r="6821">
      <c r="A6821" t="n">
        <v>14160830</v>
      </c>
      <c r="B6821" t="n">
        <v>50364</v>
      </c>
      <c r="C6821" t="inlineStr">
        <is>
          <t>1416/08/30</t>
        </is>
      </c>
    </row>
    <row r="6822">
      <c r="A6822" t="n">
        <v>14160901</v>
      </c>
      <c r="B6822" t="n">
        <v>50365</v>
      </c>
      <c r="C6822" t="inlineStr">
        <is>
          <t>1416/09/01</t>
        </is>
      </c>
    </row>
    <row r="6823">
      <c r="A6823" t="n">
        <v>14160902</v>
      </c>
      <c r="B6823" t="n">
        <v>50366</v>
      </c>
      <c r="C6823" t="inlineStr">
        <is>
          <t>1416/09/02</t>
        </is>
      </c>
    </row>
    <row r="6824">
      <c r="A6824" t="n">
        <v>14160903</v>
      </c>
      <c r="B6824" t="n">
        <v>50367</v>
      </c>
      <c r="C6824" t="inlineStr">
        <is>
          <t>1416/09/03</t>
        </is>
      </c>
    </row>
    <row r="6825">
      <c r="A6825" t="n">
        <v>14160904</v>
      </c>
      <c r="B6825" t="n">
        <v>50368</v>
      </c>
      <c r="C6825" t="inlineStr">
        <is>
          <t>1416/09/04</t>
        </is>
      </c>
    </row>
    <row r="6826">
      <c r="A6826" t="n">
        <v>14160905</v>
      </c>
      <c r="B6826" t="n">
        <v>50369</v>
      </c>
      <c r="C6826" t="inlineStr">
        <is>
          <t>1416/09/05</t>
        </is>
      </c>
    </row>
    <row r="6827">
      <c r="A6827" t="n">
        <v>14160906</v>
      </c>
      <c r="B6827" t="n">
        <v>50370</v>
      </c>
      <c r="C6827" t="inlineStr">
        <is>
          <t>1416/09/06</t>
        </is>
      </c>
    </row>
    <row r="6828">
      <c r="A6828" t="n">
        <v>14160907</v>
      </c>
      <c r="B6828" t="n">
        <v>50371</v>
      </c>
      <c r="C6828" t="inlineStr">
        <is>
          <t>1416/09/07</t>
        </is>
      </c>
    </row>
    <row r="6829">
      <c r="A6829" t="n">
        <v>14160908</v>
      </c>
      <c r="B6829" t="n">
        <v>50372</v>
      </c>
      <c r="C6829" t="inlineStr">
        <is>
          <t>1416/09/08</t>
        </is>
      </c>
    </row>
    <row r="6830">
      <c r="A6830" t="n">
        <v>14160909</v>
      </c>
      <c r="B6830" t="n">
        <v>50373</v>
      </c>
      <c r="C6830" t="inlineStr">
        <is>
          <t>1416/09/09</t>
        </is>
      </c>
    </row>
    <row r="6831">
      <c r="A6831" t="n">
        <v>14160910</v>
      </c>
      <c r="B6831" t="n">
        <v>50374</v>
      </c>
      <c r="C6831" t="inlineStr">
        <is>
          <t>1416/09/10</t>
        </is>
      </c>
    </row>
    <row r="6832">
      <c r="A6832" t="n">
        <v>14160911</v>
      </c>
      <c r="B6832" t="n">
        <v>50375</v>
      </c>
      <c r="C6832" t="inlineStr">
        <is>
          <t>1416/09/11</t>
        </is>
      </c>
    </row>
    <row r="6833">
      <c r="A6833" t="n">
        <v>14160912</v>
      </c>
      <c r="B6833" t="n">
        <v>50376</v>
      </c>
      <c r="C6833" t="inlineStr">
        <is>
          <t>1416/09/12</t>
        </is>
      </c>
    </row>
    <row r="6834">
      <c r="A6834" t="n">
        <v>14160913</v>
      </c>
      <c r="B6834" t="n">
        <v>50377</v>
      </c>
      <c r="C6834" t="inlineStr">
        <is>
          <t>1416/09/13</t>
        </is>
      </c>
    </row>
    <row r="6835">
      <c r="A6835" t="n">
        <v>14160914</v>
      </c>
      <c r="B6835" t="n">
        <v>50378</v>
      </c>
      <c r="C6835" t="inlineStr">
        <is>
          <t>1416/09/14</t>
        </is>
      </c>
    </row>
    <row r="6836">
      <c r="A6836" t="n">
        <v>14160915</v>
      </c>
      <c r="B6836" t="n">
        <v>50379</v>
      </c>
      <c r="C6836" t="inlineStr">
        <is>
          <t>1416/09/15</t>
        </is>
      </c>
    </row>
    <row r="6837">
      <c r="A6837" t="n">
        <v>14160916</v>
      </c>
      <c r="B6837" t="n">
        <v>50380</v>
      </c>
      <c r="C6837" t="inlineStr">
        <is>
          <t>1416/09/16</t>
        </is>
      </c>
    </row>
    <row r="6838">
      <c r="A6838" t="n">
        <v>14160917</v>
      </c>
      <c r="B6838" t="n">
        <v>50381</v>
      </c>
      <c r="C6838" t="inlineStr">
        <is>
          <t>1416/09/17</t>
        </is>
      </c>
    </row>
    <row r="6839">
      <c r="A6839" t="n">
        <v>14160918</v>
      </c>
      <c r="B6839" t="n">
        <v>50382</v>
      </c>
      <c r="C6839" t="inlineStr">
        <is>
          <t>1416/09/18</t>
        </is>
      </c>
    </row>
    <row r="6840">
      <c r="A6840" t="n">
        <v>14160919</v>
      </c>
      <c r="B6840" t="n">
        <v>50383</v>
      </c>
      <c r="C6840" t="inlineStr">
        <is>
          <t>1416/09/19</t>
        </is>
      </c>
    </row>
    <row r="6841">
      <c r="A6841" t="n">
        <v>14160920</v>
      </c>
      <c r="B6841" t="n">
        <v>50384</v>
      </c>
      <c r="C6841" t="inlineStr">
        <is>
          <t>1416/09/20</t>
        </is>
      </c>
    </row>
    <row r="6842">
      <c r="A6842" t="n">
        <v>14160921</v>
      </c>
      <c r="B6842" t="n">
        <v>50385</v>
      </c>
      <c r="C6842" t="inlineStr">
        <is>
          <t>1416/09/21</t>
        </is>
      </c>
    </row>
    <row r="6843">
      <c r="A6843" t="n">
        <v>14160922</v>
      </c>
      <c r="B6843" t="n">
        <v>50386</v>
      </c>
      <c r="C6843" t="inlineStr">
        <is>
          <t>1416/09/22</t>
        </is>
      </c>
    </row>
    <row r="6844">
      <c r="A6844" t="n">
        <v>14160923</v>
      </c>
      <c r="B6844" t="n">
        <v>50387</v>
      </c>
      <c r="C6844" t="inlineStr">
        <is>
          <t>1416/09/23</t>
        </is>
      </c>
    </row>
    <row r="6845">
      <c r="A6845" t="n">
        <v>14160924</v>
      </c>
      <c r="B6845" t="n">
        <v>50388</v>
      </c>
      <c r="C6845" t="inlineStr">
        <is>
          <t>1416/09/24</t>
        </is>
      </c>
    </row>
    <row r="6846">
      <c r="A6846" t="n">
        <v>14160925</v>
      </c>
      <c r="B6846" t="n">
        <v>50389</v>
      </c>
      <c r="C6846" t="inlineStr">
        <is>
          <t>1416/09/25</t>
        </is>
      </c>
    </row>
    <row r="6847">
      <c r="A6847" t="n">
        <v>14160926</v>
      </c>
      <c r="B6847" t="n">
        <v>50390</v>
      </c>
      <c r="C6847" t="inlineStr">
        <is>
          <t>1416/09/26</t>
        </is>
      </c>
    </row>
    <row r="6848">
      <c r="A6848" t="n">
        <v>14160927</v>
      </c>
      <c r="B6848" t="n">
        <v>50391</v>
      </c>
      <c r="C6848" t="inlineStr">
        <is>
          <t>1416/09/27</t>
        </is>
      </c>
    </row>
    <row r="6849">
      <c r="A6849" t="n">
        <v>14160928</v>
      </c>
      <c r="B6849" t="n">
        <v>50392</v>
      </c>
      <c r="C6849" t="inlineStr">
        <is>
          <t>1416/09/28</t>
        </is>
      </c>
    </row>
    <row r="6850">
      <c r="A6850" t="n">
        <v>14160929</v>
      </c>
      <c r="B6850" t="n">
        <v>50393</v>
      </c>
      <c r="C6850" t="inlineStr">
        <is>
          <t>1416/09/29</t>
        </is>
      </c>
    </row>
    <row r="6851">
      <c r="A6851" t="n">
        <v>14160930</v>
      </c>
      <c r="B6851" t="n">
        <v>50394</v>
      </c>
      <c r="C6851" t="inlineStr">
        <is>
          <t>1416/09/30</t>
        </is>
      </c>
    </row>
    <row r="6852">
      <c r="A6852" t="n">
        <v>14161001</v>
      </c>
      <c r="B6852" t="n">
        <v>50395</v>
      </c>
      <c r="C6852" t="inlineStr">
        <is>
          <t>1416/10/01</t>
        </is>
      </c>
    </row>
    <row r="6853">
      <c r="A6853" t="n">
        <v>14161002</v>
      </c>
      <c r="B6853" t="n">
        <v>50396</v>
      </c>
      <c r="C6853" t="inlineStr">
        <is>
          <t>1416/10/02</t>
        </is>
      </c>
    </row>
    <row r="6854">
      <c r="A6854" t="n">
        <v>14161003</v>
      </c>
      <c r="B6854" t="n">
        <v>50397</v>
      </c>
      <c r="C6854" t="inlineStr">
        <is>
          <t>1416/10/03</t>
        </is>
      </c>
    </row>
    <row r="6855">
      <c r="A6855" t="n">
        <v>14161004</v>
      </c>
      <c r="B6855" t="n">
        <v>50398</v>
      </c>
      <c r="C6855" t="inlineStr">
        <is>
          <t>1416/10/04</t>
        </is>
      </c>
    </row>
    <row r="6856">
      <c r="A6856" t="n">
        <v>14161005</v>
      </c>
      <c r="B6856" t="n">
        <v>50399</v>
      </c>
      <c r="C6856" t="inlineStr">
        <is>
          <t>1416/10/05</t>
        </is>
      </c>
    </row>
    <row r="6857">
      <c r="A6857" t="n">
        <v>14161006</v>
      </c>
      <c r="B6857" t="n">
        <v>50400</v>
      </c>
      <c r="C6857" t="inlineStr">
        <is>
          <t>1416/10/06</t>
        </is>
      </c>
    </row>
    <row r="6858">
      <c r="A6858" t="n">
        <v>14161007</v>
      </c>
      <c r="B6858" t="n">
        <v>50401</v>
      </c>
      <c r="C6858" t="inlineStr">
        <is>
          <t>1416/10/07</t>
        </is>
      </c>
    </row>
    <row r="6859">
      <c r="A6859" t="n">
        <v>14161008</v>
      </c>
      <c r="B6859" t="n">
        <v>50402</v>
      </c>
      <c r="C6859" t="inlineStr">
        <is>
          <t>1416/10/08</t>
        </is>
      </c>
    </row>
    <row r="6860">
      <c r="A6860" t="n">
        <v>14161009</v>
      </c>
      <c r="B6860" t="n">
        <v>50403</v>
      </c>
      <c r="C6860" t="inlineStr">
        <is>
          <t>1416/10/09</t>
        </is>
      </c>
    </row>
    <row r="6861">
      <c r="A6861" t="n">
        <v>14161010</v>
      </c>
      <c r="B6861" t="n">
        <v>50404</v>
      </c>
      <c r="C6861" t="inlineStr">
        <is>
          <t>1416/10/10</t>
        </is>
      </c>
    </row>
    <row r="6862">
      <c r="A6862" t="n">
        <v>14161011</v>
      </c>
      <c r="B6862" t="n">
        <v>50405</v>
      </c>
      <c r="C6862" t="inlineStr">
        <is>
          <t>1416/10/11</t>
        </is>
      </c>
    </row>
    <row r="6863">
      <c r="A6863" t="n">
        <v>14161012</v>
      </c>
      <c r="B6863" t="n">
        <v>50406</v>
      </c>
      <c r="C6863" t="inlineStr">
        <is>
          <t>1416/10/12</t>
        </is>
      </c>
    </row>
    <row r="6864">
      <c r="A6864" t="n">
        <v>14161013</v>
      </c>
      <c r="B6864" t="n">
        <v>50407</v>
      </c>
      <c r="C6864" t="inlineStr">
        <is>
          <t>1416/10/13</t>
        </is>
      </c>
    </row>
    <row r="6865">
      <c r="A6865" t="n">
        <v>14161014</v>
      </c>
      <c r="B6865" t="n">
        <v>50408</v>
      </c>
      <c r="C6865" t="inlineStr">
        <is>
          <t>1416/10/14</t>
        </is>
      </c>
    </row>
    <row r="6866">
      <c r="A6866" t="n">
        <v>14161015</v>
      </c>
      <c r="B6866" t="n">
        <v>50409</v>
      </c>
      <c r="C6866" t="inlineStr">
        <is>
          <t>1416/10/15</t>
        </is>
      </c>
    </row>
    <row r="6867">
      <c r="A6867" t="n">
        <v>14161016</v>
      </c>
      <c r="B6867" t="n">
        <v>50410</v>
      </c>
      <c r="C6867" t="inlineStr">
        <is>
          <t>1416/10/16</t>
        </is>
      </c>
    </row>
    <row r="6868">
      <c r="A6868" t="n">
        <v>14161017</v>
      </c>
      <c r="B6868" t="n">
        <v>50411</v>
      </c>
      <c r="C6868" t="inlineStr">
        <is>
          <t>1416/10/17</t>
        </is>
      </c>
    </row>
    <row r="6869">
      <c r="A6869" t="n">
        <v>14161018</v>
      </c>
      <c r="B6869" t="n">
        <v>50412</v>
      </c>
      <c r="C6869" t="inlineStr">
        <is>
          <t>1416/10/18</t>
        </is>
      </c>
    </row>
    <row r="6870">
      <c r="A6870" t="n">
        <v>14161019</v>
      </c>
      <c r="B6870" t="n">
        <v>50413</v>
      </c>
      <c r="C6870" t="inlineStr">
        <is>
          <t>1416/10/19</t>
        </is>
      </c>
    </row>
    <row r="6871">
      <c r="A6871" t="n">
        <v>14161020</v>
      </c>
      <c r="B6871" t="n">
        <v>50414</v>
      </c>
      <c r="C6871" t="inlineStr">
        <is>
          <t>1416/10/20</t>
        </is>
      </c>
    </row>
    <row r="6872">
      <c r="A6872" t="n">
        <v>14161021</v>
      </c>
      <c r="B6872" t="n">
        <v>50415</v>
      </c>
      <c r="C6872" t="inlineStr">
        <is>
          <t>1416/10/21</t>
        </is>
      </c>
    </row>
    <row r="6873">
      <c r="A6873" t="n">
        <v>14161022</v>
      </c>
      <c r="B6873" t="n">
        <v>50416</v>
      </c>
      <c r="C6873" t="inlineStr">
        <is>
          <t>1416/10/22</t>
        </is>
      </c>
    </row>
    <row r="6874">
      <c r="A6874" t="n">
        <v>14161023</v>
      </c>
      <c r="B6874" t="n">
        <v>50417</v>
      </c>
      <c r="C6874" t="inlineStr">
        <is>
          <t>1416/10/23</t>
        </is>
      </c>
    </row>
    <row r="6875">
      <c r="A6875" t="n">
        <v>14161024</v>
      </c>
      <c r="B6875" t="n">
        <v>50418</v>
      </c>
      <c r="C6875" t="inlineStr">
        <is>
          <t>1416/10/24</t>
        </is>
      </c>
    </row>
    <row r="6876">
      <c r="A6876" t="n">
        <v>14161025</v>
      </c>
      <c r="B6876" t="n">
        <v>50419</v>
      </c>
      <c r="C6876" t="inlineStr">
        <is>
          <t>1416/10/25</t>
        </is>
      </c>
    </row>
    <row r="6877">
      <c r="A6877" t="n">
        <v>14161026</v>
      </c>
      <c r="B6877" t="n">
        <v>50420</v>
      </c>
      <c r="C6877" t="inlineStr">
        <is>
          <t>1416/10/26</t>
        </is>
      </c>
    </row>
    <row r="6878">
      <c r="A6878" t="n">
        <v>14161027</v>
      </c>
      <c r="B6878" t="n">
        <v>50421</v>
      </c>
      <c r="C6878" t="inlineStr">
        <is>
          <t>1416/10/27</t>
        </is>
      </c>
    </row>
    <row r="6879">
      <c r="A6879" t="n">
        <v>14161028</v>
      </c>
      <c r="B6879" t="n">
        <v>50422</v>
      </c>
      <c r="C6879" t="inlineStr">
        <is>
          <t>1416/10/28</t>
        </is>
      </c>
    </row>
    <row r="6880">
      <c r="A6880" t="n">
        <v>14161029</v>
      </c>
      <c r="B6880" t="n">
        <v>50423</v>
      </c>
      <c r="C6880" t="inlineStr">
        <is>
          <t>1416/10/29</t>
        </is>
      </c>
    </row>
    <row r="6881">
      <c r="A6881" t="n">
        <v>14161030</v>
      </c>
      <c r="B6881" t="n">
        <v>50424</v>
      </c>
      <c r="C6881" t="inlineStr">
        <is>
          <t>1416/10/30</t>
        </is>
      </c>
    </row>
    <row r="6882">
      <c r="A6882" t="n">
        <v>14161101</v>
      </c>
      <c r="B6882" t="n">
        <v>50425</v>
      </c>
      <c r="C6882" t="inlineStr">
        <is>
          <t>1416/11/01</t>
        </is>
      </c>
    </row>
    <row r="6883">
      <c r="A6883" t="n">
        <v>14161102</v>
      </c>
      <c r="B6883" t="n">
        <v>50426</v>
      </c>
      <c r="C6883" t="inlineStr">
        <is>
          <t>1416/11/02</t>
        </is>
      </c>
    </row>
    <row r="6884">
      <c r="A6884" t="n">
        <v>14161103</v>
      </c>
      <c r="B6884" t="n">
        <v>50427</v>
      </c>
      <c r="C6884" t="inlineStr">
        <is>
          <t>1416/11/03</t>
        </is>
      </c>
    </row>
    <row r="6885">
      <c r="A6885" t="n">
        <v>14161104</v>
      </c>
      <c r="B6885" t="n">
        <v>50428</v>
      </c>
      <c r="C6885" t="inlineStr">
        <is>
          <t>1416/11/04</t>
        </is>
      </c>
    </row>
    <row r="6886">
      <c r="A6886" t="n">
        <v>14161105</v>
      </c>
      <c r="B6886" t="n">
        <v>50429</v>
      </c>
      <c r="C6886" t="inlineStr">
        <is>
          <t>1416/11/05</t>
        </is>
      </c>
    </row>
    <row r="6887">
      <c r="A6887" t="n">
        <v>14161106</v>
      </c>
      <c r="B6887" t="n">
        <v>50430</v>
      </c>
      <c r="C6887" t="inlineStr">
        <is>
          <t>1416/11/06</t>
        </is>
      </c>
    </row>
    <row r="6888">
      <c r="A6888" t="n">
        <v>14161107</v>
      </c>
      <c r="B6888" t="n">
        <v>50431</v>
      </c>
      <c r="C6888" t="inlineStr">
        <is>
          <t>1416/11/07</t>
        </is>
      </c>
    </row>
    <row r="6889">
      <c r="A6889" t="n">
        <v>14161108</v>
      </c>
      <c r="B6889" t="n">
        <v>50432</v>
      </c>
      <c r="C6889" t="inlineStr">
        <is>
          <t>1416/11/08</t>
        </is>
      </c>
    </row>
    <row r="6890">
      <c r="A6890" t="n">
        <v>14161109</v>
      </c>
      <c r="B6890" t="n">
        <v>50433</v>
      </c>
      <c r="C6890" t="inlineStr">
        <is>
          <t>1416/11/09</t>
        </is>
      </c>
    </row>
    <row r="6891">
      <c r="A6891" t="n">
        <v>14161110</v>
      </c>
      <c r="B6891" t="n">
        <v>50434</v>
      </c>
      <c r="C6891" t="inlineStr">
        <is>
          <t>1416/11/10</t>
        </is>
      </c>
    </row>
    <row r="6892">
      <c r="A6892" t="n">
        <v>14161111</v>
      </c>
      <c r="B6892" t="n">
        <v>50435</v>
      </c>
      <c r="C6892" t="inlineStr">
        <is>
          <t>1416/11/11</t>
        </is>
      </c>
    </row>
    <row r="6893">
      <c r="A6893" t="n">
        <v>14161112</v>
      </c>
      <c r="B6893" t="n">
        <v>50436</v>
      </c>
      <c r="C6893" t="inlineStr">
        <is>
          <t>1416/11/12</t>
        </is>
      </c>
    </row>
    <row r="6894">
      <c r="A6894" t="n">
        <v>14161113</v>
      </c>
      <c r="B6894" t="n">
        <v>50437</v>
      </c>
      <c r="C6894" t="inlineStr">
        <is>
          <t>1416/11/13</t>
        </is>
      </c>
    </row>
    <row r="6895">
      <c r="A6895" t="n">
        <v>14161114</v>
      </c>
      <c r="B6895" t="n">
        <v>50438</v>
      </c>
      <c r="C6895" t="inlineStr">
        <is>
          <t>1416/11/14</t>
        </is>
      </c>
    </row>
    <row r="6896">
      <c r="A6896" t="n">
        <v>14161115</v>
      </c>
      <c r="B6896" t="n">
        <v>50439</v>
      </c>
      <c r="C6896" t="inlineStr">
        <is>
          <t>1416/11/15</t>
        </is>
      </c>
    </row>
    <row r="6897">
      <c r="A6897" t="n">
        <v>14161116</v>
      </c>
      <c r="B6897" t="n">
        <v>50440</v>
      </c>
      <c r="C6897" t="inlineStr">
        <is>
          <t>1416/11/16</t>
        </is>
      </c>
    </row>
    <row r="6898">
      <c r="A6898" t="n">
        <v>14161117</v>
      </c>
      <c r="B6898" t="n">
        <v>50441</v>
      </c>
      <c r="C6898" t="inlineStr">
        <is>
          <t>1416/11/17</t>
        </is>
      </c>
    </row>
    <row r="6899">
      <c r="A6899" t="n">
        <v>14161118</v>
      </c>
      <c r="B6899" t="n">
        <v>50442</v>
      </c>
      <c r="C6899" t="inlineStr">
        <is>
          <t>1416/11/18</t>
        </is>
      </c>
    </row>
    <row r="6900">
      <c r="A6900" t="n">
        <v>14161119</v>
      </c>
      <c r="B6900" t="n">
        <v>50443</v>
      </c>
      <c r="C6900" t="inlineStr">
        <is>
          <t>1416/11/19</t>
        </is>
      </c>
    </row>
    <row r="6901">
      <c r="A6901" t="n">
        <v>14161120</v>
      </c>
      <c r="B6901" t="n">
        <v>50444</v>
      </c>
      <c r="C6901" t="inlineStr">
        <is>
          <t>1416/11/20</t>
        </is>
      </c>
    </row>
    <row r="6902">
      <c r="A6902" t="n">
        <v>14161121</v>
      </c>
      <c r="B6902" t="n">
        <v>50445</v>
      </c>
      <c r="C6902" t="inlineStr">
        <is>
          <t>1416/11/21</t>
        </is>
      </c>
    </row>
    <row r="6903">
      <c r="A6903" t="n">
        <v>14161122</v>
      </c>
      <c r="B6903" t="n">
        <v>50446</v>
      </c>
      <c r="C6903" t="inlineStr">
        <is>
          <t>1416/11/22</t>
        </is>
      </c>
    </row>
    <row r="6904">
      <c r="A6904" t="n">
        <v>14161123</v>
      </c>
      <c r="B6904" t="n">
        <v>50447</v>
      </c>
      <c r="C6904" t="inlineStr">
        <is>
          <t>1416/11/23</t>
        </is>
      </c>
    </row>
    <row r="6905">
      <c r="A6905" t="n">
        <v>14161124</v>
      </c>
      <c r="B6905" t="n">
        <v>50448</v>
      </c>
      <c r="C6905" t="inlineStr">
        <is>
          <t>1416/11/24</t>
        </is>
      </c>
    </row>
    <row r="6906">
      <c r="A6906" t="n">
        <v>14161125</v>
      </c>
      <c r="B6906" t="n">
        <v>50449</v>
      </c>
      <c r="C6906" t="inlineStr">
        <is>
          <t>1416/11/25</t>
        </is>
      </c>
    </row>
    <row r="6907">
      <c r="A6907" t="n">
        <v>14161126</v>
      </c>
      <c r="B6907" t="n">
        <v>50450</v>
      </c>
      <c r="C6907" t="inlineStr">
        <is>
          <t>1416/11/26</t>
        </is>
      </c>
    </row>
    <row r="6908">
      <c r="A6908" t="n">
        <v>14161127</v>
      </c>
      <c r="B6908" t="n">
        <v>50451</v>
      </c>
      <c r="C6908" t="inlineStr">
        <is>
          <t>1416/11/27</t>
        </is>
      </c>
    </row>
    <row r="6909">
      <c r="A6909" t="n">
        <v>14161128</v>
      </c>
      <c r="B6909" t="n">
        <v>50452</v>
      </c>
      <c r="C6909" t="inlineStr">
        <is>
          <t>1416/11/28</t>
        </is>
      </c>
    </row>
    <row r="6910">
      <c r="A6910" t="n">
        <v>14161129</v>
      </c>
      <c r="B6910" t="n">
        <v>50453</v>
      </c>
      <c r="C6910" t="inlineStr">
        <is>
          <t>1416/11/29</t>
        </is>
      </c>
    </row>
    <row r="6911">
      <c r="A6911" t="n">
        <v>14161130</v>
      </c>
      <c r="B6911" t="n">
        <v>50454</v>
      </c>
      <c r="C6911" t="inlineStr">
        <is>
          <t>1416/11/30</t>
        </is>
      </c>
    </row>
    <row r="6912">
      <c r="A6912" t="n">
        <v>14161201</v>
      </c>
      <c r="B6912" t="n">
        <v>50455</v>
      </c>
      <c r="C6912" t="inlineStr">
        <is>
          <t>1416/12/01</t>
        </is>
      </c>
    </row>
    <row r="6913">
      <c r="A6913" t="n">
        <v>14161202</v>
      </c>
      <c r="B6913" t="n">
        <v>50456</v>
      </c>
      <c r="C6913" t="inlineStr">
        <is>
          <t>1416/12/02</t>
        </is>
      </c>
    </row>
    <row r="6914">
      <c r="A6914" t="n">
        <v>14161203</v>
      </c>
      <c r="B6914" t="n">
        <v>50457</v>
      </c>
      <c r="C6914" t="inlineStr">
        <is>
          <t>1416/12/03</t>
        </is>
      </c>
    </row>
    <row r="6915">
      <c r="A6915" t="n">
        <v>14161204</v>
      </c>
      <c r="B6915" t="n">
        <v>50458</v>
      </c>
      <c r="C6915" t="inlineStr">
        <is>
          <t>1416/12/04</t>
        </is>
      </c>
    </row>
    <row r="6916">
      <c r="A6916" t="n">
        <v>14161205</v>
      </c>
      <c r="B6916" t="n">
        <v>50459</v>
      </c>
      <c r="C6916" t="inlineStr">
        <is>
          <t>1416/12/05</t>
        </is>
      </c>
    </row>
    <row r="6917">
      <c r="A6917" t="n">
        <v>14161206</v>
      </c>
      <c r="B6917" t="n">
        <v>50460</v>
      </c>
      <c r="C6917" t="inlineStr">
        <is>
          <t>1416/12/06</t>
        </is>
      </c>
    </row>
    <row r="6918">
      <c r="A6918" t="n">
        <v>14161207</v>
      </c>
      <c r="B6918" t="n">
        <v>50461</v>
      </c>
      <c r="C6918" t="inlineStr">
        <is>
          <t>1416/12/07</t>
        </is>
      </c>
    </row>
    <row r="6919">
      <c r="A6919" t="n">
        <v>14161208</v>
      </c>
      <c r="B6919" t="n">
        <v>50462</v>
      </c>
      <c r="C6919" t="inlineStr">
        <is>
          <t>1416/12/08</t>
        </is>
      </c>
    </row>
    <row r="6920">
      <c r="A6920" t="n">
        <v>14161209</v>
      </c>
      <c r="B6920" t="n">
        <v>50463</v>
      </c>
      <c r="C6920" t="inlineStr">
        <is>
          <t>1416/12/09</t>
        </is>
      </c>
    </row>
    <row r="6921">
      <c r="A6921" t="n">
        <v>14161210</v>
      </c>
      <c r="B6921" t="n">
        <v>50464</v>
      </c>
      <c r="C6921" t="inlineStr">
        <is>
          <t>1416/12/10</t>
        </is>
      </c>
    </row>
    <row r="6922">
      <c r="A6922" t="n">
        <v>14161211</v>
      </c>
      <c r="B6922" t="n">
        <v>50465</v>
      </c>
      <c r="C6922" t="inlineStr">
        <is>
          <t>1416/12/11</t>
        </is>
      </c>
    </row>
    <row r="6923">
      <c r="A6923" t="n">
        <v>14161212</v>
      </c>
      <c r="B6923" t="n">
        <v>50466</v>
      </c>
      <c r="C6923" t="inlineStr">
        <is>
          <t>1416/12/12</t>
        </is>
      </c>
    </row>
    <row r="6924">
      <c r="A6924" t="n">
        <v>14161213</v>
      </c>
      <c r="B6924" t="n">
        <v>50467</v>
      </c>
      <c r="C6924" t="inlineStr">
        <is>
          <t>1416/12/13</t>
        </is>
      </c>
    </row>
    <row r="6925">
      <c r="A6925" t="n">
        <v>14161214</v>
      </c>
      <c r="B6925" t="n">
        <v>50468</v>
      </c>
      <c r="C6925" t="inlineStr">
        <is>
          <t>1416/12/14</t>
        </is>
      </c>
    </row>
    <row r="6926">
      <c r="A6926" t="n">
        <v>14161215</v>
      </c>
      <c r="B6926" t="n">
        <v>50469</v>
      </c>
      <c r="C6926" t="inlineStr">
        <is>
          <t>1416/12/15</t>
        </is>
      </c>
    </row>
    <row r="6927">
      <c r="A6927" t="n">
        <v>14161216</v>
      </c>
      <c r="B6927" t="n">
        <v>50470</v>
      </c>
      <c r="C6927" t="inlineStr">
        <is>
          <t>1416/12/16</t>
        </is>
      </c>
    </row>
    <row r="6928">
      <c r="A6928" t="n">
        <v>14161217</v>
      </c>
      <c r="B6928" t="n">
        <v>50471</v>
      </c>
      <c r="C6928" t="inlineStr">
        <is>
          <t>1416/12/17</t>
        </is>
      </c>
    </row>
    <row r="6929">
      <c r="A6929" t="n">
        <v>14161218</v>
      </c>
      <c r="B6929" t="n">
        <v>50472</v>
      </c>
      <c r="C6929" t="inlineStr">
        <is>
          <t>1416/12/18</t>
        </is>
      </c>
    </row>
    <row r="6930">
      <c r="A6930" t="n">
        <v>14161219</v>
      </c>
      <c r="B6930" t="n">
        <v>50473</v>
      </c>
      <c r="C6930" t="inlineStr">
        <is>
          <t>1416/12/19</t>
        </is>
      </c>
    </row>
    <row r="6931">
      <c r="A6931" t="n">
        <v>14161220</v>
      </c>
      <c r="B6931" t="n">
        <v>50474</v>
      </c>
      <c r="C6931" t="inlineStr">
        <is>
          <t>1416/12/20</t>
        </is>
      </c>
    </row>
    <row r="6932">
      <c r="A6932" t="n">
        <v>14161221</v>
      </c>
      <c r="B6932" t="n">
        <v>50475</v>
      </c>
      <c r="C6932" t="inlineStr">
        <is>
          <t>1416/12/21</t>
        </is>
      </c>
    </row>
    <row r="6933">
      <c r="A6933" t="n">
        <v>14161222</v>
      </c>
      <c r="B6933" t="n">
        <v>50476</v>
      </c>
      <c r="C6933" t="inlineStr">
        <is>
          <t>1416/12/22</t>
        </is>
      </c>
    </row>
    <row r="6934">
      <c r="A6934" t="n">
        <v>14161223</v>
      </c>
      <c r="B6934" t="n">
        <v>50477</v>
      </c>
      <c r="C6934" t="inlineStr">
        <is>
          <t>1416/12/23</t>
        </is>
      </c>
    </row>
    <row r="6935">
      <c r="A6935" t="n">
        <v>14161224</v>
      </c>
      <c r="B6935" t="n">
        <v>50478</v>
      </c>
      <c r="C6935" t="inlineStr">
        <is>
          <t>1416/12/24</t>
        </is>
      </c>
    </row>
    <row r="6936">
      <c r="A6936" t="n">
        <v>14161225</v>
      </c>
      <c r="B6936" t="n">
        <v>50479</v>
      </c>
      <c r="C6936" t="inlineStr">
        <is>
          <t>1416/12/25</t>
        </is>
      </c>
    </row>
    <row r="6937">
      <c r="A6937" t="n">
        <v>14161226</v>
      </c>
      <c r="B6937" t="n">
        <v>50480</v>
      </c>
      <c r="C6937" t="inlineStr">
        <is>
          <t>1416/12/26</t>
        </is>
      </c>
    </row>
    <row r="6938">
      <c r="A6938" t="n">
        <v>14161227</v>
      </c>
      <c r="B6938" t="n">
        <v>50481</v>
      </c>
      <c r="C6938" t="inlineStr">
        <is>
          <t>1416/12/27</t>
        </is>
      </c>
    </row>
    <row r="6939">
      <c r="A6939" t="n">
        <v>14161228</v>
      </c>
      <c r="B6939" t="n">
        <v>50482</v>
      </c>
      <c r="C6939" t="inlineStr">
        <is>
          <t>1416/12/28</t>
        </is>
      </c>
    </row>
    <row r="6940">
      <c r="A6940" t="n">
        <v>14161229</v>
      </c>
      <c r="B6940" t="n">
        <v>50483</v>
      </c>
      <c r="C6940" t="inlineStr">
        <is>
          <t>1416/12/29</t>
        </is>
      </c>
    </row>
    <row r="6941">
      <c r="A6941" t="n">
        <v>14161230</v>
      </c>
      <c r="B6941" t="n">
        <v>50484</v>
      </c>
      <c r="C6941" t="inlineStr">
        <is>
          <t>1416/12/30</t>
        </is>
      </c>
    </row>
    <row r="6942">
      <c r="A6942" t="n">
        <v>14170101</v>
      </c>
      <c r="B6942" t="n">
        <v>50485</v>
      </c>
      <c r="C6942" t="inlineStr">
        <is>
          <t>1417/01/01</t>
        </is>
      </c>
    </row>
    <row r="6943">
      <c r="A6943" t="n">
        <v>14170102</v>
      </c>
      <c r="B6943" t="n">
        <v>50486</v>
      </c>
      <c r="C6943" t="inlineStr">
        <is>
          <t>1417/01/02</t>
        </is>
      </c>
    </row>
    <row r="6944">
      <c r="A6944" t="n">
        <v>14170103</v>
      </c>
      <c r="B6944" t="n">
        <v>50487</v>
      </c>
      <c r="C6944" t="inlineStr">
        <is>
          <t>1417/01/03</t>
        </is>
      </c>
    </row>
    <row r="6945">
      <c r="A6945" t="n">
        <v>14170104</v>
      </c>
      <c r="B6945" t="n">
        <v>50488</v>
      </c>
      <c r="C6945" t="inlineStr">
        <is>
          <t>1417/01/04</t>
        </is>
      </c>
    </row>
    <row r="6946">
      <c r="A6946" t="n">
        <v>14170105</v>
      </c>
      <c r="B6946" t="n">
        <v>50489</v>
      </c>
      <c r="C6946" t="inlineStr">
        <is>
          <t>1417/01/05</t>
        </is>
      </c>
    </row>
    <row r="6947">
      <c r="A6947" t="n">
        <v>14170106</v>
      </c>
      <c r="B6947" t="n">
        <v>50490</v>
      </c>
      <c r="C6947" t="inlineStr">
        <is>
          <t>1417/01/06</t>
        </is>
      </c>
    </row>
    <row r="6948">
      <c r="A6948" t="n">
        <v>14170107</v>
      </c>
      <c r="B6948" t="n">
        <v>50491</v>
      </c>
      <c r="C6948" t="inlineStr">
        <is>
          <t>1417/01/07</t>
        </is>
      </c>
    </row>
    <row r="6949">
      <c r="A6949" t="n">
        <v>14170108</v>
      </c>
      <c r="B6949" t="n">
        <v>50492</v>
      </c>
      <c r="C6949" t="inlineStr">
        <is>
          <t>1417/01/08</t>
        </is>
      </c>
    </row>
    <row r="6950">
      <c r="A6950" t="n">
        <v>14170109</v>
      </c>
      <c r="B6950" t="n">
        <v>50493</v>
      </c>
      <c r="C6950" t="inlineStr">
        <is>
          <t>1417/01/09</t>
        </is>
      </c>
    </row>
    <row r="6951">
      <c r="A6951" t="n">
        <v>14170110</v>
      </c>
      <c r="B6951" t="n">
        <v>50494</v>
      </c>
      <c r="C6951" t="inlineStr">
        <is>
          <t>1417/01/10</t>
        </is>
      </c>
    </row>
    <row r="6952">
      <c r="A6952" t="n">
        <v>14170111</v>
      </c>
      <c r="B6952" t="n">
        <v>50495</v>
      </c>
      <c r="C6952" t="inlineStr">
        <is>
          <t>1417/01/11</t>
        </is>
      </c>
    </row>
    <row r="6953">
      <c r="A6953" t="n">
        <v>14170112</v>
      </c>
      <c r="B6953" t="n">
        <v>50496</v>
      </c>
      <c r="C6953" t="inlineStr">
        <is>
          <t>1417/01/12</t>
        </is>
      </c>
    </row>
    <row r="6954">
      <c r="A6954" t="n">
        <v>14170113</v>
      </c>
      <c r="B6954" t="n">
        <v>50497</v>
      </c>
      <c r="C6954" t="inlineStr">
        <is>
          <t>1417/01/13</t>
        </is>
      </c>
    </row>
    <row r="6955">
      <c r="A6955" t="n">
        <v>14170114</v>
      </c>
      <c r="B6955" t="n">
        <v>50498</v>
      </c>
      <c r="C6955" t="inlineStr">
        <is>
          <t>1417/01/14</t>
        </is>
      </c>
    </row>
    <row r="6956">
      <c r="A6956" t="n">
        <v>14170115</v>
      </c>
      <c r="B6956" t="n">
        <v>50499</v>
      </c>
      <c r="C6956" t="inlineStr">
        <is>
          <t>1417/01/15</t>
        </is>
      </c>
    </row>
    <row r="6957">
      <c r="A6957" t="n">
        <v>14170116</v>
      </c>
      <c r="B6957" t="n">
        <v>50500</v>
      </c>
      <c r="C6957" t="inlineStr">
        <is>
          <t>1417/01/16</t>
        </is>
      </c>
    </row>
    <row r="6958">
      <c r="A6958" t="n">
        <v>14170117</v>
      </c>
      <c r="B6958" t="n">
        <v>50501</v>
      </c>
      <c r="C6958" t="inlineStr">
        <is>
          <t>1417/01/17</t>
        </is>
      </c>
    </row>
    <row r="6959">
      <c r="A6959" t="n">
        <v>14170118</v>
      </c>
      <c r="B6959" t="n">
        <v>50502</v>
      </c>
      <c r="C6959" t="inlineStr">
        <is>
          <t>1417/01/18</t>
        </is>
      </c>
    </row>
    <row r="6960">
      <c r="A6960" t="n">
        <v>14170119</v>
      </c>
      <c r="B6960" t="n">
        <v>50503</v>
      </c>
      <c r="C6960" t="inlineStr">
        <is>
          <t>1417/01/19</t>
        </is>
      </c>
    </row>
    <row r="6961">
      <c r="A6961" t="n">
        <v>14170120</v>
      </c>
      <c r="B6961" t="n">
        <v>50504</v>
      </c>
      <c r="C6961" t="inlineStr">
        <is>
          <t>1417/01/20</t>
        </is>
      </c>
    </row>
    <row r="6962">
      <c r="A6962" t="n">
        <v>14170121</v>
      </c>
      <c r="B6962" t="n">
        <v>50505</v>
      </c>
      <c r="C6962" t="inlineStr">
        <is>
          <t>1417/01/21</t>
        </is>
      </c>
    </row>
    <row r="6963">
      <c r="A6963" t="n">
        <v>14170122</v>
      </c>
      <c r="B6963" t="n">
        <v>50506</v>
      </c>
      <c r="C6963" t="inlineStr">
        <is>
          <t>1417/01/22</t>
        </is>
      </c>
    </row>
    <row r="6964">
      <c r="A6964" t="n">
        <v>14170123</v>
      </c>
      <c r="B6964" t="n">
        <v>50507</v>
      </c>
      <c r="C6964" t="inlineStr">
        <is>
          <t>1417/01/23</t>
        </is>
      </c>
    </row>
    <row r="6965">
      <c r="A6965" t="n">
        <v>14170124</v>
      </c>
      <c r="B6965" t="n">
        <v>50508</v>
      </c>
      <c r="C6965" t="inlineStr">
        <is>
          <t>1417/01/24</t>
        </is>
      </c>
    </row>
    <row r="6966">
      <c r="A6966" t="n">
        <v>14170125</v>
      </c>
      <c r="B6966" t="n">
        <v>50509</v>
      </c>
      <c r="C6966" t="inlineStr">
        <is>
          <t>1417/01/25</t>
        </is>
      </c>
    </row>
    <row r="6967">
      <c r="A6967" t="n">
        <v>14170126</v>
      </c>
      <c r="B6967" t="n">
        <v>50510</v>
      </c>
      <c r="C6967" t="inlineStr">
        <is>
          <t>1417/01/26</t>
        </is>
      </c>
    </row>
    <row r="6968">
      <c r="A6968" t="n">
        <v>14170127</v>
      </c>
      <c r="B6968" t="n">
        <v>50511</v>
      </c>
      <c r="C6968" t="inlineStr">
        <is>
          <t>1417/01/27</t>
        </is>
      </c>
    </row>
    <row r="6969">
      <c r="A6969" t="n">
        <v>14170128</v>
      </c>
      <c r="B6969" t="n">
        <v>50512</v>
      </c>
      <c r="C6969" t="inlineStr">
        <is>
          <t>1417/01/28</t>
        </is>
      </c>
    </row>
    <row r="6970">
      <c r="A6970" t="n">
        <v>14170129</v>
      </c>
      <c r="B6970" t="n">
        <v>50513</v>
      </c>
      <c r="C6970" t="inlineStr">
        <is>
          <t>1417/01/29</t>
        </is>
      </c>
    </row>
    <row r="6971">
      <c r="A6971" t="n">
        <v>14170130</v>
      </c>
      <c r="B6971" t="n">
        <v>50514</v>
      </c>
      <c r="C6971" t="inlineStr">
        <is>
          <t>1417/01/30</t>
        </is>
      </c>
    </row>
    <row r="6972">
      <c r="A6972" t="n">
        <v>14170131</v>
      </c>
      <c r="B6972" t="n">
        <v>50515</v>
      </c>
      <c r="C6972" t="inlineStr">
        <is>
          <t>1417/01/31</t>
        </is>
      </c>
    </row>
    <row r="6973">
      <c r="A6973" t="n">
        <v>14170201</v>
      </c>
      <c r="B6973" t="n">
        <v>50516</v>
      </c>
      <c r="C6973" t="inlineStr">
        <is>
          <t>1417/02/01</t>
        </is>
      </c>
    </row>
    <row r="6974">
      <c r="A6974" t="n">
        <v>14170202</v>
      </c>
      <c r="B6974" t="n">
        <v>50517</v>
      </c>
      <c r="C6974" t="inlineStr">
        <is>
          <t>1417/02/02</t>
        </is>
      </c>
    </row>
    <row r="6975">
      <c r="A6975" t="n">
        <v>14170203</v>
      </c>
      <c r="B6975" t="n">
        <v>50518</v>
      </c>
      <c r="C6975" t="inlineStr">
        <is>
          <t>1417/02/03</t>
        </is>
      </c>
    </row>
    <row r="6976">
      <c r="A6976" t="n">
        <v>14170204</v>
      </c>
      <c r="B6976" t="n">
        <v>50519</v>
      </c>
      <c r="C6976" t="inlineStr">
        <is>
          <t>1417/02/04</t>
        </is>
      </c>
    </row>
    <row r="6977">
      <c r="A6977" t="n">
        <v>14170205</v>
      </c>
      <c r="B6977" t="n">
        <v>50520</v>
      </c>
      <c r="C6977" t="inlineStr">
        <is>
          <t>1417/02/05</t>
        </is>
      </c>
    </row>
    <row r="6978">
      <c r="A6978" t="n">
        <v>14170206</v>
      </c>
      <c r="B6978" t="n">
        <v>50521</v>
      </c>
      <c r="C6978" t="inlineStr">
        <is>
          <t>1417/02/06</t>
        </is>
      </c>
    </row>
    <row r="6979">
      <c r="A6979" t="n">
        <v>14170207</v>
      </c>
      <c r="B6979" t="n">
        <v>50522</v>
      </c>
      <c r="C6979" t="inlineStr">
        <is>
          <t>1417/02/07</t>
        </is>
      </c>
    </row>
    <row r="6980">
      <c r="A6980" t="n">
        <v>14170208</v>
      </c>
      <c r="B6980" t="n">
        <v>50523</v>
      </c>
      <c r="C6980" t="inlineStr">
        <is>
          <t>1417/02/08</t>
        </is>
      </c>
    </row>
    <row r="6981">
      <c r="A6981" t="n">
        <v>14170209</v>
      </c>
      <c r="B6981" t="n">
        <v>50524</v>
      </c>
      <c r="C6981" t="inlineStr">
        <is>
          <t>1417/02/09</t>
        </is>
      </c>
    </row>
    <row r="6982">
      <c r="A6982" t="n">
        <v>14170210</v>
      </c>
      <c r="B6982" t="n">
        <v>50525</v>
      </c>
      <c r="C6982" t="inlineStr">
        <is>
          <t>1417/02/10</t>
        </is>
      </c>
    </row>
    <row r="6983">
      <c r="A6983" t="n">
        <v>14170211</v>
      </c>
      <c r="B6983" t="n">
        <v>50526</v>
      </c>
      <c r="C6983" t="inlineStr">
        <is>
          <t>1417/02/11</t>
        </is>
      </c>
    </row>
    <row r="6984">
      <c r="A6984" t="n">
        <v>14170212</v>
      </c>
      <c r="B6984" t="n">
        <v>50527</v>
      </c>
      <c r="C6984" t="inlineStr">
        <is>
          <t>1417/02/12</t>
        </is>
      </c>
    </row>
    <row r="6985">
      <c r="A6985" t="n">
        <v>14170213</v>
      </c>
      <c r="B6985" t="n">
        <v>50528</v>
      </c>
      <c r="C6985" t="inlineStr">
        <is>
          <t>1417/02/13</t>
        </is>
      </c>
    </row>
    <row r="6986">
      <c r="A6986" t="n">
        <v>14170214</v>
      </c>
      <c r="B6986" t="n">
        <v>50529</v>
      </c>
      <c r="C6986" t="inlineStr">
        <is>
          <t>1417/02/14</t>
        </is>
      </c>
    </row>
    <row r="6987">
      <c r="A6987" t="n">
        <v>14170215</v>
      </c>
      <c r="B6987" t="n">
        <v>50530</v>
      </c>
      <c r="C6987" t="inlineStr">
        <is>
          <t>1417/02/15</t>
        </is>
      </c>
    </row>
    <row r="6988">
      <c r="A6988" t="n">
        <v>14170216</v>
      </c>
      <c r="B6988" t="n">
        <v>50531</v>
      </c>
      <c r="C6988" t="inlineStr">
        <is>
          <t>1417/02/16</t>
        </is>
      </c>
    </row>
    <row r="6989">
      <c r="A6989" t="n">
        <v>14170217</v>
      </c>
      <c r="B6989" t="n">
        <v>50532</v>
      </c>
      <c r="C6989" t="inlineStr">
        <is>
          <t>1417/02/17</t>
        </is>
      </c>
    </row>
    <row r="6990">
      <c r="A6990" t="n">
        <v>14170218</v>
      </c>
      <c r="B6990" t="n">
        <v>50533</v>
      </c>
      <c r="C6990" t="inlineStr">
        <is>
          <t>1417/02/18</t>
        </is>
      </c>
    </row>
    <row r="6991">
      <c r="A6991" t="n">
        <v>14170219</v>
      </c>
      <c r="B6991" t="n">
        <v>50534</v>
      </c>
      <c r="C6991" t="inlineStr">
        <is>
          <t>1417/02/19</t>
        </is>
      </c>
    </row>
    <row r="6992">
      <c r="A6992" t="n">
        <v>14170220</v>
      </c>
      <c r="B6992" t="n">
        <v>50535</v>
      </c>
      <c r="C6992" t="inlineStr">
        <is>
          <t>1417/02/20</t>
        </is>
      </c>
    </row>
    <row r="6993">
      <c r="A6993" t="n">
        <v>14170221</v>
      </c>
      <c r="B6993" t="n">
        <v>50536</v>
      </c>
      <c r="C6993" t="inlineStr">
        <is>
          <t>1417/02/21</t>
        </is>
      </c>
    </row>
    <row r="6994">
      <c r="A6994" t="n">
        <v>14170222</v>
      </c>
      <c r="B6994" t="n">
        <v>50537</v>
      </c>
      <c r="C6994" t="inlineStr">
        <is>
          <t>1417/02/22</t>
        </is>
      </c>
    </row>
    <row r="6995">
      <c r="A6995" t="n">
        <v>14170223</v>
      </c>
      <c r="B6995" t="n">
        <v>50538</v>
      </c>
      <c r="C6995" t="inlineStr">
        <is>
          <t>1417/02/23</t>
        </is>
      </c>
    </row>
    <row r="6996">
      <c r="A6996" t="n">
        <v>14170224</v>
      </c>
      <c r="B6996" t="n">
        <v>50539</v>
      </c>
      <c r="C6996" t="inlineStr">
        <is>
          <t>1417/02/24</t>
        </is>
      </c>
    </row>
    <row r="6997">
      <c r="A6997" t="n">
        <v>14170225</v>
      </c>
      <c r="B6997" t="n">
        <v>50540</v>
      </c>
      <c r="C6997" t="inlineStr">
        <is>
          <t>1417/02/25</t>
        </is>
      </c>
    </row>
    <row r="6998">
      <c r="A6998" t="n">
        <v>14170226</v>
      </c>
      <c r="B6998" t="n">
        <v>50541</v>
      </c>
      <c r="C6998" t="inlineStr">
        <is>
          <t>1417/02/26</t>
        </is>
      </c>
    </row>
    <row r="6999">
      <c r="A6999" t="n">
        <v>14170227</v>
      </c>
      <c r="B6999" t="n">
        <v>50542</v>
      </c>
      <c r="C6999" t="inlineStr">
        <is>
          <t>1417/02/27</t>
        </is>
      </c>
    </row>
    <row r="7000">
      <c r="A7000" t="n">
        <v>14170228</v>
      </c>
      <c r="B7000" t="n">
        <v>50543</v>
      </c>
      <c r="C7000" t="inlineStr">
        <is>
          <t>1417/02/28</t>
        </is>
      </c>
    </row>
    <row r="7001">
      <c r="A7001" t="n">
        <v>14170229</v>
      </c>
      <c r="B7001" t="n">
        <v>50544</v>
      </c>
      <c r="C7001" t="inlineStr">
        <is>
          <t>1417/02/29</t>
        </is>
      </c>
    </row>
    <row r="7002">
      <c r="A7002" t="n">
        <v>14170230</v>
      </c>
      <c r="B7002" t="n">
        <v>50545</v>
      </c>
      <c r="C7002" t="inlineStr">
        <is>
          <t>1417/02/30</t>
        </is>
      </c>
    </row>
    <row r="7003">
      <c r="A7003" t="n">
        <v>14170231</v>
      </c>
      <c r="B7003" t="n">
        <v>50546</v>
      </c>
      <c r="C7003" t="inlineStr">
        <is>
          <t>1417/02/31</t>
        </is>
      </c>
    </row>
    <row r="7004">
      <c r="A7004" t="n">
        <v>14170301</v>
      </c>
      <c r="B7004" t="n">
        <v>50547</v>
      </c>
      <c r="C7004" t="inlineStr">
        <is>
          <t>1417/03/01</t>
        </is>
      </c>
    </row>
    <row r="7005">
      <c r="A7005" t="n">
        <v>14170302</v>
      </c>
      <c r="B7005" t="n">
        <v>50548</v>
      </c>
      <c r="C7005" t="inlineStr">
        <is>
          <t>1417/03/02</t>
        </is>
      </c>
    </row>
    <row r="7006">
      <c r="A7006" t="n">
        <v>14170303</v>
      </c>
      <c r="B7006" t="n">
        <v>50549</v>
      </c>
      <c r="C7006" t="inlineStr">
        <is>
          <t>1417/03/03</t>
        </is>
      </c>
    </row>
    <row r="7007">
      <c r="A7007" t="n">
        <v>14170304</v>
      </c>
      <c r="B7007" t="n">
        <v>50550</v>
      </c>
      <c r="C7007" t="inlineStr">
        <is>
          <t>1417/03/04</t>
        </is>
      </c>
    </row>
    <row r="7008">
      <c r="A7008" t="n">
        <v>14170305</v>
      </c>
      <c r="B7008" t="n">
        <v>50551</v>
      </c>
      <c r="C7008" t="inlineStr">
        <is>
          <t>1417/03/05</t>
        </is>
      </c>
    </row>
    <row r="7009">
      <c r="A7009" t="n">
        <v>14170306</v>
      </c>
      <c r="B7009" t="n">
        <v>50552</v>
      </c>
      <c r="C7009" t="inlineStr">
        <is>
          <t>1417/03/06</t>
        </is>
      </c>
    </row>
    <row r="7010">
      <c r="A7010" t="n">
        <v>14170307</v>
      </c>
      <c r="B7010" t="n">
        <v>50553</v>
      </c>
      <c r="C7010" t="inlineStr">
        <is>
          <t>1417/03/07</t>
        </is>
      </c>
    </row>
    <row r="7011">
      <c r="A7011" t="n">
        <v>14170308</v>
      </c>
      <c r="B7011" t="n">
        <v>50554</v>
      </c>
      <c r="C7011" t="inlineStr">
        <is>
          <t>1417/03/08</t>
        </is>
      </c>
    </row>
    <row r="7012">
      <c r="A7012" t="n">
        <v>14170309</v>
      </c>
      <c r="B7012" t="n">
        <v>50555</v>
      </c>
      <c r="C7012" t="inlineStr">
        <is>
          <t>1417/03/09</t>
        </is>
      </c>
    </row>
    <row r="7013">
      <c r="A7013" t="n">
        <v>14170310</v>
      </c>
      <c r="B7013" t="n">
        <v>50556</v>
      </c>
      <c r="C7013" t="inlineStr">
        <is>
          <t>1417/03/10</t>
        </is>
      </c>
    </row>
    <row r="7014">
      <c r="A7014" t="n">
        <v>14170311</v>
      </c>
      <c r="B7014" t="n">
        <v>50557</v>
      </c>
      <c r="C7014" t="inlineStr">
        <is>
          <t>1417/03/11</t>
        </is>
      </c>
    </row>
    <row r="7015">
      <c r="A7015" t="n">
        <v>14170312</v>
      </c>
      <c r="B7015" t="n">
        <v>50558</v>
      </c>
      <c r="C7015" t="inlineStr">
        <is>
          <t>1417/03/12</t>
        </is>
      </c>
    </row>
    <row r="7016">
      <c r="A7016" t="n">
        <v>14170313</v>
      </c>
      <c r="B7016" t="n">
        <v>50559</v>
      </c>
      <c r="C7016" t="inlineStr">
        <is>
          <t>1417/03/13</t>
        </is>
      </c>
    </row>
    <row r="7017">
      <c r="A7017" t="n">
        <v>14170314</v>
      </c>
      <c r="B7017" t="n">
        <v>50560</v>
      </c>
      <c r="C7017" t="inlineStr">
        <is>
          <t>1417/03/14</t>
        </is>
      </c>
    </row>
    <row r="7018">
      <c r="A7018" t="n">
        <v>14170315</v>
      </c>
      <c r="B7018" t="n">
        <v>50561</v>
      </c>
      <c r="C7018" t="inlineStr">
        <is>
          <t>1417/03/15</t>
        </is>
      </c>
    </row>
    <row r="7019">
      <c r="A7019" t="n">
        <v>14170316</v>
      </c>
      <c r="B7019" t="n">
        <v>50562</v>
      </c>
      <c r="C7019" t="inlineStr">
        <is>
          <t>1417/03/16</t>
        </is>
      </c>
    </row>
    <row r="7020">
      <c r="A7020" t="n">
        <v>14170317</v>
      </c>
      <c r="B7020" t="n">
        <v>50563</v>
      </c>
      <c r="C7020" t="inlineStr">
        <is>
          <t>1417/03/17</t>
        </is>
      </c>
    </row>
    <row r="7021">
      <c r="A7021" t="n">
        <v>14170318</v>
      </c>
      <c r="B7021" t="n">
        <v>50564</v>
      </c>
      <c r="C7021" t="inlineStr">
        <is>
          <t>1417/03/18</t>
        </is>
      </c>
    </row>
    <row r="7022">
      <c r="A7022" t="n">
        <v>14170319</v>
      </c>
      <c r="B7022" t="n">
        <v>50565</v>
      </c>
      <c r="C7022" t="inlineStr">
        <is>
          <t>1417/03/19</t>
        </is>
      </c>
    </row>
    <row r="7023">
      <c r="A7023" t="n">
        <v>14170320</v>
      </c>
      <c r="B7023" t="n">
        <v>50566</v>
      </c>
      <c r="C7023" t="inlineStr">
        <is>
          <t>1417/03/20</t>
        </is>
      </c>
    </row>
    <row r="7024">
      <c r="A7024" t="n">
        <v>14170321</v>
      </c>
      <c r="B7024" t="n">
        <v>50567</v>
      </c>
      <c r="C7024" t="inlineStr">
        <is>
          <t>1417/03/21</t>
        </is>
      </c>
    </row>
    <row r="7025">
      <c r="A7025" t="n">
        <v>14170322</v>
      </c>
      <c r="B7025" t="n">
        <v>50568</v>
      </c>
      <c r="C7025" t="inlineStr">
        <is>
          <t>1417/03/22</t>
        </is>
      </c>
    </row>
    <row r="7026">
      <c r="A7026" t="n">
        <v>14170323</v>
      </c>
      <c r="B7026" t="n">
        <v>50569</v>
      </c>
      <c r="C7026" t="inlineStr">
        <is>
          <t>1417/03/23</t>
        </is>
      </c>
    </row>
    <row r="7027">
      <c r="A7027" t="n">
        <v>14170324</v>
      </c>
      <c r="B7027" t="n">
        <v>50570</v>
      </c>
      <c r="C7027" t="inlineStr">
        <is>
          <t>1417/03/24</t>
        </is>
      </c>
    </row>
    <row r="7028">
      <c r="A7028" t="n">
        <v>14170325</v>
      </c>
      <c r="B7028" t="n">
        <v>50571</v>
      </c>
      <c r="C7028" t="inlineStr">
        <is>
          <t>1417/03/25</t>
        </is>
      </c>
    </row>
    <row r="7029">
      <c r="A7029" t="n">
        <v>14170326</v>
      </c>
      <c r="B7029" t="n">
        <v>50572</v>
      </c>
      <c r="C7029" t="inlineStr">
        <is>
          <t>1417/03/26</t>
        </is>
      </c>
    </row>
    <row r="7030">
      <c r="A7030" t="n">
        <v>14170327</v>
      </c>
      <c r="B7030" t="n">
        <v>50573</v>
      </c>
      <c r="C7030" t="inlineStr">
        <is>
          <t>1417/03/27</t>
        </is>
      </c>
    </row>
    <row r="7031">
      <c r="A7031" t="n">
        <v>14170328</v>
      </c>
      <c r="B7031" t="n">
        <v>50574</v>
      </c>
      <c r="C7031" t="inlineStr">
        <is>
          <t>1417/03/28</t>
        </is>
      </c>
    </row>
    <row r="7032">
      <c r="A7032" t="n">
        <v>14170329</v>
      </c>
      <c r="B7032" t="n">
        <v>50575</v>
      </c>
      <c r="C7032" t="inlineStr">
        <is>
          <t>1417/03/29</t>
        </is>
      </c>
    </row>
    <row r="7033">
      <c r="A7033" t="n">
        <v>14170330</v>
      </c>
      <c r="B7033" t="n">
        <v>50576</v>
      </c>
      <c r="C7033" t="inlineStr">
        <is>
          <t>1417/03/30</t>
        </is>
      </c>
    </row>
    <row r="7034">
      <c r="A7034" t="n">
        <v>14170331</v>
      </c>
      <c r="B7034" t="n">
        <v>50577</v>
      </c>
      <c r="C7034" t="inlineStr">
        <is>
          <t>1417/03/31</t>
        </is>
      </c>
    </row>
    <row r="7035">
      <c r="A7035" t="n">
        <v>14170401</v>
      </c>
      <c r="B7035" t="n">
        <v>50578</v>
      </c>
      <c r="C7035" t="inlineStr">
        <is>
          <t>1417/04/01</t>
        </is>
      </c>
    </row>
    <row r="7036">
      <c r="A7036" t="n">
        <v>14170402</v>
      </c>
      <c r="B7036" t="n">
        <v>50579</v>
      </c>
      <c r="C7036" t="inlineStr">
        <is>
          <t>1417/04/02</t>
        </is>
      </c>
    </row>
    <row r="7037">
      <c r="A7037" t="n">
        <v>14170403</v>
      </c>
      <c r="B7037" t="n">
        <v>50580</v>
      </c>
      <c r="C7037" t="inlineStr">
        <is>
          <t>1417/04/03</t>
        </is>
      </c>
    </row>
    <row r="7038">
      <c r="A7038" t="n">
        <v>14170404</v>
      </c>
      <c r="B7038" t="n">
        <v>50581</v>
      </c>
      <c r="C7038" t="inlineStr">
        <is>
          <t>1417/04/04</t>
        </is>
      </c>
    </row>
    <row r="7039">
      <c r="A7039" t="n">
        <v>14170405</v>
      </c>
      <c r="B7039" t="n">
        <v>50582</v>
      </c>
      <c r="C7039" t="inlineStr">
        <is>
          <t>1417/04/05</t>
        </is>
      </c>
    </row>
    <row r="7040">
      <c r="A7040" t="n">
        <v>14170406</v>
      </c>
      <c r="B7040" t="n">
        <v>50583</v>
      </c>
      <c r="C7040" t="inlineStr">
        <is>
          <t>1417/04/06</t>
        </is>
      </c>
    </row>
    <row r="7041">
      <c r="A7041" t="n">
        <v>14170407</v>
      </c>
      <c r="B7041" t="n">
        <v>50584</v>
      </c>
      <c r="C7041" t="inlineStr">
        <is>
          <t>1417/04/07</t>
        </is>
      </c>
    </row>
    <row r="7042">
      <c r="A7042" t="n">
        <v>14170408</v>
      </c>
      <c r="B7042" t="n">
        <v>50585</v>
      </c>
      <c r="C7042" t="inlineStr">
        <is>
          <t>1417/04/08</t>
        </is>
      </c>
    </row>
    <row r="7043">
      <c r="A7043" t="n">
        <v>14170409</v>
      </c>
      <c r="B7043" t="n">
        <v>50586</v>
      </c>
      <c r="C7043" t="inlineStr">
        <is>
          <t>1417/04/09</t>
        </is>
      </c>
    </row>
    <row r="7044">
      <c r="A7044" t="n">
        <v>14170410</v>
      </c>
      <c r="B7044" t="n">
        <v>50587</v>
      </c>
      <c r="C7044" t="inlineStr">
        <is>
          <t>1417/04/10</t>
        </is>
      </c>
    </row>
    <row r="7045">
      <c r="A7045" t="n">
        <v>14170411</v>
      </c>
      <c r="B7045" t="n">
        <v>50588</v>
      </c>
      <c r="C7045" t="inlineStr">
        <is>
          <t>1417/04/11</t>
        </is>
      </c>
    </row>
    <row r="7046">
      <c r="A7046" t="n">
        <v>14170412</v>
      </c>
      <c r="B7046" t="n">
        <v>50589</v>
      </c>
      <c r="C7046" t="inlineStr">
        <is>
          <t>1417/04/12</t>
        </is>
      </c>
    </row>
    <row r="7047">
      <c r="A7047" t="n">
        <v>14170413</v>
      </c>
      <c r="B7047" t="n">
        <v>50590</v>
      </c>
      <c r="C7047" t="inlineStr">
        <is>
          <t>1417/04/13</t>
        </is>
      </c>
    </row>
    <row r="7048">
      <c r="A7048" t="n">
        <v>14170414</v>
      </c>
      <c r="B7048" t="n">
        <v>50591</v>
      </c>
      <c r="C7048" t="inlineStr">
        <is>
          <t>1417/04/14</t>
        </is>
      </c>
    </row>
    <row r="7049">
      <c r="A7049" t="n">
        <v>14170415</v>
      </c>
      <c r="B7049" t="n">
        <v>50592</v>
      </c>
      <c r="C7049" t="inlineStr">
        <is>
          <t>1417/04/15</t>
        </is>
      </c>
    </row>
    <row r="7050">
      <c r="A7050" t="n">
        <v>14170416</v>
      </c>
      <c r="B7050" t="n">
        <v>50593</v>
      </c>
      <c r="C7050" t="inlineStr">
        <is>
          <t>1417/04/16</t>
        </is>
      </c>
    </row>
    <row r="7051">
      <c r="A7051" t="n">
        <v>14170417</v>
      </c>
      <c r="B7051" t="n">
        <v>50594</v>
      </c>
      <c r="C7051" t="inlineStr">
        <is>
          <t>1417/04/17</t>
        </is>
      </c>
    </row>
    <row r="7052">
      <c r="A7052" t="n">
        <v>14170418</v>
      </c>
      <c r="B7052" t="n">
        <v>50595</v>
      </c>
      <c r="C7052" t="inlineStr">
        <is>
          <t>1417/04/18</t>
        </is>
      </c>
    </row>
    <row r="7053">
      <c r="A7053" t="n">
        <v>14170419</v>
      </c>
      <c r="B7053" t="n">
        <v>50596</v>
      </c>
      <c r="C7053" t="inlineStr">
        <is>
          <t>1417/04/19</t>
        </is>
      </c>
    </row>
    <row r="7054">
      <c r="A7054" t="n">
        <v>14170420</v>
      </c>
      <c r="B7054" t="n">
        <v>50597</v>
      </c>
      <c r="C7054" t="inlineStr">
        <is>
          <t>1417/04/20</t>
        </is>
      </c>
    </row>
    <row r="7055">
      <c r="A7055" t="n">
        <v>14170421</v>
      </c>
      <c r="B7055" t="n">
        <v>50598</v>
      </c>
      <c r="C7055" t="inlineStr">
        <is>
          <t>1417/04/21</t>
        </is>
      </c>
    </row>
    <row r="7056">
      <c r="A7056" t="n">
        <v>14170422</v>
      </c>
      <c r="B7056" t="n">
        <v>50599</v>
      </c>
      <c r="C7056" t="inlineStr">
        <is>
          <t>1417/04/22</t>
        </is>
      </c>
    </row>
    <row r="7057">
      <c r="A7057" t="n">
        <v>14170423</v>
      </c>
      <c r="B7057" t="n">
        <v>50600</v>
      </c>
      <c r="C7057" t="inlineStr">
        <is>
          <t>1417/04/23</t>
        </is>
      </c>
    </row>
    <row r="7058">
      <c r="A7058" t="n">
        <v>14170424</v>
      </c>
      <c r="B7058" t="n">
        <v>50601</v>
      </c>
      <c r="C7058" t="inlineStr">
        <is>
          <t>1417/04/24</t>
        </is>
      </c>
    </row>
    <row r="7059">
      <c r="A7059" t="n">
        <v>14170425</v>
      </c>
      <c r="B7059" t="n">
        <v>50602</v>
      </c>
      <c r="C7059" t="inlineStr">
        <is>
          <t>1417/04/25</t>
        </is>
      </c>
    </row>
    <row r="7060">
      <c r="A7060" t="n">
        <v>14170426</v>
      </c>
      <c r="B7060" t="n">
        <v>50603</v>
      </c>
      <c r="C7060" t="inlineStr">
        <is>
          <t>1417/04/26</t>
        </is>
      </c>
    </row>
    <row r="7061">
      <c r="A7061" t="n">
        <v>14170427</v>
      </c>
      <c r="B7061" t="n">
        <v>50604</v>
      </c>
      <c r="C7061" t="inlineStr">
        <is>
          <t>1417/04/27</t>
        </is>
      </c>
    </row>
    <row r="7062">
      <c r="A7062" t="n">
        <v>14170428</v>
      </c>
      <c r="B7062" t="n">
        <v>50605</v>
      </c>
      <c r="C7062" t="inlineStr">
        <is>
          <t>1417/04/28</t>
        </is>
      </c>
    </row>
    <row r="7063">
      <c r="A7063" t="n">
        <v>14170429</v>
      </c>
      <c r="B7063" t="n">
        <v>50606</v>
      </c>
      <c r="C7063" t="inlineStr">
        <is>
          <t>1417/04/29</t>
        </is>
      </c>
    </row>
    <row r="7064">
      <c r="A7064" t="n">
        <v>14170430</v>
      </c>
      <c r="B7064" t="n">
        <v>50607</v>
      </c>
      <c r="C7064" t="inlineStr">
        <is>
          <t>1417/04/30</t>
        </is>
      </c>
    </row>
    <row r="7065">
      <c r="A7065" t="n">
        <v>14170431</v>
      </c>
      <c r="B7065" t="n">
        <v>50608</v>
      </c>
      <c r="C7065" t="inlineStr">
        <is>
          <t>1417/04/31</t>
        </is>
      </c>
    </row>
    <row r="7066">
      <c r="A7066" t="n">
        <v>14170501</v>
      </c>
      <c r="B7066" t="n">
        <v>50609</v>
      </c>
      <c r="C7066" t="inlineStr">
        <is>
          <t>1417/05/01</t>
        </is>
      </c>
    </row>
    <row r="7067">
      <c r="A7067" t="n">
        <v>14170502</v>
      </c>
      <c r="B7067" t="n">
        <v>50610</v>
      </c>
      <c r="C7067" t="inlineStr">
        <is>
          <t>1417/05/02</t>
        </is>
      </c>
    </row>
    <row r="7068">
      <c r="A7068" t="n">
        <v>14170503</v>
      </c>
      <c r="B7068" t="n">
        <v>50611</v>
      </c>
      <c r="C7068" t="inlineStr">
        <is>
          <t>1417/05/03</t>
        </is>
      </c>
    </row>
    <row r="7069">
      <c r="A7069" t="n">
        <v>14170504</v>
      </c>
      <c r="B7069" t="n">
        <v>50612</v>
      </c>
      <c r="C7069" t="inlineStr">
        <is>
          <t>1417/05/04</t>
        </is>
      </c>
    </row>
    <row r="7070">
      <c r="A7070" t="n">
        <v>14170505</v>
      </c>
      <c r="B7070" t="n">
        <v>50613</v>
      </c>
      <c r="C7070" t="inlineStr">
        <is>
          <t>1417/05/05</t>
        </is>
      </c>
    </row>
    <row r="7071">
      <c r="A7071" t="n">
        <v>14170506</v>
      </c>
      <c r="B7071" t="n">
        <v>50614</v>
      </c>
      <c r="C7071" t="inlineStr">
        <is>
          <t>1417/05/06</t>
        </is>
      </c>
    </row>
    <row r="7072">
      <c r="A7072" t="n">
        <v>14170507</v>
      </c>
      <c r="B7072" t="n">
        <v>50615</v>
      </c>
      <c r="C7072" t="inlineStr">
        <is>
          <t>1417/05/07</t>
        </is>
      </c>
    </row>
    <row r="7073">
      <c r="A7073" t="n">
        <v>14170508</v>
      </c>
      <c r="B7073" t="n">
        <v>50616</v>
      </c>
      <c r="C7073" t="inlineStr">
        <is>
          <t>1417/05/08</t>
        </is>
      </c>
    </row>
    <row r="7074">
      <c r="A7074" t="n">
        <v>14170509</v>
      </c>
      <c r="B7074" t="n">
        <v>50617</v>
      </c>
      <c r="C7074" t="inlineStr">
        <is>
          <t>1417/05/09</t>
        </is>
      </c>
    </row>
    <row r="7075">
      <c r="A7075" t="n">
        <v>14170510</v>
      </c>
      <c r="B7075" t="n">
        <v>50618</v>
      </c>
      <c r="C7075" t="inlineStr">
        <is>
          <t>1417/05/10</t>
        </is>
      </c>
    </row>
    <row r="7076">
      <c r="A7076" t="n">
        <v>14170511</v>
      </c>
      <c r="B7076" t="n">
        <v>50619</v>
      </c>
      <c r="C7076" t="inlineStr">
        <is>
          <t>1417/05/11</t>
        </is>
      </c>
    </row>
    <row r="7077">
      <c r="A7077" t="n">
        <v>14170512</v>
      </c>
      <c r="B7077" t="n">
        <v>50620</v>
      </c>
      <c r="C7077" t="inlineStr">
        <is>
          <t>1417/05/12</t>
        </is>
      </c>
    </row>
    <row r="7078">
      <c r="A7078" t="n">
        <v>14170513</v>
      </c>
      <c r="B7078" t="n">
        <v>50621</v>
      </c>
      <c r="C7078" t="inlineStr">
        <is>
          <t>1417/05/13</t>
        </is>
      </c>
    </row>
    <row r="7079">
      <c r="A7079" t="n">
        <v>14170514</v>
      </c>
      <c r="B7079" t="n">
        <v>50622</v>
      </c>
      <c r="C7079" t="inlineStr">
        <is>
          <t>1417/05/14</t>
        </is>
      </c>
    </row>
    <row r="7080">
      <c r="A7080" t="n">
        <v>14170515</v>
      </c>
      <c r="B7080" t="n">
        <v>50623</v>
      </c>
      <c r="C7080" t="inlineStr">
        <is>
          <t>1417/05/15</t>
        </is>
      </c>
    </row>
    <row r="7081">
      <c r="A7081" t="n">
        <v>14170516</v>
      </c>
      <c r="B7081" t="n">
        <v>50624</v>
      </c>
      <c r="C7081" t="inlineStr">
        <is>
          <t>1417/05/16</t>
        </is>
      </c>
    </row>
    <row r="7082">
      <c r="A7082" t="n">
        <v>14170517</v>
      </c>
      <c r="B7082" t="n">
        <v>50625</v>
      </c>
      <c r="C7082" t="inlineStr">
        <is>
          <t>1417/05/17</t>
        </is>
      </c>
    </row>
    <row r="7083">
      <c r="A7083" t="n">
        <v>14170518</v>
      </c>
      <c r="B7083" t="n">
        <v>50626</v>
      </c>
      <c r="C7083" t="inlineStr">
        <is>
          <t>1417/05/18</t>
        </is>
      </c>
    </row>
    <row r="7084">
      <c r="A7084" t="n">
        <v>14170519</v>
      </c>
      <c r="B7084" t="n">
        <v>50627</v>
      </c>
      <c r="C7084" t="inlineStr">
        <is>
          <t>1417/05/19</t>
        </is>
      </c>
    </row>
    <row r="7085">
      <c r="A7085" t="n">
        <v>14170520</v>
      </c>
      <c r="B7085" t="n">
        <v>50628</v>
      </c>
      <c r="C7085" t="inlineStr">
        <is>
          <t>1417/05/20</t>
        </is>
      </c>
    </row>
    <row r="7086">
      <c r="A7086" t="n">
        <v>14170521</v>
      </c>
      <c r="B7086" t="n">
        <v>50629</v>
      </c>
      <c r="C7086" t="inlineStr">
        <is>
          <t>1417/05/21</t>
        </is>
      </c>
    </row>
    <row r="7087">
      <c r="A7087" t="n">
        <v>14170522</v>
      </c>
      <c r="B7087" t="n">
        <v>50630</v>
      </c>
      <c r="C7087" t="inlineStr">
        <is>
          <t>1417/05/22</t>
        </is>
      </c>
    </row>
    <row r="7088">
      <c r="A7088" t="n">
        <v>14170523</v>
      </c>
      <c r="B7088" t="n">
        <v>50631</v>
      </c>
      <c r="C7088" t="inlineStr">
        <is>
          <t>1417/05/23</t>
        </is>
      </c>
    </row>
    <row r="7089">
      <c r="A7089" t="n">
        <v>14170524</v>
      </c>
      <c r="B7089" t="n">
        <v>50632</v>
      </c>
      <c r="C7089" t="inlineStr">
        <is>
          <t>1417/05/24</t>
        </is>
      </c>
    </row>
    <row r="7090">
      <c r="A7090" t="n">
        <v>14170525</v>
      </c>
      <c r="B7090" t="n">
        <v>50633</v>
      </c>
      <c r="C7090" t="inlineStr">
        <is>
          <t>1417/05/25</t>
        </is>
      </c>
    </row>
    <row r="7091">
      <c r="A7091" t="n">
        <v>14170526</v>
      </c>
      <c r="B7091" t="n">
        <v>50634</v>
      </c>
      <c r="C7091" t="inlineStr">
        <is>
          <t>1417/05/26</t>
        </is>
      </c>
    </row>
    <row r="7092">
      <c r="A7092" t="n">
        <v>14170527</v>
      </c>
      <c r="B7092" t="n">
        <v>50635</v>
      </c>
      <c r="C7092" t="inlineStr">
        <is>
          <t>1417/05/27</t>
        </is>
      </c>
    </row>
    <row r="7093">
      <c r="A7093" t="n">
        <v>14170528</v>
      </c>
      <c r="B7093" t="n">
        <v>50636</v>
      </c>
      <c r="C7093" t="inlineStr">
        <is>
          <t>1417/05/28</t>
        </is>
      </c>
    </row>
    <row r="7094">
      <c r="A7094" t="n">
        <v>14170529</v>
      </c>
      <c r="B7094" t="n">
        <v>50637</v>
      </c>
      <c r="C7094" t="inlineStr">
        <is>
          <t>1417/05/29</t>
        </is>
      </c>
    </row>
    <row r="7095">
      <c r="A7095" t="n">
        <v>14170530</v>
      </c>
      <c r="B7095" t="n">
        <v>50638</v>
      </c>
      <c r="C7095" t="inlineStr">
        <is>
          <t>1417/05/30</t>
        </is>
      </c>
    </row>
    <row r="7096">
      <c r="A7096" t="n">
        <v>14170531</v>
      </c>
      <c r="B7096" t="n">
        <v>50639</v>
      </c>
      <c r="C7096" t="inlineStr">
        <is>
          <t>1417/05/31</t>
        </is>
      </c>
    </row>
    <row r="7097">
      <c r="A7097" t="n">
        <v>14170601</v>
      </c>
      <c r="B7097" t="n">
        <v>50640</v>
      </c>
      <c r="C7097" t="inlineStr">
        <is>
          <t>1417/06/01</t>
        </is>
      </c>
    </row>
    <row r="7098">
      <c r="A7098" t="n">
        <v>14170602</v>
      </c>
      <c r="B7098" t="n">
        <v>50641</v>
      </c>
      <c r="C7098" t="inlineStr">
        <is>
          <t>1417/06/02</t>
        </is>
      </c>
    </row>
    <row r="7099">
      <c r="A7099" t="n">
        <v>14170603</v>
      </c>
      <c r="B7099" t="n">
        <v>50642</v>
      </c>
      <c r="C7099" t="inlineStr">
        <is>
          <t>1417/06/03</t>
        </is>
      </c>
    </row>
    <row r="7100">
      <c r="A7100" t="n">
        <v>14170604</v>
      </c>
      <c r="B7100" t="n">
        <v>50643</v>
      </c>
      <c r="C7100" t="inlineStr">
        <is>
          <t>1417/06/04</t>
        </is>
      </c>
    </row>
    <row r="7101">
      <c r="A7101" t="n">
        <v>14170605</v>
      </c>
      <c r="B7101" t="n">
        <v>50644</v>
      </c>
      <c r="C7101" t="inlineStr">
        <is>
          <t>1417/06/05</t>
        </is>
      </c>
    </row>
    <row r="7102">
      <c r="A7102" t="n">
        <v>14170606</v>
      </c>
      <c r="B7102" t="n">
        <v>50645</v>
      </c>
      <c r="C7102" t="inlineStr">
        <is>
          <t>1417/06/06</t>
        </is>
      </c>
    </row>
    <row r="7103">
      <c r="A7103" t="n">
        <v>14170607</v>
      </c>
      <c r="B7103" t="n">
        <v>50646</v>
      </c>
      <c r="C7103" t="inlineStr">
        <is>
          <t>1417/06/07</t>
        </is>
      </c>
    </row>
    <row r="7104">
      <c r="A7104" t="n">
        <v>14170608</v>
      </c>
      <c r="B7104" t="n">
        <v>50647</v>
      </c>
      <c r="C7104" t="inlineStr">
        <is>
          <t>1417/06/08</t>
        </is>
      </c>
    </row>
    <row r="7105">
      <c r="A7105" t="n">
        <v>14170609</v>
      </c>
      <c r="B7105" t="n">
        <v>50648</v>
      </c>
      <c r="C7105" t="inlineStr">
        <is>
          <t>1417/06/09</t>
        </is>
      </c>
    </row>
    <row r="7106">
      <c r="A7106" t="n">
        <v>14170610</v>
      </c>
      <c r="B7106" t="n">
        <v>50649</v>
      </c>
      <c r="C7106" t="inlineStr">
        <is>
          <t>1417/06/10</t>
        </is>
      </c>
    </row>
    <row r="7107">
      <c r="A7107" t="n">
        <v>14170611</v>
      </c>
      <c r="B7107" t="n">
        <v>50650</v>
      </c>
      <c r="C7107" t="inlineStr">
        <is>
          <t>1417/06/11</t>
        </is>
      </c>
    </row>
    <row r="7108">
      <c r="A7108" t="n">
        <v>14170612</v>
      </c>
      <c r="B7108" t="n">
        <v>50651</v>
      </c>
      <c r="C7108" t="inlineStr">
        <is>
          <t>1417/06/12</t>
        </is>
      </c>
    </row>
    <row r="7109">
      <c r="A7109" t="n">
        <v>14170613</v>
      </c>
      <c r="B7109" t="n">
        <v>50652</v>
      </c>
      <c r="C7109" t="inlineStr">
        <is>
          <t>1417/06/13</t>
        </is>
      </c>
    </row>
    <row r="7110">
      <c r="A7110" t="n">
        <v>14170614</v>
      </c>
      <c r="B7110" t="n">
        <v>50653</v>
      </c>
      <c r="C7110" t="inlineStr">
        <is>
          <t>1417/06/14</t>
        </is>
      </c>
    </row>
    <row r="7111">
      <c r="A7111" t="n">
        <v>14170615</v>
      </c>
      <c r="B7111" t="n">
        <v>50654</v>
      </c>
      <c r="C7111" t="inlineStr">
        <is>
          <t>1417/06/15</t>
        </is>
      </c>
    </row>
    <row r="7112">
      <c r="A7112" t="n">
        <v>14170616</v>
      </c>
      <c r="B7112" t="n">
        <v>50655</v>
      </c>
      <c r="C7112" t="inlineStr">
        <is>
          <t>1417/06/16</t>
        </is>
      </c>
    </row>
    <row r="7113">
      <c r="A7113" t="n">
        <v>14170617</v>
      </c>
      <c r="B7113" t="n">
        <v>50656</v>
      </c>
      <c r="C7113" t="inlineStr">
        <is>
          <t>1417/06/17</t>
        </is>
      </c>
    </row>
    <row r="7114">
      <c r="A7114" t="n">
        <v>14170618</v>
      </c>
      <c r="B7114" t="n">
        <v>50657</v>
      </c>
      <c r="C7114" t="inlineStr">
        <is>
          <t>1417/06/18</t>
        </is>
      </c>
    </row>
    <row r="7115">
      <c r="A7115" t="n">
        <v>14170619</v>
      </c>
      <c r="B7115" t="n">
        <v>50658</v>
      </c>
      <c r="C7115" t="inlineStr">
        <is>
          <t>1417/06/19</t>
        </is>
      </c>
    </row>
    <row r="7116">
      <c r="A7116" t="n">
        <v>14170620</v>
      </c>
      <c r="B7116" t="n">
        <v>50659</v>
      </c>
      <c r="C7116" t="inlineStr">
        <is>
          <t>1417/06/20</t>
        </is>
      </c>
    </row>
    <row r="7117">
      <c r="A7117" t="n">
        <v>14170621</v>
      </c>
      <c r="B7117" t="n">
        <v>50660</v>
      </c>
      <c r="C7117" t="inlineStr">
        <is>
          <t>1417/06/21</t>
        </is>
      </c>
    </row>
    <row r="7118">
      <c r="A7118" t="n">
        <v>14170622</v>
      </c>
      <c r="B7118" t="n">
        <v>50661</v>
      </c>
      <c r="C7118" t="inlineStr">
        <is>
          <t>1417/06/22</t>
        </is>
      </c>
    </row>
    <row r="7119">
      <c r="A7119" t="n">
        <v>14170623</v>
      </c>
      <c r="B7119" t="n">
        <v>50662</v>
      </c>
      <c r="C7119" t="inlineStr">
        <is>
          <t>1417/06/23</t>
        </is>
      </c>
    </row>
    <row r="7120">
      <c r="A7120" t="n">
        <v>14170624</v>
      </c>
      <c r="B7120" t="n">
        <v>50663</v>
      </c>
      <c r="C7120" t="inlineStr">
        <is>
          <t>1417/06/24</t>
        </is>
      </c>
    </row>
    <row r="7121">
      <c r="A7121" t="n">
        <v>14170625</v>
      </c>
      <c r="B7121" t="n">
        <v>50664</v>
      </c>
      <c r="C7121" t="inlineStr">
        <is>
          <t>1417/06/25</t>
        </is>
      </c>
    </row>
    <row r="7122">
      <c r="A7122" t="n">
        <v>14170626</v>
      </c>
      <c r="B7122" t="n">
        <v>50665</v>
      </c>
      <c r="C7122" t="inlineStr">
        <is>
          <t>1417/06/26</t>
        </is>
      </c>
    </row>
    <row r="7123">
      <c r="A7123" t="n">
        <v>14170627</v>
      </c>
      <c r="B7123" t="n">
        <v>50666</v>
      </c>
      <c r="C7123" t="inlineStr">
        <is>
          <t>1417/06/27</t>
        </is>
      </c>
    </row>
    <row r="7124">
      <c r="A7124" t="n">
        <v>14170628</v>
      </c>
      <c r="B7124" t="n">
        <v>50667</v>
      </c>
      <c r="C7124" t="inlineStr">
        <is>
          <t>1417/06/28</t>
        </is>
      </c>
    </row>
    <row r="7125">
      <c r="A7125" t="n">
        <v>14170629</v>
      </c>
      <c r="B7125" t="n">
        <v>50668</v>
      </c>
      <c r="C7125" t="inlineStr">
        <is>
          <t>1417/06/29</t>
        </is>
      </c>
    </row>
    <row r="7126">
      <c r="A7126" t="n">
        <v>14170630</v>
      </c>
      <c r="B7126" t="n">
        <v>50669</v>
      </c>
      <c r="C7126" t="inlineStr">
        <is>
          <t>1417/06/30</t>
        </is>
      </c>
    </row>
    <row r="7127">
      <c r="A7127" t="n">
        <v>14170631</v>
      </c>
      <c r="B7127" t="n">
        <v>50670</v>
      </c>
      <c r="C7127" t="inlineStr">
        <is>
          <t>1417/06/31</t>
        </is>
      </c>
    </row>
    <row r="7128">
      <c r="A7128" t="n">
        <v>14170701</v>
      </c>
      <c r="B7128" t="n">
        <v>50671</v>
      </c>
      <c r="C7128" t="inlineStr">
        <is>
          <t>1417/07/01</t>
        </is>
      </c>
    </row>
    <row r="7129">
      <c r="A7129" t="n">
        <v>14170702</v>
      </c>
      <c r="B7129" t="n">
        <v>50672</v>
      </c>
      <c r="C7129" t="inlineStr">
        <is>
          <t>1417/07/02</t>
        </is>
      </c>
    </row>
    <row r="7130">
      <c r="A7130" t="n">
        <v>14170703</v>
      </c>
      <c r="B7130" t="n">
        <v>50673</v>
      </c>
      <c r="C7130" t="inlineStr">
        <is>
          <t>1417/07/03</t>
        </is>
      </c>
    </row>
    <row r="7131">
      <c r="A7131" t="n">
        <v>14170704</v>
      </c>
      <c r="B7131" t="n">
        <v>50674</v>
      </c>
      <c r="C7131" t="inlineStr">
        <is>
          <t>1417/07/04</t>
        </is>
      </c>
    </row>
    <row r="7132">
      <c r="A7132" t="n">
        <v>14170705</v>
      </c>
      <c r="B7132" t="n">
        <v>50675</v>
      </c>
      <c r="C7132" t="inlineStr">
        <is>
          <t>1417/07/05</t>
        </is>
      </c>
    </row>
    <row r="7133">
      <c r="A7133" t="n">
        <v>14170706</v>
      </c>
      <c r="B7133" t="n">
        <v>50676</v>
      </c>
      <c r="C7133" t="inlineStr">
        <is>
          <t>1417/07/06</t>
        </is>
      </c>
    </row>
    <row r="7134">
      <c r="A7134" t="n">
        <v>14170707</v>
      </c>
      <c r="B7134" t="n">
        <v>50677</v>
      </c>
      <c r="C7134" t="inlineStr">
        <is>
          <t>1417/07/07</t>
        </is>
      </c>
    </row>
    <row r="7135">
      <c r="A7135" t="n">
        <v>14170708</v>
      </c>
      <c r="B7135" t="n">
        <v>50678</v>
      </c>
      <c r="C7135" t="inlineStr">
        <is>
          <t>1417/07/08</t>
        </is>
      </c>
    </row>
    <row r="7136">
      <c r="A7136" t="n">
        <v>14170709</v>
      </c>
      <c r="B7136" t="n">
        <v>50679</v>
      </c>
      <c r="C7136" t="inlineStr">
        <is>
          <t>1417/07/09</t>
        </is>
      </c>
    </row>
    <row r="7137">
      <c r="A7137" t="n">
        <v>14170710</v>
      </c>
      <c r="B7137" t="n">
        <v>50680</v>
      </c>
      <c r="C7137" t="inlineStr">
        <is>
          <t>1417/07/10</t>
        </is>
      </c>
    </row>
    <row r="7138">
      <c r="A7138" t="n">
        <v>14170711</v>
      </c>
      <c r="B7138" t="n">
        <v>50681</v>
      </c>
      <c r="C7138" t="inlineStr">
        <is>
          <t>1417/07/11</t>
        </is>
      </c>
    </row>
    <row r="7139">
      <c r="A7139" t="n">
        <v>14170712</v>
      </c>
      <c r="B7139" t="n">
        <v>50682</v>
      </c>
      <c r="C7139" t="inlineStr">
        <is>
          <t>1417/07/12</t>
        </is>
      </c>
    </row>
    <row r="7140">
      <c r="A7140" t="n">
        <v>14170713</v>
      </c>
      <c r="B7140" t="n">
        <v>50683</v>
      </c>
      <c r="C7140" t="inlineStr">
        <is>
          <t>1417/07/13</t>
        </is>
      </c>
    </row>
    <row r="7141">
      <c r="A7141" t="n">
        <v>14170714</v>
      </c>
      <c r="B7141" t="n">
        <v>50684</v>
      </c>
      <c r="C7141" t="inlineStr">
        <is>
          <t>1417/07/14</t>
        </is>
      </c>
    </row>
    <row r="7142">
      <c r="A7142" t="n">
        <v>14170715</v>
      </c>
      <c r="B7142" t="n">
        <v>50685</v>
      </c>
      <c r="C7142" t="inlineStr">
        <is>
          <t>1417/07/15</t>
        </is>
      </c>
    </row>
    <row r="7143">
      <c r="A7143" t="n">
        <v>14170716</v>
      </c>
      <c r="B7143" t="n">
        <v>50686</v>
      </c>
      <c r="C7143" t="inlineStr">
        <is>
          <t>1417/07/16</t>
        </is>
      </c>
    </row>
    <row r="7144">
      <c r="A7144" t="n">
        <v>14170717</v>
      </c>
      <c r="B7144" t="n">
        <v>50687</v>
      </c>
      <c r="C7144" t="inlineStr">
        <is>
          <t>1417/07/17</t>
        </is>
      </c>
    </row>
    <row r="7145">
      <c r="A7145" t="n">
        <v>14170718</v>
      </c>
      <c r="B7145" t="n">
        <v>50688</v>
      </c>
      <c r="C7145" t="inlineStr">
        <is>
          <t>1417/07/18</t>
        </is>
      </c>
    </row>
    <row r="7146">
      <c r="A7146" t="n">
        <v>14170719</v>
      </c>
      <c r="B7146" t="n">
        <v>50689</v>
      </c>
      <c r="C7146" t="inlineStr">
        <is>
          <t>1417/07/19</t>
        </is>
      </c>
    </row>
    <row r="7147">
      <c r="A7147" t="n">
        <v>14170720</v>
      </c>
      <c r="B7147" t="n">
        <v>50690</v>
      </c>
      <c r="C7147" t="inlineStr">
        <is>
          <t>1417/07/20</t>
        </is>
      </c>
    </row>
    <row r="7148">
      <c r="A7148" t="n">
        <v>14170721</v>
      </c>
      <c r="B7148" t="n">
        <v>50691</v>
      </c>
      <c r="C7148" t="inlineStr">
        <is>
          <t>1417/07/21</t>
        </is>
      </c>
    </row>
    <row r="7149">
      <c r="A7149" t="n">
        <v>14170722</v>
      </c>
      <c r="B7149" t="n">
        <v>50692</v>
      </c>
      <c r="C7149" t="inlineStr">
        <is>
          <t>1417/07/22</t>
        </is>
      </c>
    </row>
    <row r="7150">
      <c r="A7150" t="n">
        <v>14170723</v>
      </c>
      <c r="B7150" t="n">
        <v>50693</v>
      </c>
      <c r="C7150" t="inlineStr">
        <is>
          <t>1417/07/23</t>
        </is>
      </c>
    </row>
    <row r="7151">
      <c r="A7151" t="n">
        <v>14170724</v>
      </c>
      <c r="B7151" t="n">
        <v>50694</v>
      </c>
      <c r="C7151" t="inlineStr">
        <is>
          <t>1417/07/24</t>
        </is>
      </c>
    </row>
    <row r="7152">
      <c r="A7152" t="n">
        <v>14170725</v>
      </c>
      <c r="B7152" t="n">
        <v>50695</v>
      </c>
      <c r="C7152" t="inlineStr">
        <is>
          <t>1417/07/25</t>
        </is>
      </c>
    </row>
    <row r="7153">
      <c r="A7153" t="n">
        <v>14170726</v>
      </c>
      <c r="B7153" t="n">
        <v>50696</v>
      </c>
      <c r="C7153" t="inlineStr">
        <is>
          <t>1417/07/26</t>
        </is>
      </c>
    </row>
    <row r="7154">
      <c r="A7154" t="n">
        <v>14170727</v>
      </c>
      <c r="B7154" t="n">
        <v>50697</v>
      </c>
      <c r="C7154" t="inlineStr">
        <is>
          <t>1417/07/27</t>
        </is>
      </c>
    </row>
    <row r="7155">
      <c r="A7155" t="n">
        <v>14170728</v>
      </c>
      <c r="B7155" t="n">
        <v>50698</v>
      </c>
      <c r="C7155" t="inlineStr">
        <is>
          <t>1417/07/28</t>
        </is>
      </c>
    </row>
    <row r="7156">
      <c r="A7156" t="n">
        <v>14170729</v>
      </c>
      <c r="B7156" t="n">
        <v>50699</v>
      </c>
      <c r="C7156" t="inlineStr">
        <is>
          <t>1417/07/29</t>
        </is>
      </c>
    </row>
    <row r="7157">
      <c r="A7157" t="n">
        <v>14170730</v>
      </c>
      <c r="B7157" t="n">
        <v>50700</v>
      </c>
      <c r="C7157" t="inlineStr">
        <is>
          <t>1417/07/30</t>
        </is>
      </c>
    </row>
    <row r="7158">
      <c r="A7158" t="n">
        <v>14170801</v>
      </c>
      <c r="B7158" t="n">
        <v>50701</v>
      </c>
      <c r="C7158" t="inlineStr">
        <is>
          <t>1417/08/01</t>
        </is>
      </c>
    </row>
    <row r="7159">
      <c r="A7159" t="n">
        <v>14170802</v>
      </c>
      <c r="B7159" t="n">
        <v>50702</v>
      </c>
      <c r="C7159" t="inlineStr">
        <is>
          <t>1417/08/02</t>
        </is>
      </c>
    </row>
    <row r="7160">
      <c r="A7160" t="n">
        <v>14170803</v>
      </c>
      <c r="B7160" t="n">
        <v>50703</v>
      </c>
      <c r="C7160" t="inlineStr">
        <is>
          <t>1417/08/03</t>
        </is>
      </c>
    </row>
    <row r="7161">
      <c r="A7161" t="n">
        <v>14170804</v>
      </c>
      <c r="B7161" t="n">
        <v>50704</v>
      </c>
      <c r="C7161" t="inlineStr">
        <is>
          <t>1417/08/04</t>
        </is>
      </c>
    </row>
    <row r="7162">
      <c r="A7162" t="n">
        <v>14170805</v>
      </c>
      <c r="B7162" t="n">
        <v>50705</v>
      </c>
      <c r="C7162" t="inlineStr">
        <is>
          <t>1417/08/05</t>
        </is>
      </c>
    </row>
    <row r="7163">
      <c r="A7163" t="n">
        <v>14170806</v>
      </c>
      <c r="B7163" t="n">
        <v>50706</v>
      </c>
      <c r="C7163" t="inlineStr">
        <is>
          <t>1417/08/06</t>
        </is>
      </c>
    </row>
    <row r="7164">
      <c r="A7164" t="n">
        <v>14170807</v>
      </c>
      <c r="B7164" t="n">
        <v>50707</v>
      </c>
      <c r="C7164" t="inlineStr">
        <is>
          <t>1417/08/07</t>
        </is>
      </c>
    </row>
    <row r="7165">
      <c r="A7165" t="n">
        <v>14170808</v>
      </c>
      <c r="B7165" t="n">
        <v>50708</v>
      </c>
      <c r="C7165" t="inlineStr">
        <is>
          <t>1417/08/08</t>
        </is>
      </c>
    </row>
    <row r="7166">
      <c r="A7166" t="n">
        <v>14170809</v>
      </c>
      <c r="B7166" t="n">
        <v>50709</v>
      </c>
      <c r="C7166" t="inlineStr">
        <is>
          <t>1417/08/09</t>
        </is>
      </c>
    </row>
    <row r="7167">
      <c r="A7167" t="n">
        <v>14170810</v>
      </c>
      <c r="B7167" t="n">
        <v>50710</v>
      </c>
      <c r="C7167" t="inlineStr">
        <is>
          <t>1417/08/10</t>
        </is>
      </c>
    </row>
    <row r="7168">
      <c r="A7168" t="n">
        <v>14170811</v>
      </c>
      <c r="B7168" t="n">
        <v>50711</v>
      </c>
      <c r="C7168" t="inlineStr">
        <is>
          <t>1417/08/11</t>
        </is>
      </c>
    </row>
    <row r="7169">
      <c r="A7169" t="n">
        <v>14170812</v>
      </c>
      <c r="B7169" t="n">
        <v>50712</v>
      </c>
      <c r="C7169" t="inlineStr">
        <is>
          <t>1417/08/12</t>
        </is>
      </c>
    </row>
    <row r="7170">
      <c r="A7170" t="n">
        <v>14170813</v>
      </c>
      <c r="B7170" t="n">
        <v>50713</v>
      </c>
      <c r="C7170" t="inlineStr">
        <is>
          <t>1417/08/13</t>
        </is>
      </c>
    </row>
    <row r="7171">
      <c r="A7171" t="n">
        <v>14170814</v>
      </c>
      <c r="B7171" t="n">
        <v>50714</v>
      </c>
      <c r="C7171" t="inlineStr">
        <is>
          <t>1417/08/14</t>
        </is>
      </c>
    </row>
    <row r="7172">
      <c r="A7172" t="n">
        <v>14170815</v>
      </c>
      <c r="B7172" t="n">
        <v>50715</v>
      </c>
      <c r="C7172" t="inlineStr">
        <is>
          <t>1417/08/15</t>
        </is>
      </c>
    </row>
    <row r="7173">
      <c r="A7173" t="n">
        <v>14170816</v>
      </c>
      <c r="B7173" t="n">
        <v>50716</v>
      </c>
      <c r="C7173" t="inlineStr">
        <is>
          <t>1417/08/16</t>
        </is>
      </c>
    </row>
    <row r="7174">
      <c r="A7174" t="n">
        <v>14170817</v>
      </c>
      <c r="B7174" t="n">
        <v>50717</v>
      </c>
      <c r="C7174" t="inlineStr">
        <is>
          <t>1417/08/17</t>
        </is>
      </c>
    </row>
    <row r="7175">
      <c r="A7175" t="n">
        <v>14170818</v>
      </c>
      <c r="B7175" t="n">
        <v>50718</v>
      </c>
      <c r="C7175" t="inlineStr">
        <is>
          <t>1417/08/18</t>
        </is>
      </c>
    </row>
    <row r="7176">
      <c r="A7176" t="n">
        <v>14170819</v>
      </c>
      <c r="B7176" t="n">
        <v>50719</v>
      </c>
      <c r="C7176" t="inlineStr">
        <is>
          <t>1417/08/19</t>
        </is>
      </c>
    </row>
    <row r="7177">
      <c r="A7177" t="n">
        <v>14170820</v>
      </c>
      <c r="B7177" t="n">
        <v>50720</v>
      </c>
      <c r="C7177" t="inlineStr">
        <is>
          <t>1417/08/20</t>
        </is>
      </c>
    </row>
    <row r="7178">
      <c r="A7178" t="n">
        <v>14170821</v>
      </c>
      <c r="B7178" t="n">
        <v>50721</v>
      </c>
      <c r="C7178" t="inlineStr">
        <is>
          <t>1417/08/21</t>
        </is>
      </c>
    </row>
    <row r="7179">
      <c r="A7179" t="n">
        <v>14170822</v>
      </c>
      <c r="B7179" t="n">
        <v>50722</v>
      </c>
      <c r="C7179" t="inlineStr">
        <is>
          <t>1417/08/22</t>
        </is>
      </c>
    </row>
    <row r="7180">
      <c r="A7180" t="n">
        <v>14170823</v>
      </c>
      <c r="B7180" t="n">
        <v>50723</v>
      </c>
      <c r="C7180" t="inlineStr">
        <is>
          <t>1417/08/23</t>
        </is>
      </c>
    </row>
    <row r="7181">
      <c r="A7181" t="n">
        <v>14170824</v>
      </c>
      <c r="B7181" t="n">
        <v>50724</v>
      </c>
      <c r="C7181" t="inlineStr">
        <is>
          <t>1417/08/24</t>
        </is>
      </c>
    </row>
    <row r="7182">
      <c r="A7182" t="n">
        <v>14170825</v>
      </c>
      <c r="B7182" t="n">
        <v>50725</v>
      </c>
      <c r="C7182" t="inlineStr">
        <is>
          <t>1417/08/25</t>
        </is>
      </c>
    </row>
    <row r="7183">
      <c r="A7183" t="n">
        <v>14170826</v>
      </c>
      <c r="B7183" t="n">
        <v>50726</v>
      </c>
      <c r="C7183" t="inlineStr">
        <is>
          <t>1417/08/26</t>
        </is>
      </c>
    </row>
    <row r="7184">
      <c r="A7184" t="n">
        <v>14170827</v>
      </c>
      <c r="B7184" t="n">
        <v>50727</v>
      </c>
      <c r="C7184" t="inlineStr">
        <is>
          <t>1417/08/27</t>
        </is>
      </c>
    </row>
    <row r="7185">
      <c r="A7185" t="n">
        <v>14170828</v>
      </c>
      <c r="B7185" t="n">
        <v>50728</v>
      </c>
      <c r="C7185" t="inlineStr">
        <is>
          <t>1417/08/28</t>
        </is>
      </c>
    </row>
    <row r="7186">
      <c r="A7186" t="n">
        <v>14170829</v>
      </c>
      <c r="B7186" t="n">
        <v>50729</v>
      </c>
      <c r="C7186" t="inlineStr">
        <is>
          <t>1417/08/29</t>
        </is>
      </c>
    </row>
    <row r="7187">
      <c r="A7187" t="n">
        <v>14170830</v>
      </c>
      <c r="B7187" t="n">
        <v>50730</v>
      </c>
      <c r="C7187" t="inlineStr">
        <is>
          <t>1417/08/30</t>
        </is>
      </c>
    </row>
    <row r="7188">
      <c r="A7188" t="n">
        <v>14170901</v>
      </c>
      <c r="B7188" t="n">
        <v>50731</v>
      </c>
      <c r="C7188" t="inlineStr">
        <is>
          <t>1417/09/01</t>
        </is>
      </c>
    </row>
    <row r="7189">
      <c r="A7189" t="n">
        <v>14170902</v>
      </c>
      <c r="B7189" t="n">
        <v>50732</v>
      </c>
      <c r="C7189" t="inlineStr">
        <is>
          <t>1417/09/02</t>
        </is>
      </c>
    </row>
    <row r="7190">
      <c r="A7190" t="n">
        <v>14170903</v>
      </c>
      <c r="B7190" t="n">
        <v>50733</v>
      </c>
      <c r="C7190" t="inlineStr">
        <is>
          <t>1417/09/03</t>
        </is>
      </c>
    </row>
    <row r="7191">
      <c r="A7191" t="n">
        <v>14170904</v>
      </c>
      <c r="B7191" t="n">
        <v>50734</v>
      </c>
      <c r="C7191" t="inlineStr">
        <is>
          <t>1417/09/04</t>
        </is>
      </c>
    </row>
    <row r="7192">
      <c r="A7192" t="n">
        <v>14170905</v>
      </c>
      <c r="B7192" t="n">
        <v>50735</v>
      </c>
      <c r="C7192" t="inlineStr">
        <is>
          <t>1417/09/05</t>
        </is>
      </c>
    </row>
    <row r="7193">
      <c r="A7193" t="n">
        <v>14170906</v>
      </c>
      <c r="B7193" t="n">
        <v>50736</v>
      </c>
      <c r="C7193" t="inlineStr">
        <is>
          <t>1417/09/06</t>
        </is>
      </c>
    </row>
    <row r="7194">
      <c r="A7194" t="n">
        <v>14170907</v>
      </c>
      <c r="B7194" t="n">
        <v>50737</v>
      </c>
      <c r="C7194" t="inlineStr">
        <is>
          <t>1417/09/07</t>
        </is>
      </c>
    </row>
    <row r="7195">
      <c r="A7195" t="n">
        <v>14170908</v>
      </c>
      <c r="B7195" t="n">
        <v>50738</v>
      </c>
      <c r="C7195" t="inlineStr">
        <is>
          <t>1417/09/08</t>
        </is>
      </c>
    </row>
    <row r="7196">
      <c r="A7196" t="n">
        <v>14170909</v>
      </c>
      <c r="B7196" t="n">
        <v>50739</v>
      </c>
      <c r="C7196" t="inlineStr">
        <is>
          <t>1417/09/09</t>
        </is>
      </c>
    </row>
    <row r="7197">
      <c r="A7197" t="n">
        <v>14170910</v>
      </c>
      <c r="B7197" t="n">
        <v>50740</v>
      </c>
      <c r="C7197" t="inlineStr">
        <is>
          <t>1417/09/10</t>
        </is>
      </c>
    </row>
    <row r="7198">
      <c r="A7198" t="n">
        <v>14170911</v>
      </c>
      <c r="B7198" t="n">
        <v>50741</v>
      </c>
      <c r="C7198" t="inlineStr">
        <is>
          <t>1417/09/11</t>
        </is>
      </c>
    </row>
    <row r="7199">
      <c r="A7199" t="n">
        <v>14170912</v>
      </c>
      <c r="B7199" t="n">
        <v>50742</v>
      </c>
      <c r="C7199" t="inlineStr">
        <is>
          <t>1417/09/12</t>
        </is>
      </c>
    </row>
    <row r="7200">
      <c r="A7200" t="n">
        <v>14170913</v>
      </c>
      <c r="B7200" t="n">
        <v>50743</v>
      </c>
      <c r="C7200" t="inlineStr">
        <is>
          <t>1417/09/13</t>
        </is>
      </c>
    </row>
    <row r="7201">
      <c r="A7201" t="n">
        <v>14170914</v>
      </c>
      <c r="B7201" t="n">
        <v>50744</v>
      </c>
      <c r="C7201" t="inlineStr">
        <is>
          <t>1417/09/14</t>
        </is>
      </c>
    </row>
    <row r="7202">
      <c r="A7202" t="n">
        <v>14170915</v>
      </c>
      <c r="B7202" t="n">
        <v>50745</v>
      </c>
      <c r="C7202" t="inlineStr">
        <is>
          <t>1417/09/15</t>
        </is>
      </c>
    </row>
    <row r="7203">
      <c r="A7203" t="n">
        <v>14170916</v>
      </c>
      <c r="B7203" t="n">
        <v>50746</v>
      </c>
      <c r="C7203" t="inlineStr">
        <is>
          <t>1417/09/16</t>
        </is>
      </c>
    </row>
    <row r="7204">
      <c r="A7204" t="n">
        <v>14170917</v>
      </c>
      <c r="B7204" t="n">
        <v>50747</v>
      </c>
      <c r="C7204" t="inlineStr">
        <is>
          <t>1417/09/17</t>
        </is>
      </c>
    </row>
    <row r="7205">
      <c r="A7205" t="n">
        <v>14170918</v>
      </c>
      <c r="B7205" t="n">
        <v>50748</v>
      </c>
      <c r="C7205" t="inlineStr">
        <is>
          <t>1417/09/18</t>
        </is>
      </c>
    </row>
    <row r="7206">
      <c r="A7206" t="n">
        <v>14170919</v>
      </c>
      <c r="B7206" t="n">
        <v>50749</v>
      </c>
      <c r="C7206" t="inlineStr">
        <is>
          <t>1417/09/19</t>
        </is>
      </c>
    </row>
    <row r="7207">
      <c r="A7207" t="n">
        <v>14170920</v>
      </c>
      <c r="B7207" t="n">
        <v>50750</v>
      </c>
      <c r="C7207" t="inlineStr">
        <is>
          <t>1417/09/20</t>
        </is>
      </c>
    </row>
    <row r="7208">
      <c r="A7208" t="n">
        <v>14170921</v>
      </c>
      <c r="B7208" t="n">
        <v>50751</v>
      </c>
      <c r="C7208" t="inlineStr">
        <is>
          <t>1417/09/21</t>
        </is>
      </c>
    </row>
    <row r="7209">
      <c r="A7209" t="n">
        <v>14170922</v>
      </c>
      <c r="B7209" t="n">
        <v>50752</v>
      </c>
      <c r="C7209" t="inlineStr">
        <is>
          <t>1417/09/22</t>
        </is>
      </c>
    </row>
    <row r="7210">
      <c r="A7210" t="n">
        <v>14170923</v>
      </c>
      <c r="B7210" t="n">
        <v>50753</v>
      </c>
      <c r="C7210" t="inlineStr">
        <is>
          <t>1417/09/23</t>
        </is>
      </c>
    </row>
    <row r="7211">
      <c r="A7211" t="n">
        <v>14170924</v>
      </c>
      <c r="B7211" t="n">
        <v>50754</v>
      </c>
      <c r="C7211" t="inlineStr">
        <is>
          <t>1417/09/24</t>
        </is>
      </c>
    </row>
    <row r="7212">
      <c r="A7212" t="n">
        <v>14170925</v>
      </c>
      <c r="B7212" t="n">
        <v>50755</v>
      </c>
      <c r="C7212" t="inlineStr">
        <is>
          <t>1417/09/25</t>
        </is>
      </c>
    </row>
    <row r="7213">
      <c r="A7213" t="n">
        <v>14170926</v>
      </c>
      <c r="B7213" t="n">
        <v>50756</v>
      </c>
      <c r="C7213" t="inlineStr">
        <is>
          <t>1417/09/26</t>
        </is>
      </c>
    </row>
    <row r="7214">
      <c r="A7214" t="n">
        <v>14170927</v>
      </c>
      <c r="B7214" t="n">
        <v>50757</v>
      </c>
      <c r="C7214" t="inlineStr">
        <is>
          <t>1417/09/27</t>
        </is>
      </c>
    </row>
    <row r="7215">
      <c r="A7215" t="n">
        <v>14170928</v>
      </c>
      <c r="B7215" t="n">
        <v>50758</v>
      </c>
      <c r="C7215" t="inlineStr">
        <is>
          <t>1417/09/28</t>
        </is>
      </c>
    </row>
    <row r="7216">
      <c r="A7216" t="n">
        <v>14170929</v>
      </c>
      <c r="B7216" t="n">
        <v>50759</v>
      </c>
      <c r="C7216" t="inlineStr">
        <is>
          <t>1417/09/29</t>
        </is>
      </c>
    </row>
    <row r="7217">
      <c r="A7217" t="n">
        <v>14170930</v>
      </c>
      <c r="B7217" t="n">
        <v>50760</v>
      </c>
      <c r="C7217" t="inlineStr">
        <is>
          <t>1417/09/30</t>
        </is>
      </c>
    </row>
    <row r="7218">
      <c r="A7218" t="n">
        <v>14171001</v>
      </c>
      <c r="B7218" t="n">
        <v>50761</v>
      </c>
      <c r="C7218" t="inlineStr">
        <is>
          <t>1417/10/01</t>
        </is>
      </c>
    </row>
    <row r="7219">
      <c r="A7219" t="n">
        <v>14171002</v>
      </c>
      <c r="B7219" t="n">
        <v>50762</v>
      </c>
      <c r="C7219" t="inlineStr">
        <is>
          <t>1417/10/02</t>
        </is>
      </c>
    </row>
    <row r="7220">
      <c r="A7220" t="n">
        <v>14171003</v>
      </c>
      <c r="B7220" t="n">
        <v>50763</v>
      </c>
      <c r="C7220" t="inlineStr">
        <is>
          <t>1417/10/03</t>
        </is>
      </c>
    </row>
    <row r="7221">
      <c r="A7221" t="n">
        <v>14171004</v>
      </c>
      <c r="B7221" t="n">
        <v>50764</v>
      </c>
      <c r="C7221" t="inlineStr">
        <is>
          <t>1417/10/04</t>
        </is>
      </c>
    </row>
    <row r="7222">
      <c r="A7222" t="n">
        <v>14171005</v>
      </c>
      <c r="B7222" t="n">
        <v>50765</v>
      </c>
      <c r="C7222" t="inlineStr">
        <is>
          <t>1417/10/05</t>
        </is>
      </c>
    </row>
    <row r="7223">
      <c r="A7223" t="n">
        <v>14171006</v>
      </c>
      <c r="B7223" t="n">
        <v>50766</v>
      </c>
      <c r="C7223" t="inlineStr">
        <is>
          <t>1417/10/06</t>
        </is>
      </c>
    </row>
    <row r="7224">
      <c r="A7224" t="n">
        <v>14171007</v>
      </c>
      <c r="B7224" t="n">
        <v>50767</v>
      </c>
      <c r="C7224" t="inlineStr">
        <is>
          <t>1417/10/07</t>
        </is>
      </c>
    </row>
    <row r="7225">
      <c r="A7225" t="n">
        <v>14171008</v>
      </c>
      <c r="B7225" t="n">
        <v>50768</v>
      </c>
      <c r="C7225" t="inlineStr">
        <is>
          <t>1417/10/08</t>
        </is>
      </c>
    </row>
    <row r="7226">
      <c r="A7226" t="n">
        <v>14171009</v>
      </c>
      <c r="B7226" t="n">
        <v>50769</v>
      </c>
      <c r="C7226" t="inlineStr">
        <is>
          <t>1417/10/09</t>
        </is>
      </c>
    </row>
    <row r="7227">
      <c r="A7227" t="n">
        <v>14171010</v>
      </c>
      <c r="B7227" t="n">
        <v>50770</v>
      </c>
      <c r="C7227" t="inlineStr">
        <is>
          <t>1417/10/10</t>
        </is>
      </c>
    </row>
    <row r="7228">
      <c r="A7228" t="n">
        <v>14171011</v>
      </c>
      <c r="B7228" t="n">
        <v>50771</v>
      </c>
      <c r="C7228" t="inlineStr">
        <is>
          <t>1417/10/11</t>
        </is>
      </c>
    </row>
    <row r="7229">
      <c r="A7229" t="n">
        <v>14171012</v>
      </c>
      <c r="B7229" t="n">
        <v>50772</v>
      </c>
      <c r="C7229" t="inlineStr">
        <is>
          <t>1417/10/12</t>
        </is>
      </c>
    </row>
    <row r="7230">
      <c r="A7230" t="n">
        <v>14171013</v>
      </c>
      <c r="B7230" t="n">
        <v>50773</v>
      </c>
      <c r="C7230" t="inlineStr">
        <is>
          <t>1417/10/13</t>
        </is>
      </c>
    </row>
    <row r="7231">
      <c r="A7231" t="n">
        <v>14171014</v>
      </c>
      <c r="B7231" t="n">
        <v>50774</v>
      </c>
      <c r="C7231" t="inlineStr">
        <is>
          <t>1417/10/14</t>
        </is>
      </c>
    </row>
    <row r="7232">
      <c r="A7232" t="n">
        <v>14171015</v>
      </c>
      <c r="B7232" t="n">
        <v>50775</v>
      </c>
      <c r="C7232" t="inlineStr">
        <is>
          <t>1417/10/15</t>
        </is>
      </c>
    </row>
    <row r="7233">
      <c r="A7233" t="n">
        <v>14171016</v>
      </c>
      <c r="B7233" t="n">
        <v>50776</v>
      </c>
      <c r="C7233" t="inlineStr">
        <is>
          <t>1417/10/16</t>
        </is>
      </c>
    </row>
    <row r="7234">
      <c r="A7234" t="n">
        <v>14171017</v>
      </c>
      <c r="B7234" t="n">
        <v>50777</v>
      </c>
      <c r="C7234" t="inlineStr">
        <is>
          <t>1417/10/17</t>
        </is>
      </c>
    </row>
    <row r="7235">
      <c r="A7235" t="n">
        <v>14171018</v>
      </c>
      <c r="B7235" t="n">
        <v>50778</v>
      </c>
      <c r="C7235" t="inlineStr">
        <is>
          <t>1417/10/18</t>
        </is>
      </c>
    </row>
    <row r="7236">
      <c r="A7236" t="n">
        <v>14171019</v>
      </c>
      <c r="B7236" t="n">
        <v>50779</v>
      </c>
      <c r="C7236" t="inlineStr">
        <is>
          <t>1417/10/19</t>
        </is>
      </c>
    </row>
    <row r="7237">
      <c r="A7237" t="n">
        <v>14171020</v>
      </c>
      <c r="B7237" t="n">
        <v>50780</v>
      </c>
      <c r="C7237" t="inlineStr">
        <is>
          <t>1417/10/20</t>
        </is>
      </c>
    </row>
    <row r="7238">
      <c r="A7238" t="n">
        <v>14171021</v>
      </c>
      <c r="B7238" t="n">
        <v>50781</v>
      </c>
      <c r="C7238" t="inlineStr">
        <is>
          <t>1417/10/21</t>
        </is>
      </c>
    </row>
    <row r="7239">
      <c r="A7239" t="n">
        <v>14171022</v>
      </c>
      <c r="B7239" t="n">
        <v>50782</v>
      </c>
      <c r="C7239" t="inlineStr">
        <is>
          <t>1417/10/22</t>
        </is>
      </c>
    </row>
    <row r="7240">
      <c r="A7240" t="n">
        <v>14171023</v>
      </c>
      <c r="B7240" t="n">
        <v>50783</v>
      </c>
      <c r="C7240" t="inlineStr">
        <is>
          <t>1417/10/23</t>
        </is>
      </c>
    </row>
    <row r="7241">
      <c r="A7241" t="n">
        <v>14171024</v>
      </c>
      <c r="B7241" t="n">
        <v>50784</v>
      </c>
      <c r="C7241" t="inlineStr">
        <is>
          <t>1417/10/24</t>
        </is>
      </c>
    </row>
    <row r="7242">
      <c r="A7242" t="n">
        <v>14171025</v>
      </c>
      <c r="B7242" t="n">
        <v>50785</v>
      </c>
      <c r="C7242" t="inlineStr">
        <is>
          <t>1417/10/25</t>
        </is>
      </c>
    </row>
    <row r="7243">
      <c r="A7243" t="n">
        <v>14171026</v>
      </c>
      <c r="B7243" t="n">
        <v>50786</v>
      </c>
      <c r="C7243" t="inlineStr">
        <is>
          <t>1417/10/26</t>
        </is>
      </c>
    </row>
    <row r="7244">
      <c r="A7244" t="n">
        <v>14171027</v>
      </c>
      <c r="B7244" t="n">
        <v>50787</v>
      </c>
      <c r="C7244" t="inlineStr">
        <is>
          <t>1417/10/27</t>
        </is>
      </c>
    </row>
    <row r="7245">
      <c r="A7245" t="n">
        <v>14171028</v>
      </c>
      <c r="B7245" t="n">
        <v>50788</v>
      </c>
      <c r="C7245" t="inlineStr">
        <is>
          <t>1417/10/28</t>
        </is>
      </c>
    </row>
    <row r="7246">
      <c r="A7246" t="n">
        <v>14171029</v>
      </c>
      <c r="B7246" t="n">
        <v>50789</v>
      </c>
      <c r="C7246" t="inlineStr">
        <is>
          <t>1417/10/29</t>
        </is>
      </c>
    </row>
    <row r="7247">
      <c r="A7247" t="n">
        <v>14171030</v>
      </c>
      <c r="B7247" t="n">
        <v>50790</v>
      </c>
      <c r="C7247" t="inlineStr">
        <is>
          <t>1417/10/30</t>
        </is>
      </c>
    </row>
    <row r="7248">
      <c r="A7248" t="n">
        <v>14171101</v>
      </c>
      <c r="B7248" t="n">
        <v>50791</v>
      </c>
      <c r="C7248" t="inlineStr">
        <is>
          <t>1417/11/01</t>
        </is>
      </c>
    </row>
    <row r="7249">
      <c r="A7249" t="n">
        <v>14171102</v>
      </c>
      <c r="B7249" t="n">
        <v>50792</v>
      </c>
      <c r="C7249" t="inlineStr">
        <is>
          <t>1417/11/02</t>
        </is>
      </c>
    </row>
    <row r="7250">
      <c r="A7250" t="n">
        <v>14171103</v>
      </c>
      <c r="B7250" t="n">
        <v>50793</v>
      </c>
      <c r="C7250" t="inlineStr">
        <is>
          <t>1417/11/03</t>
        </is>
      </c>
    </row>
    <row r="7251">
      <c r="A7251" t="n">
        <v>14171104</v>
      </c>
      <c r="B7251" t="n">
        <v>50794</v>
      </c>
      <c r="C7251" t="inlineStr">
        <is>
          <t>1417/11/04</t>
        </is>
      </c>
    </row>
    <row r="7252">
      <c r="A7252" t="n">
        <v>14171105</v>
      </c>
      <c r="B7252" t="n">
        <v>50795</v>
      </c>
      <c r="C7252" t="inlineStr">
        <is>
          <t>1417/11/05</t>
        </is>
      </c>
    </row>
    <row r="7253">
      <c r="A7253" t="n">
        <v>14171106</v>
      </c>
      <c r="B7253" t="n">
        <v>50796</v>
      </c>
      <c r="C7253" t="inlineStr">
        <is>
          <t>1417/11/06</t>
        </is>
      </c>
    </row>
    <row r="7254">
      <c r="A7254" t="n">
        <v>14171107</v>
      </c>
      <c r="B7254" t="n">
        <v>50797</v>
      </c>
      <c r="C7254" t="inlineStr">
        <is>
          <t>1417/11/07</t>
        </is>
      </c>
    </row>
    <row r="7255">
      <c r="A7255" t="n">
        <v>14171108</v>
      </c>
      <c r="B7255" t="n">
        <v>50798</v>
      </c>
      <c r="C7255" t="inlineStr">
        <is>
          <t>1417/11/08</t>
        </is>
      </c>
    </row>
    <row r="7256">
      <c r="A7256" t="n">
        <v>14171109</v>
      </c>
      <c r="B7256" t="n">
        <v>50799</v>
      </c>
      <c r="C7256" t="inlineStr">
        <is>
          <t>1417/11/09</t>
        </is>
      </c>
    </row>
    <row r="7257">
      <c r="A7257" t="n">
        <v>14171110</v>
      </c>
      <c r="B7257" t="n">
        <v>50800</v>
      </c>
      <c r="C7257" t="inlineStr">
        <is>
          <t>1417/11/10</t>
        </is>
      </c>
    </row>
    <row r="7258">
      <c r="A7258" t="n">
        <v>14171111</v>
      </c>
      <c r="B7258" t="n">
        <v>50801</v>
      </c>
      <c r="C7258" t="inlineStr">
        <is>
          <t>1417/11/11</t>
        </is>
      </c>
    </row>
    <row r="7259">
      <c r="A7259" t="n">
        <v>14171112</v>
      </c>
      <c r="B7259" t="n">
        <v>50802</v>
      </c>
      <c r="C7259" t="inlineStr">
        <is>
          <t>1417/11/12</t>
        </is>
      </c>
    </row>
    <row r="7260">
      <c r="A7260" t="n">
        <v>14171113</v>
      </c>
      <c r="B7260" t="n">
        <v>50803</v>
      </c>
      <c r="C7260" t="inlineStr">
        <is>
          <t>1417/11/13</t>
        </is>
      </c>
    </row>
    <row r="7261">
      <c r="A7261" t="n">
        <v>14171114</v>
      </c>
      <c r="B7261" t="n">
        <v>50804</v>
      </c>
      <c r="C7261" t="inlineStr">
        <is>
          <t>1417/11/14</t>
        </is>
      </c>
    </row>
    <row r="7262">
      <c r="A7262" t="n">
        <v>14171115</v>
      </c>
      <c r="B7262" t="n">
        <v>50805</v>
      </c>
      <c r="C7262" t="inlineStr">
        <is>
          <t>1417/11/15</t>
        </is>
      </c>
    </row>
    <row r="7263">
      <c r="A7263" t="n">
        <v>14171116</v>
      </c>
      <c r="B7263" t="n">
        <v>50806</v>
      </c>
      <c r="C7263" t="inlineStr">
        <is>
          <t>1417/11/16</t>
        </is>
      </c>
    </row>
    <row r="7264">
      <c r="A7264" t="n">
        <v>14171117</v>
      </c>
      <c r="B7264" t="n">
        <v>50807</v>
      </c>
      <c r="C7264" t="inlineStr">
        <is>
          <t>1417/11/17</t>
        </is>
      </c>
    </row>
    <row r="7265">
      <c r="A7265" t="n">
        <v>14171118</v>
      </c>
      <c r="B7265" t="n">
        <v>50808</v>
      </c>
      <c r="C7265" t="inlineStr">
        <is>
          <t>1417/11/18</t>
        </is>
      </c>
    </row>
    <row r="7266">
      <c r="A7266" t="n">
        <v>14171119</v>
      </c>
      <c r="B7266" t="n">
        <v>50809</v>
      </c>
      <c r="C7266" t="inlineStr">
        <is>
          <t>1417/11/19</t>
        </is>
      </c>
    </row>
    <row r="7267">
      <c r="A7267" t="n">
        <v>14171120</v>
      </c>
      <c r="B7267" t="n">
        <v>50810</v>
      </c>
      <c r="C7267" t="inlineStr">
        <is>
          <t>1417/11/20</t>
        </is>
      </c>
    </row>
    <row r="7268">
      <c r="A7268" t="n">
        <v>14171121</v>
      </c>
      <c r="B7268" t="n">
        <v>50811</v>
      </c>
      <c r="C7268" t="inlineStr">
        <is>
          <t>1417/11/21</t>
        </is>
      </c>
    </row>
    <row r="7269">
      <c r="A7269" t="n">
        <v>14171122</v>
      </c>
      <c r="B7269" t="n">
        <v>50812</v>
      </c>
      <c r="C7269" t="inlineStr">
        <is>
          <t>1417/11/22</t>
        </is>
      </c>
    </row>
    <row r="7270">
      <c r="A7270" t="n">
        <v>14171123</v>
      </c>
      <c r="B7270" t="n">
        <v>50813</v>
      </c>
      <c r="C7270" t="inlineStr">
        <is>
          <t>1417/11/23</t>
        </is>
      </c>
    </row>
    <row r="7271">
      <c r="A7271" t="n">
        <v>14171124</v>
      </c>
      <c r="B7271" t="n">
        <v>50814</v>
      </c>
      <c r="C7271" t="inlineStr">
        <is>
          <t>1417/11/24</t>
        </is>
      </c>
    </row>
    <row r="7272">
      <c r="A7272" t="n">
        <v>14171125</v>
      </c>
      <c r="B7272" t="n">
        <v>50815</v>
      </c>
      <c r="C7272" t="inlineStr">
        <is>
          <t>1417/11/25</t>
        </is>
      </c>
    </row>
    <row r="7273">
      <c r="A7273" t="n">
        <v>14171126</v>
      </c>
      <c r="B7273" t="n">
        <v>50816</v>
      </c>
      <c r="C7273" t="inlineStr">
        <is>
          <t>1417/11/26</t>
        </is>
      </c>
    </row>
    <row r="7274">
      <c r="A7274" t="n">
        <v>14171127</v>
      </c>
      <c r="B7274" t="n">
        <v>50817</v>
      </c>
      <c r="C7274" t="inlineStr">
        <is>
          <t>1417/11/27</t>
        </is>
      </c>
    </row>
    <row r="7275">
      <c r="A7275" t="n">
        <v>14171128</v>
      </c>
      <c r="B7275" t="n">
        <v>50818</v>
      </c>
      <c r="C7275" t="inlineStr">
        <is>
          <t>1417/11/28</t>
        </is>
      </c>
    </row>
    <row r="7276">
      <c r="A7276" t="n">
        <v>14171129</v>
      </c>
      <c r="B7276" t="n">
        <v>50819</v>
      </c>
      <c r="C7276" t="inlineStr">
        <is>
          <t>1417/11/29</t>
        </is>
      </c>
    </row>
    <row r="7277">
      <c r="A7277" t="n">
        <v>14171130</v>
      </c>
      <c r="B7277" t="n">
        <v>50820</v>
      </c>
      <c r="C7277" t="inlineStr">
        <is>
          <t>1417/11/30</t>
        </is>
      </c>
    </row>
    <row r="7278">
      <c r="A7278" t="n">
        <v>14171201</v>
      </c>
      <c r="B7278" t="n">
        <v>50821</v>
      </c>
      <c r="C7278" t="inlineStr">
        <is>
          <t>1417/12/01</t>
        </is>
      </c>
    </row>
    <row r="7279">
      <c r="A7279" t="n">
        <v>14171202</v>
      </c>
      <c r="B7279" t="n">
        <v>50822</v>
      </c>
      <c r="C7279" t="inlineStr">
        <is>
          <t>1417/12/02</t>
        </is>
      </c>
    </row>
    <row r="7280">
      <c r="A7280" t="n">
        <v>14171203</v>
      </c>
      <c r="B7280" t="n">
        <v>50823</v>
      </c>
      <c r="C7280" t="inlineStr">
        <is>
          <t>1417/12/03</t>
        </is>
      </c>
    </row>
    <row r="7281">
      <c r="A7281" t="n">
        <v>14171204</v>
      </c>
      <c r="B7281" t="n">
        <v>50824</v>
      </c>
      <c r="C7281" t="inlineStr">
        <is>
          <t>1417/12/04</t>
        </is>
      </c>
    </row>
    <row r="7282">
      <c r="A7282" t="n">
        <v>14171205</v>
      </c>
      <c r="B7282" t="n">
        <v>50825</v>
      </c>
      <c r="C7282" t="inlineStr">
        <is>
          <t>1417/12/05</t>
        </is>
      </c>
    </row>
    <row r="7283">
      <c r="A7283" t="n">
        <v>14171206</v>
      </c>
      <c r="B7283" t="n">
        <v>50826</v>
      </c>
      <c r="C7283" t="inlineStr">
        <is>
          <t>1417/12/06</t>
        </is>
      </c>
    </row>
    <row r="7284">
      <c r="A7284" t="n">
        <v>14171207</v>
      </c>
      <c r="B7284" t="n">
        <v>50827</v>
      </c>
      <c r="C7284" t="inlineStr">
        <is>
          <t>1417/12/07</t>
        </is>
      </c>
    </row>
    <row r="7285">
      <c r="A7285" t="n">
        <v>14171208</v>
      </c>
      <c r="B7285" t="n">
        <v>50828</v>
      </c>
      <c r="C7285" t="inlineStr">
        <is>
          <t>1417/12/08</t>
        </is>
      </c>
    </row>
    <row r="7286">
      <c r="A7286" t="n">
        <v>14171209</v>
      </c>
      <c r="B7286" t="n">
        <v>50829</v>
      </c>
      <c r="C7286" t="inlineStr">
        <is>
          <t>1417/12/09</t>
        </is>
      </c>
    </row>
    <row r="7287">
      <c r="A7287" t="n">
        <v>14171210</v>
      </c>
      <c r="B7287" t="n">
        <v>50830</v>
      </c>
      <c r="C7287" t="inlineStr">
        <is>
          <t>1417/12/10</t>
        </is>
      </c>
    </row>
    <row r="7288">
      <c r="A7288" t="n">
        <v>14171211</v>
      </c>
      <c r="B7288" t="n">
        <v>50831</v>
      </c>
      <c r="C7288" t="inlineStr">
        <is>
          <t>1417/12/11</t>
        </is>
      </c>
    </row>
    <row r="7289">
      <c r="A7289" t="n">
        <v>14171212</v>
      </c>
      <c r="B7289" t="n">
        <v>50832</v>
      </c>
      <c r="C7289" t="inlineStr">
        <is>
          <t>1417/12/12</t>
        </is>
      </c>
    </row>
    <row r="7290">
      <c r="A7290" t="n">
        <v>14171213</v>
      </c>
      <c r="B7290" t="n">
        <v>50833</v>
      </c>
      <c r="C7290" t="inlineStr">
        <is>
          <t>1417/12/13</t>
        </is>
      </c>
    </row>
    <row r="7291">
      <c r="A7291" t="n">
        <v>14171214</v>
      </c>
      <c r="B7291" t="n">
        <v>50834</v>
      </c>
      <c r="C7291" t="inlineStr">
        <is>
          <t>1417/12/14</t>
        </is>
      </c>
    </row>
    <row r="7292">
      <c r="A7292" t="n">
        <v>14171215</v>
      </c>
      <c r="B7292" t="n">
        <v>50835</v>
      </c>
      <c r="C7292" t="inlineStr">
        <is>
          <t>1417/12/15</t>
        </is>
      </c>
    </row>
    <row r="7293">
      <c r="A7293" t="n">
        <v>14171216</v>
      </c>
      <c r="B7293" t="n">
        <v>50836</v>
      </c>
      <c r="C7293" t="inlineStr">
        <is>
          <t>1417/12/16</t>
        </is>
      </c>
    </row>
    <row r="7294">
      <c r="A7294" t="n">
        <v>14171217</v>
      </c>
      <c r="B7294" t="n">
        <v>50837</v>
      </c>
      <c r="C7294" t="inlineStr">
        <is>
          <t>1417/12/17</t>
        </is>
      </c>
    </row>
    <row r="7295">
      <c r="A7295" t="n">
        <v>14171218</v>
      </c>
      <c r="B7295" t="n">
        <v>50838</v>
      </c>
      <c r="C7295" t="inlineStr">
        <is>
          <t>1417/12/18</t>
        </is>
      </c>
    </row>
    <row r="7296">
      <c r="A7296" t="n">
        <v>14171219</v>
      </c>
      <c r="B7296" t="n">
        <v>50839</v>
      </c>
      <c r="C7296" t="inlineStr">
        <is>
          <t>1417/12/19</t>
        </is>
      </c>
    </row>
    <row r="7297">
      <c r="A7297" t="n">
        <v>14171220</v>
      </c>
      <c r="B7297" t="n">
        <v>50840</v>
      </c>
      <c r="C7297" t="inlineStr">
        <is>
          <t>1417/12/20</t>
        </is>
      </c>
    </row>
    <row r="7298">
      <c r="A7298" t="n">
        <v>14171221</v>
      </c>
      <c r="B7298" t="n">
        <v>50841</v>
      </c>
      <c r="C7298" t="inlineStr">
        <is>
          <t>1417/12/21</t>
        </is>
      </c>
    </row>
    <row r="7299">
      <c r="A7299" t="n">
        <v>14171222</v>
      </c>
      <c r="B7299" t="n">
        <v>50842</v>
      </c>
      <c r="C7299" t="inlineStr">
        <is>
          <t>1417/12/22</t>
        </is>
      </c>
    </row>
    <row r="7300">
      <c r="A7300" t="n">
        <v>14171223</v>
      </c>
      <c r="B7300" t="n">
        <v>50843</v>
      </c>
      <c r="C7300" t="inlineStr">
        <is>
          <t>1417/12/23</t>
        </is>
      </c>
    </row>
    <row r="7301">
      <c r="A7301" t="n">
        <v>14171224</v>
      </c>
      <c r="B7301" t="n">
        <v>50844</v>
      </c>
      <c r="C7301" t="inlineStr">
        <is>
          <t>1417/12/24</t>
        </is>
      </c>
    </row>
    <row r="7302">
      <c r="A7302" t="n">
        <v>14171225</v>
      </c>
      <c r="B7302" t="n">
        <v>50845</v>
      </c>
      <c r="C7302" t="inlineStr">
        <is>
          <t>1417/12/25</t>
        </is>
      </c>
    </row>
    <row r="7303">
      <c r="A7303" t="n">
        <v>14171226</v>
      </c>
      <c r="B7303" t="n">
        <v>50846</v>
      </c>
      <c r="C7303" t="inlineStr">
        <is>
          <t>1417/12/26</t>
        </is>
      </c>
    </row>
    <row r="7304">
      <c r="A7304" t="n">
        <v>14171227</v>
      </c>
      <c r="B7304" t="n">
        <v>50847</v>
      </c>
      <c r="C7304" t="inlineStr">
        <is>
          <t>1417/12/27</t>
        </is>
      </c>
    </row>
    <row r="7305">
      <c r="A7305" t="n">
        <v>14171228</v>
      </c>
      <c r="B7305" t="n">
        <v>50848</v>
      </c>
      <c r="C7305" t="inlineStr">
        <is>
          <t>1417/12/28</t>
        </is>
      </c>
    </row>
    <row r="7306">
      <c r="A7306" t="n">
        <v>14171229</v>
      </c>
      <c r="B7306" t="n">
        <v>50849</v>
      </c>
      <c r="C7306" t="inlineStr">
        <is>
          <t>1417/12/29</t>
        </is>
      </c>
    </row>
    <row r="7307">
      <c r="A7307" t="n">
        <v>14180101</v>
      </c>
      <c r="B7307" t="n">
        <v>50850</v>
      </c>
      <c r="C7307" t="inlineStr">
        <is>
          <t>1418/01/01</t>
        </is>
      </c>
    </row>
    <row r="7308">
      <c r="A7308" t="n">
        <v>14180102</v>
      </c>
      <c r="B7308" t="n">
        <v>50851</v>
      </c>
      <c r="C7308" t="inlineStr">
        <is>
          <t>1418/01/02</t>
        </is>
      </c>
    </row>
    <row r="7309">
      <c r="A7309" t="n">
        <v>14180103</v>
      </c>
      <c r="B7309" t="n">
        <v>50852</v>
      </c>
      <c r="C7309" t="inlineStr">
        <is>
          <t>1418/01/03</t>
        </is>
      </c>
    </row>
    <row r="7310">
      <c r="A7310" t="n">
        <v>14180104</v>
      </c>
      <c r="B7310" t="n">
        <v>50853</v>
      </c>
      <c r="C7310" t="inlineStr">
        <is>
          <t>1418/01/04</t>
        </is>
      </c>
    </row>
    <row r="7311">
      <c r="A7311" t="n">
        <v>14180105</v>
      </c>
      <c r="B7311" t="n">
        <v>50854</v>
      </c>
      <c r="C7311" t="inlineStr">
        <is>
          <t>1418/01/05</t>
        </is>
      </c>
    </row>
    <row r="7312">
      <c r="A7312" t="n">
        <v>14180106</v>
      </c>
      <c r="B7312" t="n">
        <v>50855</v>
      </c>
      <c r="C7312" t="inlineStr">
        <is>
          <t>1418/01/06</t>
        </is>
      </c>
    </row>
    <row r="7313">
      <c r="A7313" t="n">
        <v>14180107</v>
      </c>
      <c r="B7313" t="n">
        <v>50856</v>
      </c>
      <c r="C7313" t="inlineStr">
        <is>
          <t>1418/01/07</t>
        </is>
      </c>
    </row>
    <row r="7314">
      <c r="A7314" t="n">
        <v>14180108</v>
      </c>
      <c r="B7314" t="n">
        <v>50857</v>
      </c>
      <c r="C7314" t="inlineStr">
        <is>
          <t>1418/01/08</t>
        </is>
      </c>
    </row>
    <row r="7315">
      <c r="A7315" t="n">
        <v>14180109</v>
      </c>
      <c r="B7315" t="n">
        <v>50858</v>
      </c>
      <c r="C7315" t="inlineStr">
        <is>
          <t>1418/01/09</t>
        </is>
      </c>
    </row>
    <row r="7316">
      <c r="A7316" t="n">
        <v>14180110</v>
      </c>
      <c r="B7316" t="n">
        <v>50859</v>
      </c>
      <c r="C7316" t="inlineStr">
        <is>
          <t>1418/01/10</t>
        </is>
      </c>
    </row>
    <row r="7317">
      <c r="A7317" t="n">
        <v>14180111</v>
      </c>
      <c r="B7317" t="n">
        <v>50860</v>
      </c>
      <c r="C7317" t="inlineStr">
        <is>
          <t>1418/01/11</t>
        </is>
      </c>
    </row>
    <row r="7318">
      <c r="A7318" t="n">
        <v>14180112</v>
      </c>
      <c r="B7318" t="n">
        <v>50861</v>
      </c>
      <c r="C7318" t="inlineStr">
        <is>
          <t>1418/01/12</t>
        </is>
      </c>
    </row>
    <row r="7319">
      <c r="A7319" t="n">
        <v>14180113</v>
      </c>
      <c r="B7319" t="n">
        <v>50862</v>
      </c>
      <c r="C7319" t="inlineStr">
        <is>
          <t>1418/01/13</t>
        </is>
      </c>
    </row>
    <row r="7320">
      <c r="A7320" t="n">
        <v>14180114</v>
      </c>
      <c r="B7320" t="n">
        <v>50863</v>
      </c>
      <c r="C7320" t="inlineStr">
        <is>
          <t>1418/01/14</t>
        </is>
      </c>
    </row>
    <row r="7321">
      <c r="A7321" t="n">
        <v>14180115</v>
      </c>
      <c r="B7321" t="n">
        <v>50864</v>
      </c>
      <c r="C7321" t="inlineStr">
        <is>
          <t>1418/01/15</t>
        </is>
      </c>
    </row>
    <row r="7322">
      <c r="A7322" t="n">
        <v>14180116</v>
      </c>
      <c r="B7322" t="n">
        <v>50865</v>
      </c>
      <c r="C7322" t="inlineStr">
        <is>
          <t>1418/01/16</t>
        </is>
      </c>
    </row>
    <row r="7323">
      <c r="A7323" t="n">
        <v>14180117</v>
      </c>
      <c r="B7323" t="n">
        <v>50866</v>
      </c>
      <c r="C7323" t="inlineStr">
        <is>
          <t>1418/01/17</t>
        </is>
      </c>
    </row>
    <row r="7324">
      <c r="A7324" t="n">
        <v>14180118</v>
      </c>
      <c r="B7324" t="n">
        <v>50867</v>
      </c>
      <c r="C7324" t="inlineStr">
        <is>
          <t>1418/01/18</t>
        </is>
      </c>
    </row>
    <row r="7325">
      <c r="A7325" t="n">
        <v>14180119</v>
      </c>
      <c r="B7325" t="n">
        <v>50868</v>
      </c>
      <c r="C7325" t="inlineStr">
        <is>
          <t>1418/01/19</t>
        </is>
      </c>
    </row>
    <row r="7326">
      <c r="A7326" t="n">
        <v>14180120</v>
      </c>
      <c r="B7326" t="n">
        <v>50869</v>
      </c>
      <c r="C7326" t="inlineStr">
        <is>
          <t>1418/01/20</t>
        </is>
      </c>
    </row>
    <row r="7327">
      <c r="A7327" t="n">
        <v>14180121</v>
      </c>
      <c r="B7327" t="n">
        <v>50870</v>
      </c>
      <c r="C7327" t="inlineStr">
        <is>
          <t>1418/01/21</t>
        </is>
      </c>
    </row>
    <row r="7328">
      <c r="A7328" t="n">
        <v>14180122</v>
      </c>
      <c r="B7328" t="n">
        <v>50871</v>
      </c>
      <c r="C7328" t="inlineStr">
        <is>
          <t>1418/01/22</t>
        </is>
      </c>
    </row>
    <row r="7329">
      <c r="A7329" t="n">
        <v>14180123</v>
      </c>
      <c r="B7329" t="n">
        <v>50872</v>
      </c>
      <c r="C7329" t="inlineStr">
        <is>
          <t>1418/01/23</t>
        </is>
      </c>
    </row>
    <row r="7330">
      <c r="A7330" t="n">
        <v>14180124</v>
      </c>
      <c r="B7330" t="n">
        <v>50873</v>
      </c>
      <c r="C7330" t="inlineStr">
        <is>
          <t>1418/01/24</t>
        </is>
      </c>
    </row>
    <row r="7331">
      <c r="A7331" t="n">
        <v>14180125</v>
      </c>
      <c r="B7331" t="n">
        <v>50874</v>
      </c>
      <c r="C7331" t="inlineStr">
        <is>
          <t>1418/01/25</t>
        </is>
      </c>
    </row>
    <row r="7332">
      <c r="A7332" t="n">
        <v>14180126</v>
      </c>
      <c r="B7332" t="n">
        <v>50875</v>
      </c>
      <c r="C7332" t="inlineStr">
        <is>
          <t>1418/01/26</t>
        </is>
      </c>
    </row>
    <row r="7333">
      <c r="A7333" t="n">
        <v>14180127</v>
      </c>
      <c r="B7333" t="n">
        <v>50876</v>
      </c>
      <c r="C7333" t="inlineStr">
        <is>
          <t>1418/01/27</t>
        </is>
      </c>
    </row>
    <row r="7334">
      <c r="A7334" t="n">
        <v>14180128</v>
      </c>
      <c r="B7334" t="n">
        <v>50877</v>
      </c>
      <c r="C7334" t="inlineStr">
        <is>
          <t>1418/01/28</t>
        </is>
      </c>
    </row>
    <row r="7335">
      <c r="A7335" t="n">
        <v>14180129</v>
      </c>
      <c r="B7335" t="n">
        <v>50878</v>
      </c>
      <c r="C7335" t="inlineStr">
        <is>
          <t>1418/01/29</t>
        </is>
      </c>
    </row>
    <row r="7336">
      <c r="A7336" t="n">
        <v>14180130</v>
      </c>
      <c r="B7336" t="n">
        <v>50879</v>
      </c>
      <c r="C7336" t="inlineStr">
        <is>
          <t>1418/01/30</t>
        </is>
      </c>
    </row>
    <row r="7337">
      <c r="A7337" t="n">
        <v>14180131</v>
      </c>
      <c r="B7337" t="n">
        <v>50880</v>
      </c>
      <c r="C7337" t="inlineStr">
        <is>
          <t>1418/01/31</t>
        </is>
      </c>
    </row>
    <row r="7338">
      <c r="A7338" t="n">
        <v>14180201</v>
      </c>
      <c r="B7338" t="n">
        <v>50881</v>
      </c>
      <c r="C7338" t="inlineStr">
        <is>
          <t>1418/02/01</t>
        </is>
      </c>
    </row>
    <row r="7339">
      <c r="A7339" t="n">
        <v>14180202</v>
      </c>
      <c r="B7339" t="n">
        <v>50882</v>
      </c>
      <c r="C7339" t="inlineStr">
        <is>
          <t>1418/02/02</t>
        </is>
      </c>
    </row>
    <row r="7340">
      <c r="A7340" t="n">
        <v>14180203</v>
      </c>
      <c r="B7340" t="n">
        <v>50883</v>
      </c>
      <c r="C7340" t="inlineStr">
        <is>
          <t>1418/02/03</t>
        </is>
      </c>
    </row>
    <row r="7341">
      <c r="A7341" t="n">
        <v>14180204</v>
      </c>
      <c r="B7341" t="n">
        <v>50884</v>
      </c>
      <c r="C7341" t="inlineStr">
        <is>
          <t>1418/02/04</t>
        </is>
      </c>
    </row>
    <row r="7342">
      <c r="A7342" t="n">
        <v>14180205</v>
      </c>
      <c r="B7342" t="n">
        <v>50885</v>
      </c>
      <c r="C7342" t="inlineStr">
        <is>
          <t>1418/02/05</t>
        </is>
      </c>
    </row>
    <row r="7343">
      <c r="A7343" t="n">
        <v>14180206</v>
      </c>
      <c r="B7343" t="n">
        <v>50886</v>
      </c>
      <c r="C7343" t="inlineStr">
        <is>
          <t>1418/02/06</t>
        </is>
      </c>
    </row>
    <row r="7344">
      <c r="A7344" t="n">
        <v>14180207</v>
      </c>
      <c r="B7344" t="n">
        <v>50887</v>
      </c>
      <c r="C7344" t="inlineStr">
        <is>
          <t>1418/02/07</t>
        </is>
      </c>
    </row>
    <row r="7345">
      <c r="A7345" t="n">
        <v>14180208</v>
      </c>
      <c r="B7345" t="n">
        <v>50888</v>
      </c>
      <c r="C7345" t="inlineStr">
        <is>
          <t>1418/02/08</t>
        </is>
      </c>
    </row>
    <row r="7346">
      <c r="A7346" t="n">
        <v>14180209</v>
      </c>
      <c r="B7346" t="n">
        <v>50889</v>
      </c>
      <c r="C7346" t="inlineStr">
        <is>
          <t>1418/02/09</t>
        </is>
      </c>
    </row>
    <row r="7347">
      <c r="A7347" t="n">
        <v>14180210</v>
      </c>
      <c r="B7347" t="n">
        <v>50890</v>
      </c>
      <c r="C7347" t="inlineStr">
        <is>
          <t>1418/02/10</t>
        </is>
      </c>
    </row>
    <row r="7348">
      <c r="A7348" t="n">
        <v>14180211</v>
      </c>
      <c r="B7348" t="n">
        <v>50891</v>
      </c>
      <c r="C7348" t="inlineStr">
        <is>
          <t>1418/02/11</t>
        </is>
      </c>
    </row>
    <row r="7349">
      <c r="A7349" t="n">
        <v>14180212</v>
      </c>
      <c r="B7349" t="n">
        <v>50892</v>
      </c>
      <c r="C7349" t="inlineStr">
        <is>
          <t>1418/02/12</t>
        </is>
      </c>
    </row>
    <row r="7350">
      <c r="A7350" t="n">
        <v>14180213</v>
      </c>
      <c r="B7350" t="n">
        <v>50893</v>
      </c>
      <c r="C7350" t="inlineStr">
        <is>
          <t>1418/02/13</t>
        </is>
      </c>
    </row>
    <row r="7351">
      <c r="A7351" t="n">
        <v>14180214</v>
      </c>
      <c r="B7351" t="n">
        <v>50894</v>
      </c>
      <c r="C7351" t="inlineStr">
        <is>
          <t>1418/02/14</t>
        </is>
      </c>
    </row>
    <row r="7352">
      <c r="A7352" t="n">
        <v>14180215</v>
      </c>
      <c r="B7352" t="n">
        <v>50895</v>
      </c>
      <c r="C7352" t="inlineStr">
        <is>
          <t>1418/02/15</t>
        </is>
      </c>
    </row>
    <row r="7353">
      <c r="A7353" t="n">
        <v>14180216</v>
      </c>
      <c r="B7353" t="n">
        <v>50896</v>
      </c>
      <c r="C7353" t="inlineStr">
        <is>
          <t>1418/02/16</t>
        </is>
      </c>
    </row>
    <row r="7354">
      <c r="A7354" t="n">
        <v>14180217</v>
      </c>
      <c r="B7354" t="n">
        <v>50897</v>
      </c>
      <c r="C7354" t="inlineStr">
        <is>
          <t>1418/02/17</t>
        </is>
      </c>
    </row>
    <row r="7355">
      <c r="A7355" t="n">
        <v>14180218</v>
      </c>
      <c r="B7355" t="n">
        <v>50898</v>
      </c>
      <c r="C7355" t="inlineStr">
        <is>
          <t>1418/02/18</t>
        </is>
      </c>
    </row>
    <row r="7356">
      <c r="A7356" t="n">
        <v>14180219</v>
      </c>
      <c r="B7356" t="n">
        <v>50899</v>
      </c>
      <c r="C7356" t="inlineStr">
        <is>
          <t>1418/02/19</t>
        </is>
      </c>
    </row>
    <row r="7357">
      <c r="A7357" t="n">
        <v>14180220</v>
      </c>
      <c r="B7357" t="n">
        <v>50900</v>
      </c>
      <c r="C7357" t="inlineStr">
        <is>
          <t>1418/02/20</t>
        </is>
      </c>
    </row>
    <row r="7358">
      <c r="A7358" t="n">
        <v>14180221</v>
      </c>
      <c r="B7358" t="n">
        <v>50901</v>
      </c>
      <c r="C7358" t="inlineStr">
        <is>
          <t>1418/02/21</t>
        </is>
      </c>
    </row>
    <row r="7359">
      <c r="A7359" t="n">
        <v>14180222</v>
      </c>
      <c r="B7359" t="n">
        <v>50902</v>
      </c>
      <c r="C7359" t="inlineStr">
        <is>
          <t>1418/02/22</t>
        </is>
      </c>
    </row>
    <row r="7360">
      <c r="A7360" t="n">
        <v>14180223</v>
      </c>
      <c r="B7360" t="n">
        <v>50903</v>
      </c>
      <c r="C7360" t="inlineStr">
        <is>
          <t>1418/02/23</t>
        </is>
      </c>
    </row>
    <row r="7361">
      <c r="A7361" t="n">
        <v>14180224</v>
      </c>
      <c r="B7361" t="n">
        <v>50904</v>
      </c>
      <c r="C7361" t="inlineStr">
        <is>
          <t>1418/02/24</t>
        </is>
      </c>
    </row>
    <row r="7362">
      <c r="A7362" t="n">
        <v>14180225</v>
      </c>
      <c r="B7362" t="n">
        <v>50905</v>
      </c>
      <c r="C7362" t="inlineStr">
        <is>
          <t>1418/02/25</t>
        </is>
      </c>
    </row>
    <row r="7363">
      <c r="A7363" t="n">
        <v>14180226</v>
      </c>
      <c r="B7363" t="n">
        <v>50906</v>
      </c>
      <c r="C7363" t="inlineStr">
        <is>
          <t>1418/02/26</t>
        </is>
      </c>
    </row>
    <row r="7364">
      <c r="A7364" t="n">
        <v>14180227</v>
      </c>
      <c r="B7364" t="n">
        <v>50907</v>
      </c>
      <c r="C7364" t="inlineStr">
        <is>
          <t>1418/02/27</t>
        </is>
      </c>
    </row>
    <row r="7365">
      <c r="A7365" t="n">
        <v>14180228</v>
      </c>
      <c r="B7365" t="n">
        <v>50908</v>
      </c>
      <c r="C7365" t="inlineStr">
        <is>
          <t>1418/02/28</t>
        </is>
      </c>
    </row>
    <row r="7366">
      <c r="A7366" t="n">
        <v>14180229</v>
      </c>
      <c r="B7366" t="n">
        <v>50909</v>
      </c>
      <c r="C7366" t="inlineStr">
        <is>
          <t>1418/02/29</t>
        </is>
      </c>
    </row>
    <row r="7367">
      <c r="A7367" t="n">
        <v>14180230</v>
      </c>
      <c r="B7367" t="n">
        <v>50910</v>
      </c>
      <c r="C7367" t="inlineStr">
        <is>
          <t>1418/02/30</t>
        </is>
      </c>
    </row>
    <row r="7368">
      <c r="A7368" t="n">
        <v>14180231</v>
      </c>
      <c r="B7368" t="n">
        <v>50911</v>
      </c>
      <c r="C7368" t="inlineStr">
        <is>
          <t>1418/02/31</t>
        </is>
      </c>
    </row>
    <row r="7369">
      <c r="A7369" t="n">
        <v>14180301</v>
      </c>
      <c r="B7369" t="n">
        <v>50912</v>
      </c>
      <c r="C7369" t="inlineStr">
        <is>
          <t>1418/03/01</t>
        </is>
      </c>
    </row>
    <row r="7370">
      <c r="A7370" t="n">
        <v>14180302</v>
      </c>
      <c r="B7370" t="n">
        <v>50913</v>
      </c>
      <c r="C7370" t="inlineStr">
        <is>
          <t>1418/03/02</t>
        </is>
      </c>
    </row>
    <row r="7371">
      <c r="A7371" t="n">
        <v>14180303</v>
      </c>
      <c r="B7371" t="n">
        <v>50914</v>
      </c>
      <c r="C7371" t="inlineStr">
        <is>
          <t>1418/03/03</t>
        </is>
      </c>
    </row>
    <row r="7372">
      <c r="A7372" t="n">
        <v>14180304</v>
      </c>
      <c r="B7372" t="n">
        <v>50915</v>
      </c>
      <c r="C7372" t="inlineStr">
        <is>
          <t>1418/03/04</t>
        </is>
      </c>
    </row>
    <row r="7373">
      <c r="A7373" t="n">
        <v>14180305</v>
      </c>
      <c r="B7373" t="n">
        <v>50916</v>
      </c>
      <c r="C7373" t="inlineStr">
        <is>
          <t>1418/03/05</t>
        </is>
      </c>
    </row>
    <row r="7374">
      <c r="A7374" t="n">
        <v>14180306</v>
      </c>
      <c r="B7374" t="n">
        <v>50917</v>
      </c>
      <c r="C7374" t="inlineStr">
        <is>
          <t>1418/03/06</t>
        </is>
      </c>
    </row>
    <row r="7375">
      <c r="A7375" t="n">
        <v>14180307</v>
      </c>
      <c r="B7375" t="n">
        <v>50918</v>
      </c>
      <c r="C7375" t="inlineStr">
        <is>
          <t>1418/03/07</t>
        </is>
      </c>
    </row>
    <row r="7376">
      <c r="A7376" t="n">
        <v>14180308</v>
      </c>
      <c r="B7376" t="n">
        <v>50919</v>
      </c>
      <c r="C7376" t="inlineStr">
        <is>
          <t>1418/03/08</t>
        </is>
      </c>
    </row>
    <row r="7377">
      <c r="A7377" t="n">
        <v>14180309</v>
      </c>
      <c r="B7377" t="n">
        <v>50920</v>
      </c>
      <c r="C7377" t="inlineStr">
        <is>
          <t>1418/03/09</t>
        </is>
      </c>
    </row>
    <row r="7378">
      <c r="A7378" t="n">
        <v>14180310</v>
      </c>
      <c r="B7378" t="n">
        <v>50921</v>
      </c>
      <c r="C7378" t="inlineStr">
        <is>
          <t>1418/03/10</t>
        </is>
      </c>
    </row>
    <row r="7379">
      <c r="A7379" t="n">
        <v>14180311</v>
      </c>
      <c r="B7379" t="n">
        <v>50922</v>
      </c>
      <c r="C7379" t="inlineStr">
        <is>
          <t>1418/03/11</t>
        </is>
      </c>
    </row>
    <row r="7380">
      <c r="A7380" t="n">
        <v>14180312</v>
      </c>
      <c r="B7380" t="n">
        <v>50923</v>
      </c>
      <c r="C7380" t="inlineStr">
        <is>
          <t>1418/03/12</t>
        </is>
      </c>
    </row>
    <row r="7381">
      <c r="A7381" t="n">
        <v>14180313</v>
      </c>
      <c r="B7381" t="n">
        <v>50924</v>
      </c>
      <c r="C7381" t="inlineStr">
        <is>
          <t>1418/03/13</t>
        </is>
      </c>
    </row>
    <row r="7382">
      <c r="A7382" t="n">
        <v>14180314</v>
      </c>
      <c r="B7382" t="n">
        <v>50925</v>
      </c>
      <c r="C7382" t="inlineStr">
        <is>
          <t>1418/03/14</t>
        </is>
      </c>
    </row>
    <row r="7383">
      <c r="A7383" t="n">
        <v>14180315</v>
      </c>
      <c r="B7383" t="n">
        <v>50926</v>
      </c>
      <c r="C7383" t="inlineStr">
        <is>
          <t>1418/03/15</t>
        </is>
      </c>
    </row>
    <row r="7384">
      <c r="A7384" t="n">
        <v>14180316</v>
      </c>
      <c r="B7384" t="n">
        <v>50927</v>
      </c>
      <c r="C7384" t="inlineStr">
        <is>
          <t>1418/03/16</t>
        </is>
      </c>
    </row>
    <row r="7385">
      <c r="A7385" t="n">
        <v>14180317</v>
      </c>
      <c r="B7385" t="n">
        <v>50928</v>
      </c>
      <c r="C7385" t="inlineStr">
        <is>
          <t>1418/03/17</t>
        </is>
      </c>
    </row>
    <row r="7386">
      <c r="A7386" t="n">
        <v>14180318</v>
      </c>
      <c r="B7386" t="n">
        <v>50929</v>
      </c>
      <c r="C7386" t="inlineStr">
        <is>
          <t>1418/03/18</t>
        </is>
      </c>
    </row>
    <row r="7387">
      <c r="A7387" t="n">
        <v>14180319</v>
      </c>
      <c r="B7387" t="n">
        <v>50930</v>
      </c>
      <c r="C7387" t="inlineStr">
        <is>
          <t>1418/03/19</t>
        </is>
      </c>
    </row>
    <row r="7388">
      <c r="A7388" t="n">
        <v>14180320</v>
      </c>
      <c r="B7388" t="n">
        <v>50931</v>
      </c>
      <c r="C7388" t="inlineStr">
        <is>
          <t>1418/03/20</t>
        </is>
      </c>
    </row>
    <row r="7389">
      <c r="A7389" t="n">
        <v>14180321</v>
      </c>
      <c r="B7389" t="n">
        <v>50932</v>
      </c>
      <c r="C7389" t="inlineStr">
        <is>
          <t>1418/03/21</t>
        </is>
      </c>
    </row>
    <row r="7390">
      <c r="A7390" t="n">
        <v>14180322</v>
      </c>
      <c r="B7390" t="n">
        <v>50933</v>
      </c>
      <c r="C7390" t="inlineStr">
        <is>
          <t>1418/03/22</t>
        </is>
      </c>
    </row>
    <row r="7391">
      <c r="A7391" t="n">
        <v>14180323</v>
      </c>
      <c r="B7391" t="n">
        <v>50934</v>
      </c>
      <c r="C7391" t="inlineStr">
        <is>
          <t>1418/03/23</t>
        </is>
      </c>
    </row>
    <row r="7392">
      <c r="A7392" t="n">
        <v>14180324</v>
      </c>
      <c r="B7392" t="n">
        <v>50935</v>
      </c>
      <c r="C7392" t="inlineStr">
        <is>
          <t>1418/03/24</t>
        </is>
      </c>
    </row>
    <row r="7393">
      <c r="A7393" t="n">
        <v>14180325</v>
      </c>
      <c r="B7393" t="n">
        <v>50936</v>
      </c>
      <c r="C7393" t="inlineStr">
        <is>
          <t>1418/03/25</t>
        </is>
      </c>
    </row>
    <row r="7394">
      <c r="A7394" t="n">
        <v>14180326</v>
      </c>
      <c r="B7394" t="n">
        <v>50937</v>
      </c>
      <c r="C7394" t="inlineStr">
        <is>
          <t>1418/03/26</t>
        </is>
      </c>
    </row>
    <row r="7395">
      <c r="A7395" t="n">
        <v>14180327</v>
      </c>
      <c r="B7395" t="n">
        <v>50938</v>
      </c>
      <c r="C7395" t="inlineStr">
        <is>
          <t>1418/03/27</t>
        </is>
      </c>
    </row>
    <row r="7396">
      <c r="A7396" t="n">
        <v>14180328</v>
      </c>
      <c r="B7396" t="n">
        <v>50939</v>
      </c>
      <c r="C7396" t="inlineStr">
        <is>
          <t>1418/03/28</t>
        </is>
      </c>
    </row>
    <row r="7397">
      <c r="A7397" t="n">
        <v>14180329</v>
      </c>
      <c r="B7397" t="n">
        <v>50940</v>
      </c>
      <c r="C7397" t="inlineStr">
        <is>
          <t>1418/03/29</t>
        </is>
      </c>
    </row>
    <row r="7398">
      <c r="A7398" t="n">
        <v>14180330</v>
      </c>
      <c r="B7398" t="n">
        <v>50941</v>
      </c>
      <c r="C7398" t="inlineStr">
        <is>
          <t>1418/03/30</t>
        </is>
      </c>
    </row>
    <row r="7399">
      <c r="A7399" t="n">
        <v>14180331</v>
      </c>
      <c r="B7399" t="n">
        <v>50942</v>
      </c>
      <c r="C7399" t="inlineStr">
        <is>
          <t>1418/03/31</t>
        </is>
      </c>
    </row>
    <row r="7400">
      <c r="A7400" t="n">
        <v>14180401</v>
      </c>
      <c r="B7400" t="n">
        <v>50943</v>
      </c>
      <c r="C7400" t="inlineStr">
        <is>
          <t>1418/04/01</t>
        </is>
      </c>
    </row>
    <row r="7401">
      <c r="A7401" t="n">
        <v>14180402</v>
      </c>
      <c r="B7401" t="n">
        <v>50944</v>
      </c>
      <c r="C7401" t="inlineStr">
        <is>
          <t>1418/04/02</t>
        </is>
      </c>
    </row>
    <row r="7402">
      <c r="A7402" t="n">
        <v>14180403</v>
      </c>
      <c r="B7402" t="n">
        <v>50945</v>
      </c>
      <c r="C7402" t="inlineStr">
        <is>
          <t>1418/04/03</t>
        </is>
      </c>
    </row>
    <row r="7403">
      <c r="A7403" t="n">
        <v>14180404</v>
      </c>
      <c r="B7403" t="n">
        <v>50946</v>
      </c>
      <c r="C7403" t="inlineStr">
        <is>
          <t>1418/04/04</t>
        </is>
      </c>
    </row>
    <row r="7404">
      <c r="A7404" t="n">
        <v>14180405</v>
      </c>
      <c r="B7404" t="n">
        <v>50947</v>
      </c>
      <c r="C7404" t="inlineStr">
        <is>
          <t>1418/04/05</t>
        </is>
      </c>
    </row>
    <row r="7405">
      <c r="A7405" t="n">
        <v>14180406</v>
      </c>
      <c r="B7405" t="n">
        <v>50948</v>
      </c>
      <c r="C7405" t="inlineStr">
        <is>
          <t>1418/04/06</t>
        </is>
      </c>
    </row>
    <row r="7406">
      <c r="A7406" t="n">
        <v>14180407</v>
      </c>
      <c r="B7406" t="n">
        <v>50949</v>
      </c>
      <c r="C7406" t="inlineStr">
        <is>
          <t>1418/04/07</t>
        </is>
      </c>
    </row>
    <row r="7407">
      <c r="A7407" t="n">
        <v>14180408</v>
      </c>
      <c r="B7407" t="n">
        <v>50950</v>
      </c>
      <c r="C7407" t="inlineStr">
        <is>
          <t>1418/04/08</t>
        </is>
      </c>
    </row>
    <row r="7408">
      <c r="A7408" t="n">
        <v>14180409</v>
      </c>
      <c r="B7408" t="n">
        <v>50951</v>
      </c>
      <c r="C7408" t="inlineStr">
        <is>
          <t>1418/04/09</t>
        </is>
      </c>
    </row>
    <row r="7409">
      <c r="A7409" t="n">
        <v>14180410</v>
      </c>
      <c r="B7409" t="n">
        <v>50952</v>
      </c>
      <c r="C7409" t="inlineStr">
        <is>
          <t>1418/04/10</t>
        </is>
      </c>
    </row>
    <row r="7410">
      <c r="A7410" t="n">
        <v>14180411</v>
      </c>
      <c r="B7410" t="n">
        <v>50953</v>
      </c>
      <c r="C7410" t="inlineStr">
        <is>
          <t>1418/04/11</t>
        </is>
      </c>
    </row>
    <row r="7411">
      <c r="A7411" t="n">
        <v>14180412</v>
      </c>
      <c r="B7411" t="n">
        <v>50954</v>
      </c>
      <c r="C7411" t="inlineStr">
        <is>
          <t>1418/04/12</t>
        </is>
      </c>
    </row>
    <row r="7412">
      <c r="A7412" t="n">
        <v>14180413</v>
      </c>
      <c r="B7412" t="n">
        <v>50955</v>
      </c>
      <c r="C7412" t="inlineStr">
        <is>
          <t>1418/04/13</t>
        </is>
      </c>
    </row>
    <row r="7413">
      <c r="A7413" t="n">
        <v>14180414</v>
      </c>
      <c r="B7413" t="n">
        <v>50956</v>
      </c>
      <c r="C7413" t="inlineStr">
        <is>
          <t>1418/04/14</t>
        </is>
      </c>
    </row>
    <row r="7414">
      <c r="A7414" t="n">
        <v>14180415</v>
      </c>
      <c r="B7414" t="n">
        <v>50957</v>
      </c>
      <c r="C7414" t="inlineStr">
        <is>
          <t>1418/04/15</t>
        </is>
      </c>
    </row>
    <row r="7415">
      <c r="A7415" t="n">
        <v>14180416</v>
      </c>
      <c r="B7415" t="n">
        <v>50958</v>
      </c>
      <c r="C7415" t="inlineStr">
        <is>
          <t>1418/04/16</t>
        </is>
      </c>
    </row>
    <row r="7416">
      <c r="A7416" t="n">
        <v>14180417</v>
      </c>
      <c r="B7416" t="n">
        <v>50959</v>
      </c>
      <c r="C7416" t="inlineStr">
        <is>
          <t>1418/04/17</t>
        </is>
      </c>
    </row>
    <row r="7417">
      <c r="A7417" t="n">
        <v>14180418</v>
      </c>
      <c r="B7417" t="n">
        <v>50960</v>
      </c>
      <c r="C7417" t="inlineStr">
        <is>
          <t>1418/04/18</t>
        </is>
      </c>
    </row>
    <row r="7418">
      <c r="A7418" t="n">
        <v>14180419</v>
      </c>
      <c r="B7418" t="n">
        <v>50961</v>
      </c>
      <c r="C7418" t="inlineStr">
        <is>
          <t>1418/04/19</t>
        </is>
      </c>
    </row>
    <row r="7419">
      <c r="A7419" t="n">
        <v>14180420</v>
      </c>
      <c r="B7419" t="n">
        <v>50962</v>
      </c>
      <c r="C7419" t="inlineStr">
        <is>
          <t>1418/04/20</t>
        </is>
      </c>
    </row>
    <row r="7420">
      <c r="A7420" t="n">
        <v>14180421</v>
      </c>
      <c r="B7420" t="n">
        <v>50963</v>
      </c>
      <c r="C7420" t="inlineStr">
        <is>
          <t>1418/04/21</t>
        </is>
      </c>
    </row>
    <row r="7421">
      <c r="A7421" t="n">
        <v>14180422</v>
      </c>
      <c r="B7421" t="n">
        <v>50964</v>
      </c>
      <c r="C7421" t="inlineStr">
        <is>
          <t>1418/04/22</t>
        </is>
      </c>
    </row>
    <row r="7422">
      <c r="A7422" t="n">
        <v>14180423</v>
      </c>
      <c r="B7422" t="n">
        <v>50965</v>
      </c>
      <c r="C7422" t="inlineStr">
        <is>
          <t>1418/04/23</t>
        </is>
      </c>
    </row>
    <row r="7423">
      <c r="A7423" t="n">
        <v>14180424</v>
      </c>
      <c r="B7423" t="n">
        <v>50966</v>
      </c>
      <c r="C7423" t="inlineStr">
        <is>
          <t>1418/04/24</t>
        </is>
      </c>
    </row>
    <row r="7424">
      <c r="A7424" t="n">
        <v>14180425</v>
      </c>
      <c r="B7424" t="n">
        <v>50967</v>
      </c>
      <c r="C7424" t="inlineStr">
        <is>
          <t>1418/04/25</t>
        </is>
      </c>
    </row>
    <row r="7425">
      <c r="A7425" t="n">
        <v>14180426</v>
      </c>
      <c r="B7425" t="n">
        <v>50968</v>
      </c>
      <c r="C7425" t="inlineStr">
        <is>
          <t>1418/04/26</t>
        </is>
      </c>
    </row>
    <row r="7426">
      <c r="A7426" t="n">
        <v>14180427</v>
      </c>
      <c r="B7426" t="n">
        <v>50969</v>
      </c>
      <c r="C7426" t="inlineStr">
        <is>
          <t>1418/04/27</t>
        </is>
      </c>
    </row>
    <row r="7427">
      <c r="A7427" t="n">
        <v>14180428</v>
      </c>
      <c r="B7427" t="n">
        <v>50970</v>
      </c>
      <c r="C7427" t="inlineStr">
        <is>
          <t>1418/04/28</t>
        </is>
      </c>
    </row>
    <row r="7428">
      <c r="A7428" t="n">
        <v>14180429</v>
      </c>
      <c r="B7428" t="n">
        <v>50971</v>
      </c>
      <c r="C7428" t="inlineStr">
        <is>
          <t>1418/04/29</t>
        </is>
      </c>
    </row>
    <row r="7429">
      <c r="A7429" t="n">
        <v>14180430</v>
      </c>
      <c r="B7429" t="n">
        <v>50972</v>
      </c>
      <c r="C7429" t="inlineStr">
        <is>
          <t>1418/04/30</t>
        </is>
      </c>
    </row>
    <row r="7430">
      <c r="A7430" t="n">
        <v>14180431</v>
      </c>
      <c r="B7430" t="n">
        <v>50973</v>
      </c>
      <c r="C7430" t="inlineStr">
        <is>
          <t>1418/04/31</t>
        </is>
      </c>
    </row>
    <row r="7431">
      <c r="A7431" t="n">
        <v>14180501</v>
      </c>
      <c r="B7431" t="n">
        <v>50974</v>
      </c>
      <c r="C7431" t="inlineStr">
        <is>
          <t>1418/05/01</t>
        </is>
      </c>
    </row>
    <row r="7432">
      <c r="A7432" t="n">
        <v>14180502</v>
      </c>
      <c r="B7432" t="n">
        <v>50975</v>
      </c>
      <c r="C7432" t="inlineStr">
        <is>
          <t>1418/05/02</t>
        </is>
      </c>
    </row>
    <row r="7433">
      <c r="A7433" t="n">
        <v>14180503</v>
      </c>
      <c r="B7433" t="n">
        <v>50976</v>
      </c>
      <c r="C7433" t="inlineStr">
        <is>
          <t>1418/05/03</t>
        </is>
      </c>
    </row>
    <row r="7434">
      <c r="A7434" t="n">
        <v>14180504</v>
      </c>
      <c r="B7434" t="n">
        <v>50977</v>
      </c>
      <c r="C7434" t="inlineStr">
        <is>
          <t>1418/05/04</t>
        </is>
      </c>
    </row>
    <row r="7435">
      <c r="A7435" t="n">
        <v>14180505</v>
      </c>
      <c r="B7435" t="n">
        <v>50978</v>
      </c>
      <c r="C7435" t="inlineStr">
        <is>
          <t>1418/05/05</t>
        </is>
      </c>
    </row>
    <row r="7436">
      <c r="A7436" t="n">
        <v>14180506</v>
      </c>
      <c r="B7436" t="n">
        <v>50979</v>
      </c>
      <c r="C7436" t="inlineStr">
        <is>
          <t>1418/05/06</t>
        </is>
      </c>
    </row>
    <row r="7437">
      <c r="A7437" t="n">
        <v>14180507</v>
      </c>
      <c r="B7437" t="n">
        <v>50980</v>
      </c>
      <c r="C7437" t="inlineStr">
        <is>
          <t>1418/05/07</t>
        </is>
      </c>
    </row>
    <row r="7438">
      <c r="A7438" t="n">
        <v>14180508</v>
      </c>
      <c r="B7438" t="n">
        <v>50981</v>
      </c>
      <c r="C7438" t="inlineStr">
        <is>
          <t>1418/05/08</t>
        </is>
      </c>
    </row>
    <row r="7439">
      <c r="A7439" t="n">
        <v>14180509</v>
      </c>
      <c r="B7439" t="n">
        <v>50982</v>
      </c>
      <c r="C7439" t="inlineStr">
        <is>
          <t>1418/05/09</t>
        </is>
      </c>
    </row>
    <row r="7440">
      <c r="A7440" t="n">
        <v>14180510</v>
      </c>
      <c r="B7440" t="n">
        <v>50983</v>
      </c>
      <c r="C7440" t="inlineStr">
        <is>
          <t>1418/05/10</t>
        </is>
      </c>
    </row>
    <row r="7441">
      <c r="A7441" t="n">
        <v>14180511</v>
      </c>
      <c r="B7441" t="n">
        <v>50984</v>
      </c>
      <c r="C7441" t="inlineStr">
        <is>
          <t>1418/05/11</t>
        </is>
      </c>
    </row>
    <row r="7442">
      <c r="A7442" t="n">
        <v>14180512</v>
      </c>
      <c r="B7442" t="n">
        <v>50985</v>
      </c>
      <c r="C7442" t="inlineStr">
        <is>
          <t>1418/05/12</t>
        </is>
      </c>
    </row>
    <row r="7443">
      <c r="A7443" t="n">
        <v>14180513</v>
      </c>
      <c r="B7443" t="n">
        <v>50986</v>
      </c>
      <c r="C7443" t="inlineStr">
        <is>
          <t>1418/05/13</t>
        </is>
      </c>
    </row>
    <row r="7444">
      <c r="A7444" t="n">
        <v>14180514</v>
      </c>
      <c r="B7444" t="n">
        <v>50987</v>
      </c>
      <c r="C7444" t="inlineStr">
        <is>
          <t>1418/05/14</t>
        </is>
      </c>
    </row>
    <row r="7445">
      <c r="A7445" t="n">
        <v>14180515</v>
      </c>
      <c r="B7445" t="n">
        <v>50988</v>
      </c>
      <c r="C7445" t="inlineStr">
        <is>
          <t>1418/05/15</t>
        </is>
      </c>
    </row>
    <row r="7446">
      <c r="A7446" t="n">
        <v>14180516</v>
      </c>
      <c r="B7446" t="n">
        <v>50989</v>
      </c>
      <c r="C7446" t="inlineStr">
        <is>
          <t>1418/05/16</t>
        </is>
      </c>
    </row>
    <row r="7447">
      <c r="A7447" t="n">
        <v>14180517</v>
      </c>
      <c r="B7447" t="n">
        <v>50990</v>
      </c>
      <c r="C7447" t="inlineStr">
        <is>
          <t>1418/05/17</t>
        </is>
      </c>
    </row>
    <row r="7448">
      <c r="A7448" t="n">
        <v>14180518</v>
      </c>
      <c r="B7448" t="n">
        <v>50991</v>
      </c>
      <c r="C7448" t="inlineStr">
        <is>
          <t>1418/05/18</t>
        </is>
      </c>
    </row>
    <row r="7449">
      <c r="A7449" t="n">
        <v>14180519</v>
      </c>
      <c r="B7449" t="n">
        <v>50992</v>
      </c>
      <c r="C7449" t="inlineStr">
        <is>
          <t>1418/05/19</t>
        </is>
      </c>
    </row>
    <row r="7450">
      <c r="A7450" t="n">
        <v>14180520</v>
      </c>
      <c r="B7450" t="n">
        <v>50993</v>
      </c>
      <c r="C7450" t="inlineStr">
        <is>
          <t>1418/05/20</t>
        </is>
      </c>
    </row>
    <row r="7451">
      <c r="A7451" t="n">
        <v>14180521</v>
      </c>
      <c r="B7451" t="n">
        <v>50994</v>
      </c>
      <c r="C7451" t="inlineStr">
        <is>
          <t>1418/05/21</t>
        </is>
      </c>
    </row>
    <row r="7452">
      <c r="A7452" t="n">
        <v>14180522</v>
      </c>
      <c r="B7452" t="n">
        <v>50995</v>
      </c>
      <c r="C7452" t="inlineStr">
        <is>
          <t>1418/05/22</t>
        </is>
      </c>
    </row>
    <row r="7453">
      <c r="A7453" t="n">
        <v>14180523</v>
      </c>
      <c r="B7453" t="n">
        <v>50996</v>
      </c>
      <c r="C7453" t="inlineStr">
        <is>
          <t>1418/05/23</t>
        </is>
      </c>
    </row>
    <row r="7454">
      <c r="A7454" t="n">
        <v>14180524</v>
      </c>
      <c r="B7454" t="n">
        <v>50997</v>
      </c>
      <c r="C7454" t="inlineStr">
        <is>
          <t>1418/05/24</t>
        </is>
      </c>
    </row>
    <row r="7455">
      <c r="A7455" t="n">
        <v>14180525</v>
      </c>
      <c r="B7455" t="n">
        <v>50998</v>
      </c>
      <c r="C7455" t="inlineStr">
        <is>
          <t>1418/05/25</t>
        </is>
      </c>
    </row>
    <row r="7456">
      <c r="A7456" t="n">
        <v>14180526</v>
      </c>
      <c r="B7456" t="n">
        <v>50999</v>
      </c>
      <c r="C7456" t="inlineStr">
        <is>
          <t>1418/05/26</t>
        </is>
      </c>
    </row>
    <row r="7457">
      <c r="A7457" t="n">
        <v>14180527</v>
      </c>
      <c r="B7457" t="n">
        <v>51000</v>
      </c>
      <c r="C7457" t="inlineStr">
        <is>
          <t>1418/05/27</t>
        </is>
      </c>
    </row>
    <row r="7458">
      <c r="A7458" t="n">
        <v>14180528</v>
      </c>
      <c r="B7458" t="n">
        <v>51001</v>
      </c>
      <c r="C7458" t="inlineStr">
        <is>
          <t>1418/05/28</t>
        </is>
      </c>
    </row>
    <row r="7459">
      <c r="A7459" t="n">
        <v>14180529</v>
      </c>
      <c r="B7459" t="n">
        <v>51002</v>
      </c>
      <c r="C7459" t="inlineStr">
        <is>
          <t>1418/05/29</t>
        </is>
      </c>
    </row>
    <row r="7460">
      <c r="A7460" t="n">
        <v>14180530</v>
      </c>
      <c r="B7460" t="n">
        <v>51003</v>
      </c>
      <c r="C7460" t="inlineStr">
        <is>
          <t>1418/05/30</t>
        </is>
      </c>
    </row>
    <row r="7461">
      <c r="A7461" t="n">
        <v>14180531</v>
      </c>
      <c r="B7461" t="n">
        <v>51004</v>
      </c>
      <c r="C7461" t="inlineStr">
        <is>
          <t>1418/05/31</t>
        </is>
      </c>
    </row>
    <row r="7462">
      <c r="A7462" t="n">
        <v>14180601</v>
      </c>
      <c r="B7462" t="n">
        <v>51005</v>
      </c>
      <c r="C7462" t="inlineStr">
        <is>
          <t>1418/06/01</t>
        </is>
      </c>
    </row>
    <row r="7463">
      <c r="A7463" t="n">
        <v>14180602</v>
      </c>
      <c r="B7463" t="n">
        <v>51006</v>
      </c>
      <c r="C7463" t="inlineStr">
        <is>
          <t>1418/06/02</t>
        </is>
      </c>
    </row>
    <row r="7464">
      <c r="A7464" t="n">
        <v>14180603</v>
      </c>
      <c r="B7464" t="n">
        <v>51007</v>
      </c>
      <c r="C7464" t="inlineStr">
        <is>
          <t>1418/06/03</t>
        </is>
      </c>
    </row>
    <row r="7465">
      <c r="A7465" t="n">
        <v>14180604</v>
      </c>
      <c r="B7465" t="n">
        <v>51008</v>
      </c>
      <c r="C7465" t="inlineStr">
        <is>
          <t>1418/06/04</t>
        </is>
      </c>
    </row>
    <row r="7466">
      <c r="A7466" t="n">
        <v>14180605</v>
      </c>
      <c r="B7466" t="n">
        <v>51009</v>
      </c>
      <c r="C7466" t="inlineStr">
        <is>
          <t>1418/06/05</t>
        </is>
      </c>
    </row>
    <row r="7467">
      <c r="A7467" t="n">
        <v>14180606</v>
      </c>
      <c r="B7467" t="n">
        <v>51010</v>
      </c>
      <c r="C7467" t="inlineStr">
        <is>
          <t>1418/06/06</t>
        </is>
      </c>
    </row>
    <row r="7468">
      <c r="A7468" t="n">
        <v>14180607</v>
      </c>
      <c r="B7468" t="n">
        <v>51011</v>
      </c>
      <c r="C7468" t="inlineStr">
        <is>
          <t>1418/06/07</t>
        </is>
      </c>
    </row>
    <row r="7469">
      <c r="A7469" t="n">
        <v>14180608</v>
      </c>
      <c r="B7469" t="n">
        <v>51012</v>
      </c>
      <c r="C7469" t="inlineStr">
        <is>
          <t>1418/06/08</t>
        </is>
      </c>
    </row>
    <row r="7470">
      <c r="A7470" t="n">
        <v>14180609</v>
      </c>
      <c r="B7470" t="n">
        <v>51013</v>
      </c>
      <c r="C7470" t="inlineStr">
        <is>
          <t>1418/06/09</t>
        </is>
      </c>
    </row>
    <row r="7471">
      <c r="A7471" t="n">
        <v>14180610</v>
      </c>
      <c r="B7471" t="n">
        <v>51014</v>
      </c>
      <c r="C7471" t="inlineStr">
        <is>
          <t>1418/06/10</t>
        </is>
      </c>
    </row>
    <row r="7472">
      <c r="A7472" t="n">
        <v>14180611</v>
      </c>
      <c r="B7472" t="n">
        <v>51015</v>
      </c>
      <c r="C7472" t="inlineStr">
        <is>
          <t>1418/06/11</t>
        </is>
      </c>
    </row>
    <row r="7473">
      <c r="A7473" t="n">
        <v>14180612</v>
      </c>
      <c r="B7473" t="n">
        <v>51016</v>
      </c>
      <c r="C7473" t="inlineStr">
        <is>
          <t>1418/06/12</t>
        </is>
      </c>
    </row>
    <row r="7474">
      <c r="A7474" t="n">
        <v>14180613</v>
      </c>
      <c r="B7474" t="n">
        <v>51017</v>
      </c>
      <c r="C7474" t="inlineStr">
        <is>
          <t>1418/06/13</t>
        </is>
      </c>
    </row>
    <row r="7475">
      <c r="A7475" t="n">
        <v>14180614</v>
      </c>
      <c r="B7475" t="n">
        <v>51018</v>
      </c>
      <c r="C7475" t="inlineStr">
        <is>
          <t>1418/06/14</t>
        </is>
      </c>
    </row>
    <row r="7476">
      <c r="A7476" t="n">
        <v>14180615</v>
      </c>
      <c r="B7476" t="n">
        <v>51019</v>
      </c>
      <c r="C7476" t="inlineStr">
        <is>
          <t>1418/06/15</t>
        </is>
      </c>
    </row>
    <row r="7477">
      <c r="A7477" t="n">
        <v>14180616</v>
      </c>
      <c r="B7477" t="n">
        <v>51020</v>
      </c>
      <c r="C7477" t="inlineStr">
        <is>
          <t>1418/06/16</t>
        </is>
      </c>
    </row>
    <row r="7478">
      <c r="A7478" t="n">
        <v>14180617</v>
      </c>
      <c r="B7478" t="n">
        <v>51021</v>
      </c>
      <c r="C7478" t="inlineStr">
        <is>
          <t>1418/06/17</t>
        </is>
      </c>
    </row>
    <row r="7479">
      <c r="A7479" t="n">
        <v>14180618</v>
      </c>
      <c r="B7479" t="n">
        <v>51022</v>
      </c>
      <c r="C7479" t="inlineStr">
        <is>
          <t>1418/06/18</t>
        </is>
      </c>
    </row>
    <row r="7480">
      <c r="A7480" t="n">
        <v>14180619</v>
      </c>
      <c r="B7480" t="n">
        <v>51023</v>
      </c>
      <c r="C7480" t="inlineStr">
        <is>
          <t>1418/06/19</t>
        </is>
      </c>
    </row>
    <row r="7481">
      <c r="A7481" t="n">
        <v>14180620</v>
      </c>
      <c r="B7481" t="n">
        <v>51024</v>
      </c>
      <c r="C7481" t="inlineStr">
        <is>
          <t>1418/06/20</t>
        </is>
      </c>
    </row>
    <row r="7482">
      <c r="A7482" t="n">
        <v>14180621</v>
      </c>
      <c r="B7482" t="n">
        <v>51025</v>
      </c>
      <c r="C7482" t="inlineStr">
        <is>
          <t>1418/06/21</t>
        </is>
      </c>
    </row>
    <row r="7483">
      <c r="A7483" t="n">
        <v>14180622</v>
      </c>
      <c r="B7483" t="n">
        <v>51026</v>
      </c>
      <c r="C7483" t="inlineStr">
        <is>
          <t>1418/06/22</t>
        </is>
      </c>
    </row>
    <row r="7484">
      <c r="A7484" t="n">
        <v>14180623</v>
      </c>
      <c r="B7484" t="n">
        <v>51027</v>
      </c>
      <c r="C7484" t="inlineStr">
        <is>
          <t>1418/06/23</t>
        </is>
      </c>
    </row>
    <row r="7485">
      <c r="A7485" t="n">
        <v>14180624</v>
      </c>
      <c r="B7485" t="n">
        <v>51028</v>
      </c>
      <c r="C7485" t="inlineStr">
        <is>
          <t>1418/06/24</t>
        </is>
      </c>
    </row>
    <row r="7486">
      <c r="A7486" t="n">
        <v>14180625</v>
      </c>
      <c r="B7486" t="n">
        <v>51029</v>
      </c>
      <c r="C7486" t="inlineStr">
        <is>
          <t>1418/06/25</t>
        </is>
      </c>
    </row>
    <row r="7487">
      <c r="A7487" t="n">
        <v>14180626</v>
      </c>
      <c r="B7487" t="n">
        <v>51030</v>
      </c>
      <c r="C7487" t="inlineStr">
        <is>
          <t>1418/06/26</t>
        </is>
      </c>
    </row>
    <row r="7488">
      <c r="A7488" t="n">
        <v>14180627</v>
      </c>
      <c r="B7488" t="n">
        <v>51031</v>
      </c>
      <c r="C7488" t="inlineStr">
        <is>
          <t>1418/06/27</t>
        </is>
      </c>
    </row>
    <row r="7489">
      <c r="A7489" t="n">
        <v>14180628</v>
      </c>
      <c r="B7489" t="n">
        <v>51032</v>
      </c>
      <c r="C7489" t="inlineStr">
        <is>
          <t>1418/06/28</t>
        </is>
      </c>
    </row>
    <row r="7490">
      <c r="A7490" t="n">
        <v>14180629</v>
      </c>
      <c r="B7490" t="n">
        <v>51033</v>
      </c>
      <c r="C7490" t="inlineStr">
        <is>
          <t>1418/06/29</t>
        </is>
      </c>
    </row>
    <row r="7491">
      <c r="A7491" t="n">
        <v>14180630</v>
      </c>
      <c r="B7491" t="n">
        <v>51034</v>
      </c>
      <c r="C7491" t="inlineStr">
        <is>
          <t>1418/06/30</t>
        </is>
      </c>
    </row>
    <row r="7492">
      <c r="A7492" t="n">
        <v>14180631</v>
      </c>
      <c r="B7492" t="n">
        <v>51035</v>
      </c>
      <c r="C7492" t="inlineStr">
        <is>
          <t>1418/06/31</t>
        </is>
      </c>
    </row>
    <row r="7493">
      <c r="A7493" t="n">
        <v>14180701</v>
      </c>
      <c r="B7493" t="n">
        <v>51036</v>
      </c>
      <c r="C7493" t="inlineStr">
        <is>
          <t>1418/07/01</t>
        </is>
      </c>
    </row>
    <row r="7494">
      <c r="A7494" t="n">
        <v>14180702</v>
      </c>
      <c r="B7494" t="n">
        <v>51037</v>
      </c>
      <c r="C7494" t="inlineStr">
        <is>
          <t>1418/07/02</t>
        </is>
      </c>
    </row>
    <row r="7495">
      <c r="A7495" t="n">
        <v>14180703</v>
      </c>
      <c r="B7495" t="n">
        <v>51038</v>
      </c>
      <c r="C7495" t="inlineStr">
        <is>
          <t>1418/07/03</t>
        </is>
      </c>
    </row>
    <row r="7496">
      <c r="A7496" t="n">
        <v>14180704</v>
      </c>
      <c r="B7496" t="n">
        <v>51039</v>
      </c>
      <c r="C7496" t="inlineStr">
        <is>
          <t>1418/07/04</t>
        </is>
      </c>
    </row>
    <row r="7497">
      <c r="A7497" t="n">
        <v>14180705</v>
      </c>
      <c r="B7497" t="n">
        <v>51040</v>
      </c>
      <c r="C7497" t="inlineStr">
        <is>
          <t>1418/07/05</t>
        </is>
      </c>
    </row>
    <row r="7498">
      <c r="A7498" t="n">
        <v>14180706</v>
      </c>
      <c r="B7498" t="n">
        <v>51041</v>
      </c>
      <c r="C7498" t="inlineStr">
        <is>
          <t>1418/07/06</t>
        </is>
      </c>
    </row>
    <row r="7499">
      <c r="A7499" t="n">
        <v>14180707</v>
      </c>
      <c r="B7499" t="n">
        <v>51042</v>
      </c>
      <c r="C7499" t="inlineStr">
        <is>
          <t>1418/07/07</t>
        </is>
      </c>
    </row>
    <row r="7500">
      <c r="A7500" t="n">
        <v>14180708</v>
      </c>
      <c r="B7500" t="n">
        <v>51043</v>
      </c>
      <c r="C7500" t="inlineStr">
        <is>
          <t>1418/07/08</t>
        </is>
      </c>
    </row>
    <row r="7501">
      <c r="A7501" t="n">
        <v>14180709</v>
      </c>
      <c r="B7501" t="n">
        <v>51044</v>
      </c>
      <c r="C7501" t="inlineStr">
        <is>
          <t>1418/07/09</t>
        </is>
      </c>
    </row>
    <row r="7502">
      <c r="A7502" t="n">
        <v>14180710</v>
      </c>
      <c r="B7502" t="n">
        <v>51045</v>
      </c>
      <c r="C7502" t="inlineStr">
        <is>
          <t>1418/07/10</t>
        </is>
      </c>
    </row>
    <row r="7503">
      <c r="A7503" t="n">
        <v>14180711</v>
      </c>
      <c r="B7503" t="n">
        <v>51046</v>
      </c>
      <c r="C7503" t="inlineStr">
        <is>
          <t>1418/07/11</t>
        </is>
      </c>
    </row>
    <row r="7504">
      <c r="A7504" t="n">
        <v>14180712</v>
      </c>
      <c r="B7504" t="n">
        <v>51047</v>
      </c>
      <c r="C7504" t="inlineStr">
        <is>
          <t>1418/07/12</t>
        </is>
      </c>
    </row>
    <row r="7505">
      <c r="A7505" t="n">
        <v>14180713</v>
      </c>
      <c r="B7505" t="n">
        <v>51048</v>
      </c>
      <c r="C7505" t="inlineStr">
        <is>
          <t>1418/07/13</t>
        </is>
      </c>
    </row>
    <row r="7506">
      <c r="A7506" t="n">
        <v>14180714</v>
      </c>
      <c r="B7506" t="n">
        <v>51049</v>
      </c>
      <c r="C7506" t="inlineStr">
        <is>
          <t>1418/07/14</t>
        </is>
      </c>
    </row>
    <row r="7507">
      <c r="A7507" t="n">
        <v>14180715</v>
      </c>
      <c r="B7507" t="n">
        <v>51050</v>
      </c>
      <c r="C7507" t="inlineStr">
        <is>
          <t>1418/07/15</t>
        </is>
      </c>
    </row>
    <row r="7508">
      <c r="A7508" t="n">
        <v>14180716</v>
      </c>
      <c r="B7508" t="n">
        <v>51051</v>
      </c>
      <c r="C7508" t="inlineStr">
        <is>
          <t>1418/07/16</t>
        </is>
      </c>
    </row>
    <row r="7509">
      <c r="A7509" t="n">
        <v>14180717</v>
      </c>
      <c r="B7509" t="n">
        <v>51052</v>
      </c>
      <c r="C7509" t="inlineStr">
        <is>
          <t>1418/07/17</t>
        </is>
      </c>
    </row>
    <row r="7510">
      <c r="A7510" t="n">
        <v>14180718</v>
      </c>
      <c r="B7510" t="n">
        <v>51053</v>
      </c>
      <c r="C7510" t="inlineStr">
        <is>
          <t>1418/07/18</t>
        </is>
      </c>
    </row>
    <row r="7511">
      <c r="A7511" t="n">
        <v>14180719</v>
      </c>
      <c r="B7511" t="n">
        <v>51054</v>
      </c>
      <c r="C7511" t="inlineStr">
        <is>
          <t>1418/07/19</t>
        </is>
      </c>
    </row>
    <row r="7512">
      <c r="A7512" t="n">
        <v>14180720</v>
      </c>
      <c r="B7512" t="n">
        <v>51055</v>
      </c>
      <c r="C7512" t="inlineStr">
        <is>
          <t>1418/07/20</t>
        </is>
      </c>
    </row>
    <row r="7513">
      <c r="A7513" t="n">
        <v>14180721</v>
      </c>
      <c r="B7513" t="n">
        <v>51056</v>
      </c>
      <c r="C7513" t="inlineStr">
        <is>
          <t>1418/07/21</t>
        </is>
      </c>
    </row>
    <row r="7514">
      <c r="A7514" t="n">
        <v>14180722</v>
      </c>
      <c r="B7514" t="n">
        <v>51057</v>
      </c>
      <c r="C7514" t="inlineStr">
        <is>
          <t>1418/07/22</t>
        </is>
      </c>
    </row>
    <row r="7515">
      <c r="A7515" t="n">
        <v>14180723</v>
      </c>
      <c r="B7515" t="n">
        <v>51058</v>
      </c>
      <c r="C7515" t="inlineStr">
        <is>
          <t>1418/07/23</t>
        </is>
      </c>
    </row>
    <row r="7516">
      <c r="A7516" t="n">
        <v>14180724</v>
      </c>
      <c r="B7516" t="n">
        <v>51059</v>
      </c>
      <c r="C7516" t="inlineStr">
        <is>
          <t>1418/07/24</t>
        </is>
      </c>
    </row>
    <row r="7517">
      <c r="A7517" t="n">
        <v>14180725</v>
      </c>
      <c r="B7517" t="n">
        <v>51060</v>
      </c>
      <c r="C7517" t="inlineStr">
        <is>
          <t>1418/07/25</t>
        </is>
      </c>
    </row>
    <row r="7518">
      <c r="A7518" t="n">
        <v>14180726</v>
      </c>
      <c r="B7518" t="n">
        <v>51061</v>
      </c>
      <c r="C7518" t="inlineStr">
        <is>
          <t>1418/07/26</t>
        </is>
      </c>
    </row>
    <row r="7519">
      <c r="A7519" t="n">
        <v>14180727</v>
      </c>
      <c r="B7519" t="n">
        <v>51062</v>
      </c>
      <c r="C7519" t="inlineStr">
        <is>
          <t>1418/07/27</t>
        </is>
      </c>
    </row>
    <row r="7520">
      <c r="A7520" t="n">
        <v>14180728</v>
      </c>
      <c r="B7520" t="n">
        <v>51063</v>
      </c>
      <c r="C7520" t="inlineStr">
        <is>
          <t>1418/07/28</t>
        </is>
      </c>
    </row>
    <row r="7521">
      <c r="A7521" t="n">
        <v>14180729</v>
      </c>
      <c r="B7521" t="n">
        <v>51064</v>
      </c>
      <c r="C7521" t="inlineStr">
        <is>
          <t>1418/07/29</t>
        </is>
      </c>
    </row>
    <row r="7522">
      <c r="A7522" t="n">
        <v>14180730</v>
      </c>
      <c r="B7522" t="n">
        <v>51065</v>
      </c>
      <c r="C7522" t="inlineStr">
        <is>
          <t>1418/07/30</t>
        </is>
      </c>
    </row>
    <row r="7523">
      <c r="A7523" t="n">
        <v>14180801</v>
      </c>
      <c r="B7523" t="n">
        <v>51066</v>
      </c>
      <c r="C7523" t="inlineStr">
        <is>
          <t>1418/08/01</t>
        </is>
      </c>
    </row>
    <row r="7524">
      <c r="A7524" t="n">
        <v>14180802</v>
      </c>
      <c r="B7524" t="n">
        <v>51067</v>
      </c>
      <c r="C7524" t="inlineStr">
        <is>
          <t>1418/08/02</t>
        </is>
      </c>
    </row>
    <row r="7525">
      <c r="A7525" t="n">
        <v>14180803</v>
      </c>
      <c r="B7525" t="n">
        <v>51068</v>
      </c>
      <c r="C7525" t="inlineStr">
        <is>
          <t>1418/08/03</t>
        </is>
      </c>
    </row>
    <row r="7526">
      <c r="A7526" t="n">
        <v>14180804</v>
      </c>
      <c r="B7526" t="n">
        <v>51069</v>
      </c>
      <c r="C7526" t="inlineStr">
        <is>
          <t>1418/08/04</t>
        </is>
      </c>
    </row>
    <row r="7527">
      <c r="A7527" t="n">
        <v>14180805</v>
      </c>
      <c r="B7527" t="n">
        <v>51070</v>
      </c>
      <c r="C7527" t="inlineStr">
        <is>
          <t>1418/08/05</t>
        </is>
      </c>
    </row>
    <row r="7528">
      <c r="A7528" t="n">
        <v>14180806</v>
      </c>
      <c r="B7528" t="n">
        <v>51071</v>
      </c>
      <c r="C7528" t="inlineStr">
        <is>
          <t>1418/08/06</t>
        </is>
      </c>
    </row>
    <row r="7529">
      <c r="A7529" t="n">
        <v>14180807</v>
      </c>
      <c r="B7529" t="n">
        <v>51072</v>
      </c>
      <c r="C7529" t="inlineStr">
        <is>
          <t>1418/08/07</t>
        </is>
      </c>
    </row>
    <row r="7530">
      <c r="A7530" t="n">
        <v>14180808</v>
      </c>
      <c r="B7530" t="n">
        <v>51073</v>
      </c>
      <c r="C7530" t="inlineStr">
        <is>
          <t>1418/08/08</t>
        </is>
      </c>
    </row>
    <row r="7531">
      <c r="A7531" t="n">
        <v>14180809</v>
      </c>
      <c r="B7531" t="n">
        <v>51074</v>
      </c>
      <c r="C7531" t="inlineStr">
        <is>
          <t>1418/08/09</t>
        </is>
      </c>
    </row>
    <row r="7532">
      <c r="A7532" t="n">
        <v>14180810</v>
      </c>
      <c r="B7532" t="n">
        <v>51075</v>
      </c>
      <c r="C7532" t="inlineStr">
        <is>
          <t>1418/08/10</t>
        </is>
      </c>
    </row>
    <row r="7533">
      <c r="A7533" t="n">
        <v>14180811</v>
      </c>
      <c r="B7533" t="n">
        <v>51076</v>
      </c>
      <c r="C7533" t="inlineStr">
        <is>
          <t>1418/08/11</t>
        </is>
      </c>
    </row>
    <row r="7534">
      <c r="A7534" t="n">
        <v>14180812</v>
      </c>
      <c r="B7534" t="n">
        <v>51077</v>
      </c>
      <c r="C7534" t="inlineStr">
        <is>
          <t>1418/08/12</t>
        </is>
      </c>
    </row>
    <row r="7535">
      <c r="A7535" t="n">
        <v>14180813</v>
      </c>
      <c r="B7535" t="n">
        <v>51078</v>
      </c>
      <c r="C7535" t="inlineStr">
        <is>
          <t>1418/08/13</t>
        </is>
      </c>
    </row>
    <row r="7536">
      <c r="A7536" t="n">
        <v>14180814</v>
      </c>
      <c r="B7536" t="n">
        <v>51079</v>
      </c>
      <c r="C7536" t="inlineStr">
        <is>
          <t>1418/08/14</t>
        </is>
      </c>
    </row>
    <row r="7537">
      <c r="A7537" t="n">
        <v>14180815</v>
      </c>
      <c r="B7537" t="n">
        <v>51080</v>
      </c>
      <c r="C7537" t="inlineStr">
        <is>
          <t>1418/08/15</t>
        </is>
      </c>
    </row>
    <row r="7538">
      <c r="A7538" t="n">
        <v>14180816</v>
      </c>
      <c r="B7538" t="n">
        <v>51081</v>
      </c>
      <c r="C7538" t="inlineStr">
        <is>
          <t>1418/08/16</t>
        </is>
      </c>
    </row>
    <row r="7539">
      <c r="A7539" t="n">
        <v>14180817</v>
      </c>
      <c r="B7539" t="n">
        <v>51082</v>
      </c>
      <c r="C7539" t="inlineStr">
        <is>
          <t>1418/08/17</t>
        </is>
      </c>
    </row>
    <row r="7540">
      <c r="A7540" t="n">
        <v>14180818</v>
      </c>
      <c r="B7540" t="n">
        <v>51083</v>
      </c>
      <c r="C7540" t="inlineStr">
        <is>
          <t>1418/08/18</t>
        </is>
      </c>
    </row>
    <row r="7541">
      <c r="A7541" t="n">
        <v>14180819</v>
      </c>
      <c r="B7541" t="n">
        <v>51084</v>
      </c>
      <c r="C7541" t="inlineStr">
        <is>
          <t>1418/08/19</t>
        </is>
      </c>
    </row>
    <row r="7542">
      <c r="A7542" t="n">
        <v>14180820</v>
      </c>
      <c r="B7542" t="n">
        <v>51085</v>
      </c>
      <c r="C7542" t="inlineStr">
        <is>
          <t>1418/08/20</t>
        </is>
      </c>
    </row>
    <row r="7543">
      <c r="A7543" t="n">
        <v>14180821</v>
      </c>
      <c r="B7543" t="n">
        <v>51086</v>
      </c>
      <c r="C7543" t="inlineStr">
        <is>
          <t>1418/08/21</t>
        </is>
      </c>
    </row>
    <row r="7544">
      <c r="A7544" t="n">
        <v>14180822</v>
      </c>
      <c r="B7544" t="n">
        <v>51087</v>
      </c>
      <c r="C7544" t="inlineStr">
        <is>
          <t>1418/08/22</t>
        </is>
      </c>
    </row>
    <row r="7545">
      <c r="A7545" t="n">
        <v>14180823</v>
      </c>
      <c r="B7545" t="n">
        <v>51088</v>
      </c>
      <c r="C7545" t="inlineStr">
        <is>
          <t>1418/08/23</t>
        </is>
      </c>
    </row>
    <row r="7546">
      <c r="A7546" t="n">
        <v>14180824</v>
      </c>
      <c r="B7546" t="n">
        <v>51089</v>
      </c>
      <c r="C7546" t="inlineStr">
        <is>
          <t>1418/08/24</t>
        </is>
      </c>
    </row>
    <row r="7547">
      <c r="A7547" t="n">
        <v>14180825</v>
      </c>
      <c r="B7547" t="n">
        <v>51090</v>
      </c>
      <c r="C7547" t="inlineStr">
        <is>
          <t>1418/08/25</t>
        </is>
      </c>
    </row>
    <row r="7548">
      <c r="A7548" t="n">
        <v>14180826</v>
      </c>
      <c r="B7548" t="n">
        <v>51091</v>
      </c>
      <c r="C7548" t="inlineStr">
        <is>
          <t>1418/08/26</t>
        </is>
      </c>
    </row>
    <row r="7549">
      <c r="A7549" t="n">
        <v>14180827</v>
      </c>
      <c r="B7549" t="n">
        <v>51092</v>
      </c>
      <c r="C7549" t="inlineStr">
        <is>
          <t>1418/08/27</t>
        </is>
      </c>
    </row>
    <row r="7550">
      <c r="A7550" t="n">
        <v>14180828</v>
      </c>
      <c r="B7550" t="n">
        <v>51093</v>
      </c>
      <c r="C7550" t="inlineStr">
        <is>
          <t>1418/08/28</t>
        </is>
      </c>
    </row>
    <row r="7551">
      <c r="A7551" t="n">
        <v>14180829</v>
      </c>
      <c r="B7551" t="n">
        <v>51094</v>
      </c>
      <c r="C7551" t="inlineStr">
        <is>
          <t>1418/08/29</t>
        </is>
      </c>
    </row>
    <row r="7552">
      <c r="A7552" t="n">
        <v>14180830</v>
      </c>
      <c r="B7552" t="n">
        <v>51095</v>
      </c>
      <c r="C7552" t="inlineStr">
        <is>
          <t>1418/08/30</t>
        </is>
      </c>
    </row>
    <row r="7553">
      <c r="A7553" t="n">
        <v>14180901</v>
      </c>
      <c r="B7553" t="n">
        <v>51096</v>
      </c>
      <c r="C7553" t="inlineStr">
        <is>
          <t>1418/09/01</t>
        </is>
      </c>
    </row>
    <row r="7554">
      <c r="A7554" t="n">
        <v>14180902</v>
      </c>
      <c r="B7554" t="n">
        <v>51097</v>
      </c>
      <c r="C7554" t="inlineStr">
        <is>
          <t>1418/09/02</t>
        </is>
      </c>
    </row>
    <row r="7555">
      <c r="A7555" t="n">
        <v>14180903</v>
      </c>
      <c r="B7555" t="n">
        <v>51098</v>
      </c>
      <c r="C7555" t="inlineStr">
        <is>
          <t>1418/09/03</t>
        </is>
      </c>
    </row>
    <row r="7556">
      <c r="A7556" t="n">
        <v>14180904</v>
      </c>
      <c r="B7556" t="n">
        <v>51099</v>
      </c>
      <c r="C7556" t="inlineStr">
        <is>
          <t>1418/09/04</t>
        </is>
      </c>
    </row>
    <row r="7557">
      <c r="A7557" t="n">
        <v>14180905</v>
      </c>
      <c r="B7557" t="n">
        <v>51100</v>
      </c>
      <c r="C7557" t="inlineStr">
        <is>
          <t>1418/09/05</t>
        </is>
      </c>
    </row>
    <row r="7558">
      <c r="A7558" t="n">
        <v>14180906</v>
      </c>
      <c r="B7558" t="n">
        <v>51101</v>
      </c>
      <c r="C7558" t="inlineStr">
        <is>
          <t>1418/09/06</t>
        </is>
      </c>
    </row>
    <row r="7559">
      <c r="A7559" t="n">
        <v>14180907</v>
      </c>
      <c r="B7559" t="n">
        <v>51102</v>
      </c>
      <c r="C7559" t="inlineStr">
        <is>
          <t>1418/09/07</t>
        </is>
      </c>
    </row>
    <row r="7560">
      <c r="A7560" t="n">
        <v>14180908</v>
      </c>
      <c r="B7560" t="n">
        <v>51103</v>
      </c>
      <c r="C7560" t="inlineStr">
        <is>
          <t>1418/09/08</t>
        </is>
      </c>
    </row>
    <row r="7561">
      <c r="A7561" t="n">
        <v>14180909</v>
      </c>
      <c r="B7561" t="n">
        <v>51104</v>
      </c>
      <c r="C7561" t="inlineStr">
        <is>
          <t>1418/09/09</t>
        </is>
      </c>
    </row>
    <row r="7562">
      <c r="A7562" t="n">
        <v>14180910</v>
      </c>
      <c r="B7562" t="n">
        <v>51105</v>
      </c>
      <c r="C7562" t="inlineStr">
        <is>
          <t>1418/09/10</t>
        </is>
      </c>
    </row>
    <row r="7563">
      <c r="A7563" t="n">
        <v>14180911</v>
      </c>
      <c r="B7563" t="n">
        <v>51106</v>
      </c>
      <c r="C7563" t="inlineStr">
        <is>
          <t>1418/09/11</t>
        </is>
      </c>
    </row>
    <row r="7564">
      <c r="A7564" t="n">
        <v>14180912</v>
      </c>
      <c r="B7564" t="n">
        <v>51107</v>
      </c>
      <c r="C7564" t="inlineStr">
        <is>
          <t>1418/09/12</t>
        </is>
      </c>
    </row>
    <row r="7565">
      <c r="A7565" t="n">
        <v>14180913</v>
      </c>
      <c r="B7565" t="n">
        <v>51108</v>
      </c>
      <c r="C7565" t="inlineStr">
        <is>
          <t>1418/09/13</t>
        </is>
      </c>
    </row>
    <row r="7566">
      <c r="A7566" t="n">
        <v>14180914</v>
      </c>
      <c r="B7566" t="n">
        <v>51109</v>
      </c>
      <c r="C7566" t="inlineStr">
        <is>
          <t>1418/09/14</t>
        </is>
      </c>
    </row>
    <row r="7567">
      <c r="A7567" t="n">
        <v>14180915</v>
      </c>
      <c r="B7567" t="n">
        <v>51110</v>
      </c>
      <c r="C7567" t="inlineStr">
        <is>
          <t>1418/09/15</t>
        </is>
      </c>
    </row>
    <row r="7568">
      <c r="A7568" t="n">
        <v>14180916</v>
      </c>
      <c r="B7568" t="n">
        <v>51111</v>
      </c>
      <c r="C7568" t="inlineStr">
        <is>
          <t>1418/09/16</t>
        </is>
      </c>
    </row>
    <row r="7569">
      <c r="A7569" t="n">
        <v>14180917</v>
      </c>
      <c r="B7569" t="n">
        <v>51112</v>
      </c>
      <c r="C7569" t="inlineStr">
        <is>
          <t>1418/09/17</t>
        </is>
      </c>
    </row>
    <row r="7570">
      <c r="A7570" t="n">
        <v>14180918</v>
      </c>
      <c r="B7570" t="n">
        <v>51113</v>
      </c>
      <c r="C7570" t="inlineStr">
        <is>
          <t>1418/09/18</t>
        </is>
      </c>
    </row>
    <row r="7571">
      <c r="A7571" t="n">
        <v>14180919</v>
      </c>
      <c r="B7571" t="n">
        <v>51114</v>
      </c>
      <c r="C7571" t="inlineStr">
        <is>
          <t>1418/09/19</t>
        </is>
      </c>
    </row>
    <row r="7572">
      <c r="A7572" t="n">
        <v>14180920</v>
      </c>
      <c r="B7572" t="n">
        <v>51115</v>
      </c>
      <c r="C7572" t="inlineStr">
        <is>
          <t>1418/09/20</t>
        </is>
      </c>
    </row>
    <row r="7573">
      <c r="A7573" t="n">
        <v>14180921</v>
      </c>
      <c r="B7573" t="n">
        <v>51116</v>
      </c>
      <c r="C7573" t="inlineStr">
        <is>
          <t>1418/09/21</t>
        </is>
      </c>
    </row>
    <row r="7574">
      <c r="A7574" t="n">
        <v>14180922</v>
      </c>
      <c r="B7574" t="n">
        <v>51117</v>
      </c>
      <c r="C7574" t="inlineStr">
        <is>
          <t>1418/09/22</t>
        </is>
      </c>
    </row>
    <row r="7575">
      <c r="A7575" t="n">
        <v>14180923</v>
      </c>
      <c r="B7575" t="n">
        <v>51118</v>
      </c>
      <c r="C7575" t="inlineStr">
        <is>
          <t>1418/09/23</t>
        </is>
      </c>
    </row>
    <row r="7576">
      <c r="A7576" t="n">
        <v>14180924</v>
      </c>
      <c r="B7576" t="n">
        <v>51119</v>
      </c>
      <c r="C7576" t="inlineStr">
        <is>
          <t>1418/09/24</t>
        </is>
      </c>
    </row>
    <row r="7577">
      <c r="A7577" t="n">
        <v>14180925</v>
      </c>
      <c r="B7577" t="n">
        <v>51120</v>
      </c>
      <c r="C7577" t="inlineStr">
        <is>
          <t>1418/09/25</t>
        </is>
      </c>
    </row>
    <row r="7578">
      <c r="A7578" t="n">
        <v>14180926</v>
      </c>
      <c r="B7578" t="n">
        <v>51121</v>
      </c>
      <c r="C7578" t="inlineStr">
        <is>
          <t>1418/09/26</t>
        </is>
      </c>
    </row>
    <row r="7579">
      <c r="A7579" t="n">
        <v>14180927</v>
      </c>
      <c r="B7579" t="n">
        <v>51122</v>
      </c>
      <c r="C7579" t="inlineStr">
        <is>
          <t>1418/09/27</t>
        </is>
      </c>
    </row>
    <row r="7580">
      <c r="A7580" t="n">
        <v>14180928</v>
      </c>
      <c r="B7580" t="n">
        <v>51123</v>
      </c>
      <c r="C7580" t="inlineStr">
        <is>
          <t>1418/09/28</t>
        </is>
      </c>
    </row>
    <row r="7581">
      <c r="A7581" t="n">
        <v>14180929</v>
      </c>
      <c r="B7581" t="n">
        <v>51124</v>
      </c>
      <c r="C7581" t="inlineStr">
        <is>
          <t>1418/09/29</t>
        </is>
      </c>
    </row>
    <row r="7582">
      <c r="A7582" t="n">
        <v>14180930</v>
      </c>
      <c r="B7582" t="n">
        <v>51125</v>
      </c>
      <c r="C7582" t="inlineStr">
        <is>
          <t>1418/09/30</t>
        </is>
      </c>
    </row>
    <row r="7583">
      <c r="A7583" t="n">
        <v>14181001</v>
      </c>
      <c r="B7583" t="n">
        <v>51126</v>
      </c>
      <c r="C7583" t="inlineStr">
        <is>
          <t>1418/10/01</t>
        </is>
      </c>
    </row>
    <row r="7584">
      <c r="A7584" t="n">
        <v>14181002</v>
      </c>
      <c r="B7584" t="n">
        <v>51127</v>
      </c>
      <c r="C7584" t="inlineStr">
        <is>
          <t>1418/10/02</t>
        </is>
      </c>
    </row>
    <row r="7585">
      <c r="A7585" t="n">
        <v>14181003</v>
      </c>
      <c r="B7585" t="n">
        <v>51128</v>
      </c>
      <c r="C7585" t="inlineStr">
        <is>
          <t>1418/10/03</t>
        </is>
      </c>
    </row>
    <row r="7586">
      <c r="A7586" t="n">
        <v>14181004</v>
      </c>
      <c r="B7586" t="n">
        <v>51129</v>
      </c>
      <c r="C7586" t="inlineStr">
        <is>
          <t>1418/10/04</t>
        </is>
      </c>
    </row>
    <row r="7587">
      <c r="A7587" t="n">
        <v>14181005</v>
      </c>
      <c r="B7587" t="n">
        <v>51130</v>
      </c>
      <c r="C7587" t="inlineStr">
        <is>
          <t>1418/10/05</t>
        </is>
      </c>
    </row>
    <row r="7588">
      <c r="A7588" t="n">
        <v>14181006</v>
      </c>
      <c r="B7588" t="n">
        <v>51131</v>
      </c>
      <c r="C7588" t="inlineStr">
        <is>
          <t>1418/10/06</t>
        </is>
      </c>
    </row>
    <row r="7589">
      <c r="A7589" t="n">
        <v>14181007</v>
      </c>
      <c r="B7589" t="n">
        <v>51132</v>
      </c>
      <c r="C7589" t="inlineStr">
        <is>
          <t>1418/10/07</t>
        </is>
      </c>
    </row>
    <row r="7590">
      <c r="A7590" t="n">
        <v>14181008</v>
      </c>
      <c r="B7590" t="n">
        <v>51133</v>
      </c>
      <c r="C7590" t="inlineStr">
        <is>
          <t>1418/10/08</t>
        </is>
      </c>
    </row>
    <row r="7591">
      <c r="A7591" t="n">
        <v>14181009</v>
      </c>
      <c r="B7591" t="n">
        <v>51134</v>
      </c>
      <c r="C7591" t="inlineStr">
        <is>
          <t>1418/10/09</t>
        </is>
      </c>
    </row>
    <row r="7592">
      <c r="A7592" t="n">
        <v>14181010</v>
      </c>
      <c r="B7592" t="n">
        <v>51135</v>
      </c>
      <c r="C7592" t="inlineStr">
        <is>
          <t>1418/10/10</t>
        </is>
      </c>
    </row>
    <row r="7593">
      <c r="A7593" t="n">
        <v>14181011</v>
      </c>
      <c r="B7593" t="n">
        <v>51136</v>
      </c>
      <c r="C7593" t="inlineStr">
        <is>
          <t>1418/10/11</t>
        </is>
      </c>
    </row>
    <row r="7594">
      <c r="A7594" t="n">
        <v>14181012</v>
      </c>
      <c r="B7594" t="n">
        <v>51137</v>
      </c>
      <c r="C7594" t="inlineStr">
        <is>
          <t>1418/10/12</t>
        </is>
      </c>
    </row>
    <row r="7595">
      <c r="A7595" t="n">
        <v>14181013</v>
      </c>
      <c r="B7595" t="n">
        <v>51138</v>
      </c>
      <c r="C7595" t="inlineStr">
        <is>
          <t>1418/10/13</t>
        </is>
      </c>
    </row>
    <row r="7596">
      <c r="A7596" t="n">
        <v>14181014</v>
      </c>
      <c r="B7596" t="n">
        <v>51139</v>
      </c>
      <c r="C7596" t="inlineStr">
        <is>
          <t>1418/10/14</t>
        </is>
      </c>
    </row>
    <row r="7597">
      <c r="A7597" t="n">
        <v>14181015</v>
      </c>
      <c r="B7597" t="n">
        <v>51140</v>
      </c>
      <c r="C7597" t="inlineStr">
        <is>
          <t>1418/10/15</t>
        </is>
      </c>
    </row>
    <row r="7598">
      <c r="A7598" t="n">
        <v>14181016</v>
      </c>
      <c r="B7598" t="n">
        <v>51141</v>
      </c>
      <c r="C7598" t="inlineStr">
        <is>
          <t>1418/10/16</t>
        </is>
      </c>
    </row>
    <row r="7599">
      <c r="A7599" t="n">
        <v>14181017</v>
      </c>
      <c r="B7599" t="n">
        <v>51142</v>
      </c>
      <c r="C7599" t="inlineStr">
        <is>
          <t>1418/10/17</t>
        </is>
      </c>
    </row>
    <row r="7600">
      <c r="A7600" t="n">
        <v>14181018</v>
      </c>
      <c r="B7600" t="n">
        <v>51143</v>
      </c>
      <c r="C7600" t="inlineStr">
        <is>
          <t>1418/10/18</t>
        </is>
      </c>
    </row>
    <row r="7601">
      <c r="A7601" t="n">
        <v>14181019</v>
      </c>
      <c r="B7601" t="n">
        <v>51144</v>
      </c>
      <c r="C7601" t="inlineStr">
        <is>
          <t>1418/10/19</t>
        </is>
      </c>
    </row>
    <row r="7602">
      <c r="A7602" t="n">
        <v>14181020</v>
      </c>
      <c r="B7602" t="n">
        <v>51145</v>
      </c>
      <c r="C7602" t="inlineStr">
        <is>
          <t>1418/10/20</t>
        </is>
      </c>
    </row>
    <row r="7603">
      <c r="A7603" t="n">
        <v>14181021</v>
      </c>
      <c r="B7603" t="n">
        <v>51146</v>
      </c>
      <c r="C7603" t="inlineStr">
        <is>
          <t>1418/10/21</t>
        </is>
      </c>
    </row>
    <row r="7604">
      <c r="A7604" t="n">
        <v>14181022</v>
      </c>
      <c r="B7604" t="n">
        <v>51147</v>
      </c>
      <c r="C7604" t="inlineStr">
        <is>
          <t>1418/10/22</t>
        </is>
      </c>
    </row>
    <row r="7605">
      <c r="A7605" t="n">
        <v>14181023</v>
      </c>
      <c r="B7605" t="n">
        <v>51148</v>
      </c>
      <c r="C7605" t="inlineStr">
        <is>
          <t>1418/10/23</t>
        </is>
      </c>
    </row>
    <row r="7606">
      <c r="A7606" t="n">
        <v>14181024</v>
      </c>
      <c r="B7606" t="n">
        <v>51149</v>
      </c>
      <c r="C7606" t="inlineStr">
        <is>
          <t>1418/10/24</t>
        </is>
      </c>
    </row>
    <row r="7607">
      <c r="A7607" t="n">
        <v>14181025</v>
      </c>
      <c r="B7607" t="n">
        <v>51150</v>
      </c>
      <c r="C7607" t="inlineStr">
        <is>
          <t>1418/10/25</t>
        </is>
      </c>
    </row>
    <row r="7608">
      <c r="A7608" t="n">
        <v>14181026</v>
      </c>
      <c r="B7608" t="n">
        <v>51151</v>
      </c>
      <c r="C7608" t="inlineStr">
        <is>
          <t>1418/10/26</t>
        </is>
      </c>
    </row>
    <row r="7609">
      <c r="A7609" t="n">
        <v>14181027</v>
      </c>
      <c r="B7609" t="n">
        <v>51152</v>
      </c>
      <c r="C7609" t="inlineStr">
        <is>
          <t>1418/10/27</t>
        </is>
      </c>
    </row>
    <row r="7610">
      <c r="A7610" t="n">
        <v>14181028</v>
      </c>
      <c r="B7610" t="n">
        <v>51153</v>
      </c>
      <c r="C7610" t="inlineStr">
        <is>
          <t>1418/10/28</t>
        </is>
      </c>
    </row>
    <row r="7611">
      <c r="A7611" t="n">
        <v>14181029</v>
      </c>
      <c r="B7611" t="n">
        <v>51154</v>
      </c>
      <c r="C7611" t="inlineStr">
        <is>
          <t>1418/10/29</t>
        </is>
      </c>
    </row>
    <row r="7612">
      <c r="A7612" t="n">
        <v>14181030</v>
      </c>
      <c r="B7612" t="n">
        <v>51155</v>
      </c>
      <c r="C7612" t="inlineStr">
        <is>
          <t>1418/10/30</t>
        </is>
      </c>
    </row>
    <row r="7613">
      <c r="A7613" t="n">
        <v>14181101</v>
      </c>
      <c r="B7613" t="n">
        <v>51156</v>
      </c>
      <c r="C7613" t="inlineStr">
        <is>
          <t>1418/11/01</t>
        </is>
      </c>
    </row>
    <row r="7614">
      <c r="A7614" t="n">
        <v>14181102</v>
      </c>
      <c r="B7614" t="n">
        <v>51157</v>
      </c>
      <c r="C7614" t="inlineStr">
        <is>
          <t>1418/11/02</t>
        </is>
      </c>
    </row>
    <row r="7615">
      <c r="A7615" t="n">
        <v>14181103</v>
      </c>
      <c r="B7615" t="n">
        <v>51158</v>
      </c>
      <c r="C7615" t="inlineStr">
        <is>
          <t>1418/11/03</t>
        </is>
      </c>
    </row>
    <row r="7616">
      <c r="A7616" t="n">
        <v>14181104</v>
      </c>
      <c r="B7616" t="n">
        <v>51159</v>
      </c>
      <c r="C7616" t="inlineStr">
        <is>
          <t>1418/11/04</t>
        </is>
      </c>
    </row>
    <row r="7617">
      <c r="A7617" t="n">
        <v>14181105</v>
      </c>
      <c r="B7617" t="n">
        <v>51160</v>
      </c>
      <c r="C7617" t="inlineStr">
        <is>
          <t>1418/11/05</t>
        </is>
      </c>
    </row>
    <row r="7618">
      <c r="A7618" t="n">
        <v>14181106</v>
      </c>
      <c r="B7618" t="n">
        <v>51161</v>
      </c>
      <c r="C7618" t="inlineStr">
        <is>
          <t>1418/11/06</t>
        </is>
      </c>
    </row>
    <row r="7619">
      <c r="A7619" t="n">
        <v>14181107</v>
      </c>
      <c r="B7619" t="n">
        <v>51162</v>
      </c>
      <c r="C7619" t="inlineStr">
        <is>
          <t>1418/11/07</t>
        </is>
      </c>
    </row>
    <row r="7620">
      <c r="A7620" t="n">
        <v>14181108</v>
      </c>
      <c r="B7620" t="n">
        <v>51163</v>
      </c>
      <c r="C7620" t="inlineStr">
        <is>
          <t>1418/11/08</t>
        </is>
      </c>
    </row>
    <row r="7621">
      <c r="A7621" t="n">
        <v>14181109</v>
      </c>
      <c r="B7621" t="n">
        <v>51164</v>
      </c>
      <c r="C7621" t="inlineStr">
        <is>
          <t>1418/11/09</t>
        </is>
      </c>
    </row>
    <row r="7622">
      <c r="A7622" t="n">
        <v>14181110</v>
      </c>
      <c r="B7622" t="n">
        <v>51165</v>
      </c>
      <c r="C7622" t="inlineStr">
        <is>
          <t>1418/11/10</t>
        </is>
      </c>
    </row>
    <row r="7623">
      <c r="A7623" t="n">
        <v>14181111</v>
      </c>
      <c r="B7623" t="n">
        <v>51166</v>
      </c>
      <c r="C7623" t="inlineStr">
        <is>
          <t>1418/11/11</t>
        </is>
      </c>
    </row>
    <row r="7624">
      <c r="A7624" t="n">
        <v>14181112</v>
      </c>
      <c r="B7624" t="n">
        <v>51167</v>
      </c>
      <c r="C7624" t="inlineStr">
        <is>
          <t>1418/11/12</t>
        </is>
      </c>
    </row>
    <row r="7625">
      <c r="A7625" t="n">
        <v>14181113</v>
      </c>
      <c r="B7625" t="n">
        <v>51168</v>
      </c>
      <c r="C7625" t="inlineStr">
        <is>
          <t>1418/11/13</t>
        </is>
      </c>
    </row>
    <row r="7626">
      <c r="A7626" t="n">
        <v>14181114</v>
      </c>
      <c r="B7626" t="n">
        <v>51169</v>
      </c>
      <c r="C7626" t="inlineStr">
        <is>
          <t>1418/11/14</t>
        </is>
      </c>
    </row>
    <row r="7627">
      <c r="A7627" t="n">
        <v>14181115</v>
      </c>
      <c r="B7627" t="n">
        <v>51170</v>
      </c>
      <c r="C7627" t="inlineStr">
        <is>
          <t>1418/11/15</t>
        </is>
      </c>
    </row>
    <row r="7628">
      <c r="A7628" t="n">
        <v>14181116</v>
      </c>
      <c r="B7628" t="n">
        <v>51171</v>
      </c>
      <c r="C7628" t="inlineStr">
        <is>
          <t>1418/11/16</t>
        </is>
      </c>
    </row>
    <row r="7629">
      <c r="A7629" t="n">
        <v>14181117</v>
      </c>
      <c r="B7629" t="n">
        <v>51172</v>
      </c>
      <c r="C7629" t="inlineStr">
        <is>
          <t>1418/11/17</t>
        </is>
      </c>
    </row>
    <row r="7630">
      <c r="A7630" t="n">
        <v>14181118</v>
      </c>
      <c r="B7630" t="n">
        <v>51173</v>
      </c>
      <c r="C7630" t="inlineStr">
        <is>
          <t>1418/11/18</t>
        </is>
      </c>
    </row>
    <row r="7631">
      <c r="A7631" t="n">
        <v>14181119</v>
      </c>
      <c r="B7631" t="n">
        <v>51174</v>
      </c>
      <c r="C7631" t="inlineStr">
        <is>
          <t>1418/11/19</t>
        </is>
      </c>
    </row>
    <row r="7632">
      <c r="A7632" t="n">
        <v>14181120</v>
      </c>
      <c r="B7632" t="n">
        <v>51175</v>
      </c>
      <c r="C7632" t="inlineStr">
        <is>
          <t>1418/11/20</t>
        </is>
      </c>
    </row>
    <row r="7633">
      <c r="A7633" t="n">
        <v>14181121</v>
      </c>
      <c r="B7633" t="n">
        <v>51176</v>
      </c>
      <c r="C7633" t="inlineStr">
        <is>
          <t>1418/11/21</t>
        </is>
      </c>
    </row>
    <row r="7634">
      <c r="A7634" t="n">
        <v>14181122</v>
      </c>
      <c r="B7634" t="n">
        <v>51177</v>
      </c>
      <c r="C7634" t="inlineStr">
        <is>
          <t>1418/11/22</t>
        </is>
      </c>
    </row>
    <row r="7635">
      <c r="A7635" t="n">
        <v>14181123</v>
      </c>
      <c r="B7635" t="n">
        <v>51178</v>
      </c>
      <c r="C7635" t="inlineStr">
        <is>
          <t>1418/11/23</t>
        </is>
      </c>
    </row>
    <row r="7636">
      <c r="A7636" t="n">
        <v>14181124</v>
      </c>
      <c r="B7636" t="n">
        <v>51179</v>
      </c>
      <c r="C7636" t="inlineStr">
        <is>
          <t>1418/11/24</t>
        </is>
      </c>
    </row>
    <row r="7637">
      <c r="A7637" t="n">
        <v>14181125</v>
      </c>
      <c r="B7637" t="n">
        <v>51180</v>
      </c>
      <c r="C7637" t="inlineStr">
        <is>
          <t>1418/11/25</t>
        </is>
      </c>
    </row>
    <row r="7638">
      <c r="A7638" t="n">
        <v>14181126</v>
      </c>
      <c r="B7638" t="n">
        <v>51181</v>
      </c>
      <c r="C7638" t="inlineStr">
        <is>
          <t>1418/11/26</t>
        </is>
      </c>
    </row>
    <row r="7639">
      <c r="A7639" t="n">
        <v>14181127</v>
      </c>
      <c r="B7639" t="n">
        <v>51182</v>
      </c>
      <c r="C7639" t="inlineStr">
        <is>
          <t>1418/11/27</t>
        </is>
      </c>
    </row>
    <row r="7640">
      <c r="A7640" t="n">
        <v>14181128</v>
      </c>
      <c r="B7640" t="n">
        <v>51183</v>
      </c>
      <c r="C7640" t="inlineStr">
        <is>
          <t>1418/11/28</t>
        </is>
      </c>
    </row>
    <row r="7641">
      <c r="A7641" t="n">
        <v>14181129</v>
      </c>
      <c r="B7641" t="n">
        <v>51184</v>
      </c>
      <c r="C7641" t="inlineStr">
        <is>
          <t>1418/11/29</t>
        </is>
      </c>
    </row>
    <row r="7642">
      <c r="A7642" t="n">
        <v>14181130</v>
      </c>
      <c r="B7642" t="n">
        <v>51185</v>
      </c>
      <c r="C7642" t="inlineStr">
        <is>
          <t>1418/11/30</t>
        </is>
      </c>
    </row>
    <row r="7643">
      <c r="A7643" t="n">
        <v>14181201</v>
      </c>
      <c r="B7643" t="n">
        <v>51186</v>
      </c>
      <c r="C7643" t="inlineStr">
        <is>
          <t>1418/12/01</t>
        </is>
      </c>
    </row>
    <row r="7644">
      <c r="A7644" t="n">
        <v>14181202</v>
      </c>
      <c r="B7644" t="n">
        <v>51187</v>
      </c>
      <c r="C7644" t="inlineStr">
        <is>
          <t>1418/12/02</t>
        </is>
      </c>
    </row>
    <row r="7645">
      <c r="A7645" t="n">
        <v>14181203</v>
      </c>
      <c r="B7645" t="n">
        <v>51188</v>
      </c>
      <c r="C7645" t="inlineStr">
        <is>
          <t>1418/12/03</t>
        </is>
      </c>
    </row>
    <row r="7646">
      <c r="A7646" t="n">
        <v>14181204</v>
      </c>
      <c r="B7646" t="n">
        <v>51189</v>
      </c>
      <c r="C7646" t="inlineStr">
        <is>
          <t>1418/12/04</t>
        </is>
      </c>
    </row>
    <row r="7647">
      <c r="A7647" t="n">
        <v>14181205</v>
      </c>
      <c r="B7647" t="n">
        <v>51190</v>
      </c>
      <c r="C7647" t="inlineStr">
        <is>
          <t>1418/12/05</t>
        </is>
      </c>
    </row>
    <row r="7648">
      <c r="A7648" t="n">
        <v>14181206</v>
      </c>
      <c r="B7648" t="n">
        <v>51191</v>
      </c>
      <c r="C7648" t="inlineStr">
        <is>
          <t>1418/12/06</t>
        </is>
      </c>
    </row>
    <row r="7649">
      <c r="A7649" t="n">
        <v>14181207</v>
      </c>
      <c r="B7649" t="n">
        <v>51192</v>
      </c>
      <c r="C7649" t="inlineStr">
        <is>
          <t>1418/12/07</t>
        </is>
      </c>
    </row>
    <row r="7650">
      <c r="A7650" t="n">
        <v>14181208</v>
      </c>
      <c r="B7650" t="n">
        <v>51193</v>
      </c>
      <c r="C7650" t="inlineStr">
        <is>
          <t>1418/12/08</t>
        </is>
      </c>
    </row>
    <row r="7651">
      <c r="A7651" t="n">
        <v>14181209</v>
      </c>
      <c r="B7651" t="n">
        <v>51194</v>
      </c>
      <c r="C7651" t="inlineStr">
        <is>
          <t>1418/12/09</t>
        </is>
      </c>
    </row>
    <row r="7652">
      <c r="A7652" t="n">
        <v>14181210</v>
      </c>
      <c r="B7652" t="n">
        <v>51195</v>
      </c>
      <c r="C7652" t="inlineStr">
        <is>
          <t>1418/12/10</t>
        </is>
      </c>
    </row>
    <row r="7653">
      <c r="A7653" t="n">
        <v>14181211</v>
      </c>
      <c r="B7653" t="n">
        <v>51196</v>
      </c>
      <c r="C7653" t="inlineStr">
        <is>
          <t>1418/12/11</t>
        </is>
      </c>
    </row>
    <row r="7654">
      <c r="A7654" t="n">
        <v>14181212</v>
      </c>
      <c r="B7654" t="n">
        <v>51197</v>
      </c>
      <c r="C7654" t="inlineStr">
        <is>
          <t>1418/12/12</t>
        </is>
      </c>
    </row>
    <row r="7655">
      <c r="A7655" t="n">
        <v>14181213</v>
      </c>
      <c r="B7655" t="n">
        <v>51198</v>
      </c>
      <c r="C7655" t="inlineStr">
        <is>
          <t>1418/12/13</t>
        </is>
      </c>
    </row>
    <row r="7656">
      <c r="A7656" t="n">
        <v>14181214</v>
      </c>
      <c r="B7656" t="n">
        <v>51199</v>
      </c>
      <c r="C7656" t="inlineStr">
        <is>
          <t>1418/12/14</t>
        </is>
      </c>
    </row>
    <row r="7657">
      <c r="A7657" t="n">
        <v>14181215</v>
      </c>
      <c r="B7657" t="n">
        <v>51200</v>
      </c>
      <c r="C7657" t="inlineStr">
        <is>
          <t>1418/12/15</t>
        </is>
      </c>
    </row>
    <row r="7658">
      <c r="A7658" t="n">
        <v>14181216</v>
      </c>
      <c r="B7658" t="n">
        <v>51201</v>
      </c>
      <c r="C7658" t="inlineStr">
        <is>
          <t>1418/12/16</t>
        </is>
      </c>
    </row>
    <row r="7659">
      <c r="A7659" t="n">
        <v>14181217</v>
      </c>
      <c r="B7659" t="n">
        <v>51202</v>
      </c>
      <c r="C7659" t="inlineStr">
        <is>
          <t>1418/12/17</t>
        </is>
      </c>
    </row>
    <row r="7660">
      <c r="A7660" t="n">
        <v>14181218</v>
      </c>
      <c r="B7660" t="n">
        <v>51203</v>
      </c>
      <c r="C7660" t="inlineStr">
        <is>
          <t>1418/12/18</t>
        </is>
      </c>
    </row>
    <row r="7661">
      <c r="A7661" t="n">
        <v>14181219</v>
      </c>
      <c r="B7661" t="n">
        <v>51204</v>
      </c>
      <c r="C7661" t="inlineStr">
        <is>
          <t>1418/12/19</t>
        </is>
      </c>
    </row>
    <row r="7662">
      <c r="A7662" t="n">
        <v>14181220</v>
      </c>
      <c r="B7662" t="n">
        <v>51205</v>
      </c>
      <c r="C7662" t="inlineStr">
        <is>
          <t>1418/12/20</t>
        </is>
      </c>
    </row>
    <row r="7663">
      <c r="A7663" t="n">
        <v>14181221</v>
      </c>
      <c r="B7663" t="n">
        <v>51206</v>
      </c>
      <c r="C7663" t="inlineStr">
        <is>
          <t>1418/12/21</t>
        </is>
      </c>
    </row>
    <row r="7664">
      <c r="A7664" t="n">
        <v>14181222</v>
      </c>
      <c r="B7664" t="n">
        <v>51207</v>
      </c>
      <c r="C7664" t="inlineStr">
        <is>
          <t>1418/12/22</t>
        </is>
      </c>
    </row>
    <row r="7665">
      <c r="A7665" t="n">
        <v>14181223</v>
      </c>
      <c r="B7665" t="n">
        <v>51208</v>
      </c>
      <c r="C7665" t="inlineStr">
        <is>
          <t>1418/12/23</t>
        </is>
      </c>
    </row>
    <row r="7666">
      <c r="A7666" t="n">
        <v>14181224</v>
      </c>
      <c r="B7666" t="n">
        <v>51209</v>
      </c>
      <c r="C7666" t="inlineStr">
        <is>
          <t>1418/12/24</t>
        </is>
      </c>
    </row>
    <row r="7667">
      <c r="A7667" t="n">
        <v>14181225</v>
      </c>
      <c r="B7667" t="n">
        <v>51210</v>
      </c>
      <c r="C7667" t="inlineStr">
        <is>
          <t>1418/12/25</t>
        </is>
      </c>
    </row>
    <row r="7668">
      <c r="A7668" t="n">
        <v>14181226</v>
      </c>
      <c r="B7668" t="n">
        <v>51211</v>
      </c>
      <c r="C7668" t="inlineStr">
        <is>
          <t>1418/12/26</t>
        </is>
      </c>
    </row>
    <row r="7669">
      <c r="A7669" t="n">
        <v>14181227</v>
      </c>
      <c r="B7669" t="n">
        <v>51212</v>
      </c>
      <c r="C7669" t="inlineStr">
        <is>
          <t>1418/12/27</t>
        </is>
      </c>
    </row>
    <row r="7670">
      <c r="A7670" t="n">
        <v>14181228</v>
      </c>
      <c r="B7670" t="n">
        <v>51213</v>
      </c>
      <c r="C7670" t="inlineStr">
        <is>
          <t>1418/12/28</t>
        </is>
      </c>
    </row>
    <row r="7671">
      <c r="A7671" t="n">
        <v>14181229</v>
      </c>
      <c r="B7671" t="n">
        <v>51214</v>
      </c>
      <c r="C7671" t="inlineStr">
        <is>
          <t>1418/12/29</t>
        </is>
      </c>
    </row>
    <row r="7672">
      <c r="A7672" t="n">
        <v>14190101</v>
      </c>
      <c r="B7672" t="n">
        <v>51215</v>
      </c>
      <c r="C7672" t="inlineStr">
        <is>
          <t>1419/01/01</t>
        </is>
      </c>
    </row>
    <row r="7673">
      <c r="A7673" t="n">
        <v>14190102</v>
      </c>
      <c r="B7673" t="n">
        <v>51216</v>
      </c>
      <c r="C7673" t="inlineStr">
        <is>
          <t>1419/01/02</t>
        </is>
      </c>
    </row>
    <row r="7674">
      <c r="A7674" t="n">
        <v>14190103</v>
      </c>
      <c r="B7674" t="n">
        <v>51217</v>
      </c>
      <c r="C7674" t="inlineStr">
        <is>
          <t>1419/01/03</t>
        </is>
      </c>
    </row>
    <row r="7675">
      <c r="A7675" t="n">
        <v>14190104</v>
      </c>
      <c r="B7675" t="n">
        <v>51218</v>
      </c>
      <c r="C7675" t="inlineStr">
        <is>
          <t>1419/01/04</t>
        </is>
      </c>
    </row>
    <row r="7676">
      <c r="A7676" t="n">
        <v>14190105</v>
      </c>
      <c r="B7676" t="n">
        <v>51219</v>
      </c>
      <c r="C7676" t="inlineStr">
        <is>
          <t>1419/01/05</t>
        </is>
      </c>
    </row>
    <row r="7677">
      <c r="A7677" t="n">
        <v>14190106</v>
      </c>
      <c r="B7677" t="n">
        <v>51220</v>
      </c>
      <c r="C7677" t="inlineStr">
        <is>
          <t>1419/01/06</t>
        </is>
      </c>
    </row>
    <row r="7678">
      <c r="A7678" t="n">
        <v>14190107</v>
      </c>
      <c r="B7678" t="n">
        <v>51221</v>
      </c>
      <c r="C7678" t="inlineStr">
        <is>
          <t>1419/01/07</t>
        </is>
      </c>
    </row>
    <row r="7679">
      <c r="A7679" t="n">
        <v>14190108</v>
      </c>
      <c r="B7679" t="n">
        <v>51222</v>
      </c>
      <c r="C7679" t="inlineStr">
        <is>
          <t>1419/01/08</t>
        </is>
      </c>
    </row>
    <row r="7680">
      <c r="A7680" t="n">
        <v>14190109</v>
      </c>
      <c r="B7680" t="n">
        <v>51223</v>
      </c>
      <c r="C7680" t="inlineStr">
        <is>
          <t>1419/01/09</t>
        </is>
      </c>
    </row>
    <row r="7681">
      <c r="A7681" t="n">
        <v>14190110</v>
      </c>
      <c r="B7681" t="n">
        <v>51224</v>
      </c>
      <c r="C7681" t="inlineStr">
        <is>
          <t>1419/01/10</t>
        </is>
      </c>
    </row>
    <row r="7682">
      <c r="A7682" t="n">
        <v>14190111</v>
      </c>
      <c r="B7682" t="n">
        <v>51225</v>
      </c>
      <c r="C7682" t="inlineStr">
        <is>
          <t>1419/01/11</t>
        </is>
      </c>
    </row>
    <row r="7683">
      <c r="A7683" t="n">
        <v>14190112</v>
      </c>
      <c r="B7683" t="n">
        <v>51226</v>
      </c>
      <c r="C7683" t="inlineStr">
        <is>
          <t>1419/01/12</t>
        </is>
      </c>
    </row>
    <row r="7684">
      <c r="A7684" t="n">
        <v>14190113</v>
      </c>
      <c r="B7684" t="n">
        <v>51227</v>
      </c>
      <c r="C7684" t="inlineStr">
        <is>
          <t>1419/01/13</t>
        </is>
      </c>
    </row>
    <row r="7685">
      <c r="A7685" t="n">
        <v>14190114</v>
      </c>
      <c r="B7685" t="n">
        <v>51228</v>
      </c>
      <c r="C7685" t="inlineStr">
        <is>
          <t>1419/01/14</t>
        </is>
      </c>
    </row>
    <row r="7686">
      <c r="A7686" t="n">
        <v>14190115</v>
      </c>
      <c r="B7686" t="n">
        <v>51229</v>
      </c>
      <c r="C7686" t="inlineStr">
        <is>
          <t>1419/01/15</t>
        </is>
      </c>
    </row>
    <row r="7687">
      <c r="A7687" t="n">
        <v>14190116</v>
      </c>
      <c r="B7687" t="n">
        <v>51230</v>
      </c>
      <c r="C7687" t="inlineStr">
        <is>
          <t>1419/01/16</t>
        </is>
      </c>
    </row>
    <row r="7688">
      <c r="A7688" t="n">
        <v>14190117</v>
      </c>
      <c r="B7688" t="n">
        <v>51231</v>
      </c>
      <c r="C7688" t="inlineStr">
        <is>
          <t>1419/01/17</t>
        </is>
      </c>
    </row>
    <row r="7689">
      <c r="A7689" t="n">
        <v>14190118</v>
      </c>
      <c r="B7689" t="n">
        <v>51232</v>
      </c>
      <c r="C7689" t="inlineStr">
        <is>
          <t>1419/01/18</t>
        </is>
      </c>
    </row>
    <row r="7690">
      <c r="A7690" t="n">
        <v>14190119</v>
      </c>
      <c r="B7690" t="n">
        <v>51233</v>
      </c>
      <c r="C7690" t="inlineStr">
        <is>
          <t>1419/01/19</t>
        </is>
      </c>
    </row>
    <row r="7691">
      <c r="A7691" t="n">
        <v>14190120</v>
      </c>
      <c r="B7691" t="n">
        <v>51234</v>
      </c>
      <c r="C7691" t="inlineStr">
        <is>
          <t>1419/01/20</t>
        </is>
      </c>
    </row>
    <row r="7692">
      <c r="A7692" t="n">
        <v>14190121</v>
      </c>
      <c r="B7692" t="n">
        <v>51235</v>
      </c>
      <c r="C7692" t="inlineStr">
        <is>
          <t>1419/01/21</t>
        </is>
      </c>
    </row>
    <row r="7693">
      <c r="A7693" t="n">
        <v>14190122</v>
      </c>
      <c r="B7693" t="n">
        <v>51236</v>
      </c>
      <c r="C7693" t="inlineStr">
        <is>
          <t>1419/01/22</t>
        </is>
      </c>
    </row>
    <row r="7694">
      <c r="A7694" t="n">
        <v>14190123</v>
      </c>
      <c r="B7694" t="n">
        <v>51237</v>
      </c>
      <c r="C7694" t="inlineStr">
        <is>
          <t>1419/01/23</t>
        </is>
      </c>
    </row>
    <row r="7695">
      <c r="A7695" t="n">
        <v>14190124</v>
      </c>
      <c r="B7695" t="n">
        <v>51238</v>
      </c>
      <c r="C7695" t="inlineStr">
        <is>
          <t>1419/01/24</t>
        </is>
      </c>
    </row>
    <row r="7696">
      <c r="A7696" t="n">
        <v>14190125</v>
      </c>
      <c r="B7696" t="n">
        <v>51239</v>
      </c>
      <c r="C7696" t="inlineStr">
        <is>
          <t>1419/01/25</t>
        </is>
      </c>
    </row>
    <row r="7697">
      <c r="A7697" t="n">
        <v>14190126</v>
      </c>
      <c r="B7697" t="n">
        <v>51240</v>
      </c>
      <c r="C7697" t="inlineStr">
        <is>
          <t>1419/01/26</t>
        </is>
      </c>
    </row>
    <row r="7698">
      <c r="A7698" t="n">
        <v>14190127</v>
      </c>
      <c r="B7698" t="n">
        <v>51241</v>
      </c>
      <c r="C7698" t="inlineStr">
        <is>
          <t>1419/01/27</t>
        </is>
      </c>
    </row>
    <row r="7699">
      <c r="A7699" t="n">
        <v>14190128</v>
      </c>
      <c r="B7699" t="n">
        <v>51242</v>
      </c>
      <c r="C7699" t="inlineStr">
        <is>
          <t>1419/01/28</t>
        </is>
      </c>
    </row>
    <row r="7700">
      <c r="A7700" t="n">
        <v>14190129</v>
      </c>
      <c r="B7700" t="n">
        <v>51243</v>
      </c>
      <c r="C7700" t="inlineStr">
        <is>
          <t>1419/01/29</t>
        </is>
      </c>
    </row>
    <row r="7701">
      <c r="A7701" t="n">
        <v>14190130</v>
      </c>
      <c r="B7701" t="n">
        <v>51244</v>
      </c>
      <c r="C7701" t="inlineStr">
        <is>
          <t>1419/01/30</t>
        </is>
      </c>
    </row>
    <row r="7702">
      <c r="A7702" t="n">
        <v>14190131</v>
      </c>
      <c r="B7702" t="n">
        <v>51245</v>
      </c>
      <c r="C7702" t="inlineStr">
        <is>
          <t>1419/01/31</t>
        </is>
      </c>
    </row>
    <row r="7703">
      <c r="A7703" t="n">
        <v>14190201</v>
      </c>
      <c r="B7703" t="n">
        <v>51246</v>
      </c>
      <c r="C7703" t="inlineStr">
        <is>
          <t>1419/02/01</t>
        </is>
      </c>
    </row>
    <row r="7704">
      <c r="A7704" t="n">
        <v>14190202</v>
      </c>
      <c r="B7704" t="n">
        <v>51247</v>
      </c>
      <c r="C7704" t="inlineStr">
        <is>
          <t>1419/02/02</t>
        </is>
      </c>
    </row>
    <row r="7705">
      <c r="A7705" t="n">
        <v>14190203</v>
      </c>
      <c r="B7705" t="n">
        <v>51248</v>
      </c>
      <c r="C7705" t="inlineStr">
        <is>
          <t>1419/02/03</t>
        </is>
      </c>
    </row>
    <row r="7706">
      <c r="A7706" t="n">
        <v>14190204</v>
      </c>
      <c r="B7706" t="n">
        <v>51249</v>
      </c>
      <c r="C7706" t="inlineStr">
        <is>
          <t>1419/02/04</t>
        </is>
      </c>
    </row>
    <row r="7707">
      <c r="A7707" t="n">
        <v>14190205</v>
      </c>
      <c r="B7707" t="n">
        <v>51250</v>
      </c>
      <c r="C7707" t="inlineStr">
        <is>
          <t>1419/02/05</t>
        </is>
      </c>
    </row>
    <row r="7708">
      <c r="A7708" t="n">
        <v>14190206</v>
      </c>
      <c r="B7708" t="n">
        <v>51251</v>
      </c>
      <c r="C7708" t="inlineStr">
        <is>
          <t>1419/02/06</t>
        </is>
      </c>
    </row>
    <row r="7709">
      <c r="A7709" t="n">
        <v>14190207</v>
      </c>
      <c r="B7709" t="n">
        <v>51252</v>
      </c>
      <c r="C7709" t="inlineStr">
        <is>
          <t>1419/02/07</t>
        </is>
      </c>
    </row>
    <row r="7710">
      <c r="A7710" t="n">
        <v>14190208</v>
      </c>
      <c r="B7710" t="n">
        <v>51253</v>
      </c>
      <c r="C7710" t="inlineStr">
        <is>
          <t>1419/02/08</t>
        </is>
      </c>
    </row>
    <row r="7711">
      <c r="A7711" t="n">
        <v>14190209</v>
      </c>
      <c r="B7711" t="n">
        <v>51254</v>
      </c>
      <c r="C7711" t="inlineStr">
        <is>
          <t>1419/02/09</t>
        </is>
      </c>
    </row>
    <row r="7712">
      <c r="A7712" t="n">
        <v>14190210</v>
      </c>
      <c r="B7712" t="n">
        <v>51255</v>
      </c>
      <c r="C7712" t="inlineStr">
        <is>
          <t>1419/02/10</t>
        </is>
      </c>
    </row>
    <row r="7713">
      <c r="A7713" t="n">
        <v>14190211</v>
      </c>
      <c r="B7713" t="n">
        <v>51256</v>
      </c>
      <c r="C7713" t="inlineStr">
        <is>
          <t>1419/02/11</t>
        </is>
      </c>
    </row>
    <row r="7714">
      <c r="A7714" t="n">
        <v>14190212</v>
      </c>
      <c r="B7714" t="n">
        <v>51257</v>
      </c>
      <c r="C7714" t="inlineStr">
        <is>
          <t>1419/02/12</t>
        </is>
      </c>
    </row>
    <row r="7715">
      <c r="A7715" t="n">
        <v>14190213</v>
      </c>
      <c r="B7715" t="n">
        <v>51258</v>
      </c>
      <c r="C7715" t="inlineStr">
        <is>
          <t>1419/02/13</t>
        </is>
      </c>
    </row>
    <row r="7716">
      <c r="A7716" t="n">
        <v>14190214</v>
      </c>
      <c r="B7716" t="n">
        <v>51259</v>
      </c>
      <c r="C7716" t="inlineStr">
        <is>
          <t>1419/02/14</t>
        </is>
      </c>
    </row>
    <row r="7717">
      <c r="A7717" t="n">
        <v>14190215</v>
      </c>
      <c r="B7717" t="n">
        <v>51260</v>
      </c>
      <c r="C7717" t="inlineStr">
        <is>
          <t>1419/02/15</t>
        </is>
      </c>
    </row>
    <row r="7718">
      <c r="A7718" t="n">
        <v>14190216</v>
      </c>
      <c r="B7718" t="n">
        <v>51261</v>
      </c>
      <c r="C7718" t="inlineStr">
        <is>
          <t>1419/02/16</t>
        </is>
      </c>
    </row>
    <row r="7719">
      <c r="A7719" t="n">
        <v>14190217</v>
      </c>
      <c r="B7719" t="n">
        <v>51262</v>
      </c>
      <c r="C7719" t="inlineStr">
        <is>
          <t>1419/02/17</t>
        </is>
      </c>
    </row>
    <row r="7720">
      <c r="A7720" t="n">
        <v>14190218</v>
      </c>
      <c r="B7720" t="n">
        <v>51263</v>
      </c>
      <c r="C7720" t="inlineStr">
        <is>
          <t>1419/02/18</t>
        </is>
      </c>
    </row>
    <row r="7721">
      <c r="A7721" t="n">
        <v>14190219</v>
      </c>
      <c r="B7721" t="n">
        <v>51264</v>
      </c>
      <c r="C7721" t="inlineStr">
        <is>
          <t>1419/02/19</t>
        </is>
      </c>
    </row>
    <row r="7722">
      <c r="A7722" t="n">
        <v>14190220</v>
      </c>
      <c r="B7722" t="n">
        <v>51265</v>
      </c>
      <c r="C7722" t="inlineStr">
        <is>
          <t>1419/02/20</t>
        </is>
      </c>
    </row>
    <row r="7723">
      <c r="A7723" t="n">
        <v>14190221</v>
      </c>
      <c r="B7723" t="n">
        <v>51266</v>
      </c>
      <c r="C7723" t="inlineStr">
        <is>
          <t>1419/02/21</t>
        </is>
      </c>
    </row>
    <row r="7724">
      <c r="A7724" t="n">
        <v>14190222</v>
      </c>
      <c r="B7724" t="n">
        <v>51267</v>
      </c>
      <c r="C7724" t="inlineStr">
        <is>
          <t>1419/02/22</t>
        </is>
      </c>
    </row>
    <row r="7725">
      <c r="A7725" t="n">
        <v>14190223</v>
      </c>
      <c r="B7725" t="n">
        <v>51268</v>
      </c>
      <c r="C7725" t="inlineStr">
        <is>
          <t>1419/02/23</t>
        </is>
      </c>
    </row>
    <row r="7726">
      <c r="A7726" t="n">
        <v>14190224</v>
      </c>
      <c r="B7726" t="n">
        <v>51269</v>
      </c>
      <c r="C7726" t="inlineStr">
        <is>
          <t>1419/02/24</t>
        </is>
      </c>
    </row>
    <row r="7727">
      <c r="A7727" t="n">
        <v>14190225</v>
      </c>
      <c r="B7727" t="n">
        <v>51270</v>
      </c>
      <c r="C7727" t="inlineStr">
        <is>
          <t>1419/02/25</t>
        </is>
      </c>
    </row>
    <row r="7728">
      <c r="A7728" t="n">
        <v>14190226</v>
      </c>
      <c r="B7728" t="n">
        <v>51271</v>
      </c>
      <c r="C7728" t="inlineStr">
        <is>
          <t>1419/02/26</t>
        </is>
      </c>
    </row>
    <row r="7729">
      <c r="A7729" t="n">
        <v>14190227</v>
      </c>
      <c r="B7729" t="n">
        <v>51272</v>
      </c>
      <c r="C7729" t="inlineStr">
        <is>
          <t>1419/02/27</t>
        </is>
      </c>
    </row>
    <row r="7730">
      <c r="A7730" t="n">
        <v>14190228</v>
      </c>
      <c r="B7730" t="n">
        <v>51273</v>
      </c>
      <c r="C7730" t="inlineStr">
        <is>
          <t>1419/02/28</t>
        </is>
      </c>
    </row>
    <row r="7731">
      <c r="A7731" t="n">
        <v>14190229</v>
      </c>
      <c r="B7731" t="n">
        <v>51274</v>
      </c>
      <c r="C7731" t="inlineStr">
        <is>
          <t>1419/02/29</t>
        </is>
      </c>
    </row>
    <row r="7732">
      <c r="A7732" t="n">
        <v>14190230</v>
      </c>
      <c r="B7732" t="n">
        <v>51275</v>
      </c>
      <c r="C7732" t="inlineStr">
        <is>
          <t>1419/02/30</t>
        </is>
      </c>
    </row>
    <row r="7733">
      <c r="A7733" t="n">
        <v>14190231</v>
      </c>
      <c r="B7733" t="n">
        <v>51276</v>
      </c>
      <c r="C7733" t="inlineStr">
        <is>
          <t>1419/02/31</t>
        </is>
      </c>
    </row>
    <row r="7734">
      <c r="A7734" t="n">
        <v>14190301</v>
      </c>
      <c r="B7734" t="n">
        <v>51277</v>
      </c>
      <c r="C7734" t="inlineStr">
        <is>
          <t>1419/03/01</t>
        </is>
      </c>
    </row>
    <row r="7735">
      <c r="A7735" t="n">
        <v>14190302</v>
      </c>
      <c r="B7735" t="n">
        <v>51278</v>
      </c>
      <c r="C7735" t="inlineStr">
        <is>
          <t>1419/03/02</t>
        </is>
      </c>
    </row>
    <row r="7736">
      <c r="A7736" t="n">
        <v>14190303</v>
      </c>
      <c r="B7736" t="n">
        <v>51279</v>
      </c>
      <c r="C7736" t="inlineStr">
        <is>
          <t>1419/03/03</t>
        </is>
      </c>
    </row>
    <row r="7737">
      <c r="A7737" t="n">
        <v>14190304</v>
      </c>
      <c r="B7737" t="n">
        <v>51280</v>
      </c>
      <c r="C7737" t="inlineStr">
        <is>
          <t>1419/03/04</t>
        </is>
      </c>
    </row>
    <row r="7738">
      <c r="A7738" t="n">
        <v>14190305</v>
      </c>
      <c r="B7738" t="n">
        <v>51281</v>
      </c>
      <c r="C7738" t="inlineStr">
        <is>
          <t>1419/03/05</t>
        </is>
      </c>
    </row>
    <row r="7739">
      <c r="A7739" t="n">
        <v>14190306</v>
      </c>
      <c r="B7739" t="n">
        <v>51282</v>
      </c>
      <c r="C7739" t="inlineStr">
        <is>
          <t>1419/03/06</t>
        </is>
      </c>
    </row>
    <row r="7740">
      <c r="A7740" t="n">
        <v>14190307</v>
      </c>
      <c r="B7740" t="n">
        <v>51283</v>
      </c>
      <c r="C7740" t="inlineStr">
        <is>
          <t>1419/03/07</t>
        </is>
      </c>
    </row>
    <row r="7741">
      <c r="A7741" t="n">
        <v>14190308</v>
      </c>
      <c r="B7741" t="n">
        <v>51284</v>
      </c>
      <c r="C7741" t="inlineStr">
        <is>
          <t>1419/03/08</t>
        </is>
      </c>
    </row>
    <row r="7742">
      <c r="A7742" t="n">
        <v>14190309</v>
      </c>
      <c r="B7742" t="n">
        <v>51285</v>
      </c>
      <c r="C7742" t="inlineStr">
        <is>
          <t>1419/03/09</t>
        </is>
      </c>
    </row>
    <row r="7743">
      <c r="A7743" t="n">
        <v>14190310</v>
      </c>
      <c r="B7743" t="n">
        <v>51286</v>
      </c>
      <c r="C7743" t="inlineStr">
        <is>
          <t>1419/03/10</t>
        </is>
      </c>
    </row>
    <row r="7744">
      <c r="A7744" t="n">
        <v>14190311</v>
      </c>
      <c r="B7744" t="n">
        <v>51287</v>
      </c>
      <c r="C7744" t="inlineStr">
        <is>
          <t>1419/03/11</t>
        </is>
      </c>
    </row>
    <row r="7745">
      <c r="A7745" t="n">
        <v>14190312</v>
      </c>
      <c r="B7745" t="n">
        <v>51288</v>
      </c>
      <c r="C7745" t="inlineStr">
        <is>
          <t>1419/03/12</t>
        </is>
      </c>
    </row>
    <row r="7746">
      <c r="A7746" t="n">
        <v>14190313</v>
      </c>
      <c r="B7746" t="n">
        <v>51289</v>
      </c>
      <c r="C7746" t="inlineStr">
        <is>
          <t>1419/03/13</t>
        </is>
      </c>
    </row>
    <row r="7747">
      <c r="A7747" t="n">
        <v>14190314</v>
      </c>
      <c r="B7747" t="n">
        <v>51290</v>
      </c>
      <c r="C7747" t="inlineStr">
        <is>
          <t>1419/03/14</t>
        </is>
      </c>
    </row>
    <row r="7748">
      <c r="A7748" t="n">
        <v>14190315</v>
      </c>
      <c r="B7748" t="n">
        <v>51291</v>
      </c>
      <c r="C7748" t="inlineStr">
        <is>
          <t>1419/03/15</t>
        </is>
      </c>
    </row>
    <row r="7749">
      <c r="A7749" t="n">
        <v>14190316</v>
      </c>
      <c r="B7749" t="n">
        <v>51292</v>
      </c>
      <c r="C7749" t="inlineStr">
        <is>
          <t>1419/03/16</t>
        </is>
      </c>
    </row>
    <row r="7750">
      <c r="A7750" t="n">
        <v>14190317</v>
      </c>
      <c r="B7750" t="n">
        <v>51293</v>
      </c>
      <c r="C7750" t="inlineStr">
        <is>
          <t>1419/03/17</t>
        </is>
      </c>
    </row>
    <row r="7751">
      <c r="A7751" t="n">
        <v>14190318</v>
      </c>
      <c r="B7751" t="n">
        <v>51294</v>
      </c>
      <c r="C7751" t="inlineStr">
        <is>
          <t>1419/03/18</t>
        </is>
      </c>
    </row>
    <row r="7752">
      <c r="A7752" t="n">
        <v>14190319</v>
      </c>
      <c r="B7752" t="n">
        <v>51295</v>
      </c>
      <c r="C7752" t="inlineStr">
        <is>
          <t>1419/03/19</t>
        </is>
      </c>
    </row>
    <row r="7753">
      <c r="A7753" t="n">
        <v>14190320</v>
      </c>
      <c r="B7753" t="n">
        <v>51296</v>
      </c>
      <c r="C7753" t="inlineStr">
        <is>
          <t>1419/03/20</t>
        </is>
      </c>
    </row>
    <row r="7754">
      <c r="A7754" t="n">
        <v>14190321</v>
      </c>
      <c r="B7754" t="n">
        <v>51297</v>
      </c>
      <c r="C7754" t="inlineStr">
        <is>
          <t>1419/03/21</t>
        </is>
      </c>
    </row>
    <row r="7755">
      <c r="A7755" t="n">
        <v>14190322</v>
      </c>
      <c r="B7755" t="n">
        <v>51298</v>
      </c>
      <c r="C7755" t="inlineStr">
        <is>
          <t>1419/03/22</t>
        </is>
      </c>
    </row>
    <row r="7756">
      <c r="A7756" t="n">
        <v>14190323</v>
      </c>
      <c r="B7756" t="n">
        <v>51299</v>
      </c>
      <c r="C7756" t="inlineStr">
        <is>
          <t>1419/03/23</t>
        </is>
      </c>
    </row>
    <row r="7757">
      <c r="A7757" t="n">
        <v>14190324</v>
      </c>
      <c r="B7757" t="n">
        <v>51300</v>
      </c>
      <c r="C7757" t="inlineStr">
        <is>
          <t>1419/03/24</t>
        </is>
      </c>
    </row>
    <row r="7758">
      <c r="A7758" t="n">
        <v>14190325</v>
      </c>
      <c r="B7758" t="n">
        <v>51301</v>
      </c>
      <c r="C7758" t="inlineStr">
        <is>
          <t>1419/03/25</t>
        </is>
      </c>
    </row>
    <row r="7759">
      <c r="A7759" t="n">
        <v>14190326</v>
      </c>
      <c r="B7759" t="n">
        <v>51302</v>
      </c>
      <c r="C7759" t="inlineStr">
        <is>
          <t>1419/03/26</t>
        </is>
      </c>
    </row>
    <row r="7760">
      <c r="A7760" t="n">
        <v>14190327</v>
      </c>
      <c r="B7760" t="n">
        <v>51303</v>
      </c>
      <c r="C7760" t="inlineStr">
        <is>
          <t>1419/03/27</t>
        </is>
      </c>
    </row>
    <row r="7761">
      <c r="A7761" t="n">
        <v>14190328</v>
      </c>
      <c r="B7761" t="n">
        <v>51304</v>
      </c>
      <c r="C7761" t="inlineStr">
        <is>
          <t>1419/03/28</t>
        </is>
      </c>
    </row>
    <row r="7762">
      <c r="A7762" t="n">
        <v>14190329</v>
      </c>
      <c r="B7762" t="n">
        <v>51305</v>
      </c>
      <c r="C7762" t="inlineStr">
        <is>
          <t>1419/03/29</t>
        </is>
      </c>
    </row>
    <row r="7763">
      <c r="A7763" t="n">
        <v>14190330</v>
      </c>
      <c r="B7763" t="n">
        <v>51306</v>
      </c>
      <c r="C7763" t="inlineStr">
        <is>
          <t>1419/03/30</t>
        </is>
      </c>
    </row>
    <row r="7764">
      <c r="A7764" t="n">
        <v>14190331</v>
      </c>
      <c r="B7764" t="n">
        <v>51307</v>
      </c>
      <c r="C7764" t="inlineStr">
        <is>
          <t>1419/03/31</t>
        </is>
      </c>
    </row>
    <row r="7765">
      <c r="A7765" t="n">
        <v>14190401</v>
      </c>
      <c r="B7765" t="n">
        <v>51308</v>
      </c>
      <c r="C7765" t="inlineStr">
        <is>
          <t>1419/04/01</t>
        </is>
      </c>
    </row>
    <row r="7766">
      <c r="A7766" t="n">
        <v>14190402</v>
      </c>
      <c r="B7766" t="n">
        <v>51309</v>
      </c>
      <c r="C7766" t="inlineStr">
        <is>
          <t>1419/04/02</t>
        </is>
      </c>
    </row>
    <row r="7767">
      <c r="A7767" t="n">
        <v>14190403</v>
      </c>
      <c r="B7767" t="n">
        <v>51310</v>
      </c>
      <c r="C7767" t="inlineStr">
        <is>
          <t>1419/04/03</t>
        </is>
      </c>
    </row>
    <row r="7768">
      <c r="A7768" t="n">
        <v>14190404</v>
      </c>
      <c r="B7768" t="n">
        <v>51311</v>
      </c>
      <c r="C7768" t="inlineStr">
        <is>
          <t>1419/04/04</t>
        </is>
      </c>
    </row>
    <row r="7769">
      <c r="A7769" t="n">
        <v>14190405</v>
      </c>
      <c r="B7769" t="n">
        <v>51312</v>
      </c>
      <c r="C7769" t="inlineStr">
        <is>
          <t>1419/04/05</t>
        </is>
      </c>
    </row>
    <row r="7770">
      <c r="A7770" t="n">
        <v>14190406</v>
      </c>
      <c r="B7770" t="n">
        <v>51313</v>
      </c>
      <c r="C7770" t="inlineStr">
        <is>
          <t>1419/04/06</t>
        </is>
      </c>
    </row>
    <row r="7771">
      <c r="A7771" t="n">
        <v>14190407</v>
      </c>
      <c r="B7771" t="n">
        <v>51314</v>
      </c>
      <c r="C7771" t="inlineStr">
        <is>
          <t>1419/04/07</t>
        </is>
      </c>
    </row>
    <row r="7772">
      <c r="A7772" t="n">
        <v>14190408</v>
      </c>
      <c r="B7772" t="n">
        <v>51315</v>
      </c>
      <c r="C7772" t="inlineStr">
        <is>
          <t>1419/04/08</t>
        </is>
      </c>
    </row>
    <row r="7773">
      <c r="A7773" t="n">
        <v>14190409</v>
      </c>
      <c r="B7773" t="n">
        <v>51316</v>
      </c>
      <c r="C7773" t="inlineStr">
        <is>
          <t>1419/04/09</t>
        </is>
      </c>
    </row>
    <row r="7774">
      <c r="A7774" t="n">
        <v>14190410</v>
      </c>
      <c r="B7774" t="n">
        <v>51317</v>
      </c>
      <c r="C7774" t="inlineStr">
        <is>
          <t>1419/04/10</t>
        </is>
      </c>
    </row>
    <row r="7775">
      <c r="A7775" t="n">
        <v>14190411</v>
      </c>
      <c r="B7775" t="n">
        <v>51318</v>
      </c>
      <c r="C7775" t="inlineStr">
        <is>
          <t>1419/04/11</t>
        </is>
      </c>
    </row>
    <row r="7776">
      <c r="A7776" t="n">
        <v>14190412</v>
      </c>
      <c r="B7776" t="n">
        <v>51319</v>
      </c>
      <c r="C7776" t="inlineStr">
        <is>
          <t>1419/04/12</t>
        </is>
      </c>
    </row>
    <row r="7777">
      <c r="A7777" t="n">
        <v>14190413</v>
      </c>
      <c r="B7777" t="n">
        <v>51320</v>
      </c>
      <c r="C7777" t="inlineStr">
        <is>
          <t>1419/04/13</t>
        </is>
      </c>
    </row>
    <row r="7778">
      <c r="A7778" t="n">
        <v>14190414</v>
      </c>
      <c r="B7778" t="n">
        <v>51321</v>
      </c>
      <c r="C7778" t="inlineStr">
        <is>
          <t>1419/04/14</t>
        </is>
      </c>
    </row>
    <row r="7779">
      <c r="A7779" t="n">
        <v>14190415</v>
      </c>
      <c r="B7779" t="n">
        <v>51322</v>
      </c>
      <c r="C7779" t="inlineStr">
        <is>
          <t>1419/04/15</t>
        </is>
      </c>
    </row>
    <row r="7780">
      <c r="A7780" t="n">
        <v>14190416</v>
      </c>
      <c r="B7780" t="n">
        <v>51323</v>
      </c>
      <c r="C7780" t="inlineStr">
        <is>
          <t>1419/04/16</t>
        </is>
      </c>
    </row>
    <row r="7781">
      <c r="A7781" t="n">
        <v>14190417</v>
      </c>
      <c r="B7781" t="n">
        <v>51324</v>
      </c>
      <c r="C7781" t="inlineStr">
        <is>
          <t>1419/04/17</t>
        </is>
      </c>
    </row>
    <row r="7782">
      <c r="A7782" t="n">
        <v>14190418</v>
      </c>
      <c r="B7782" t="n">
        <v>51325</v>
      </c>
      <c r="C7782" t="inlineStr">
        <is>
          <t>1419/04/18</t>
        </is>
      </c>
    </row>
    <row r="7783">
      <c r="A7783" t="n">
        <v>14190419</v>
      </c>
      <c r="B7783" t="n">
        <v>51326</v>
      </c>
      <c r="C7783" t="inlineStr">
        <is>
          <t>1419/04/19</t>
        </is>
      </c>
    </row>
    <row r="7784">
      <c r="A7784" t="n">
        <v>14190420</v>
      </c>
      <c r="B7784" t="n">
        <v>51327</v>
      </c>
      <c r="C7784" t="inlineStr">
        <is>
          <t>1419/04/20</t>
        </is>
      </c>
    </row>
    <row r="7785">
      <c r="A7785" t="n">
        <v>14190421</v>
      </c>
      <c r="B7785" t="n">
        <v>51328</v>
      </c>
      <c r="C7785" t="inlineStr">
        <is>
          <t>1419/04/21</t>
        </is>
      </c>
    </row>
    <row r="7786">
      <c r="A7786" t="n">
        <v>14190422</v>
      </c>
      <c r="B7786" t="n">
        <v>51329</v>
      </c>
      <c r="C7786" t="inlineStr">
        <is>
          <t>1419/04/22</t>
        </is>
      </c>
    </row>
    <row r="7787">
      <c r="A7787" t="n">
        <v>14190423</v>
      </c>
      <c r="B7787" t="n">
        <v>51330</v>
      </c>
      <c r="C7787" t="inlineStr">
        <is>
          <t>1419/04/23</t>
        </is>
      </c>
    </row>
    <row r="7788">
      <c r="A7788" t="n">
        <v>14190424</v>
      </c>
      <c r="B7788" t="n">
        <v>51331</v>
      </c>
      <c r="C7788" t="inlineStr">
        <is>
          <t>1419/04/24</t>
        </is>
      </c>
    </row>
    <row r="7789">
      <c r="A7789" t="n">
        <v>14190425</v>
      </c>
      <c r="B7789" t="n">
        <v>51332</v>
      </c>
      <c r="C7789" t="inlineStr">
        <is>
          <t>1419/04/25</t>
        </is>
      </c>
    </row>
    <row r="7790">
      <c r="A7790" t="n">
        <v>14190426</v>
      </c>
      <c r="B7790" t="n">
        <v>51333</v>
      </c>
      <c r="C7790" t="inlineStr">
        <is>
          <t>1419/04/26</t>
        </is>
      </c>
    </row>
    <row r="7791">
      <c r="A7791" t="n">
        <v>14190427</v>
      </c>
      <c r="B7791" t="n">
        <v>51334</v>
      </c>
      <c r="C7791" t="inlineStr">
        <is>
          <t>1419/04/27</t>
        </is>
      </c>
    </row>
    <row r="7792">
      <c r="A7792" t="n">
        <v>14190428</v>
      </c>
      <c r="B7792" t="n">
        <v>51335</v>
      </c>
      <c r="C7792" t="inlineStr">
        <is>
          <t>1419/04/28</t>
        </is>
      </c>
    </row>
    <row r="7793">
      <c r="A7793" t="n">
        <v>14190429</v>
      </c>
      <c r="B7793" t="n">
        <v>51336</v>
      </c>
      <c r="C7793" t="inlineStr">
        <is>
          <t>1419/04/29</t>
        </is>
      </c>
    </row>
    <row r="7794">
      <c r="A7794" t="n">
        <v>14190430</v>
      </c>
      <c r="B7794" t="n">
        <v>51337</v>
      </c>
      <c r="C7794" t="inlineStr">
        <is>
          <t>1419/04/30</t>
        </is>
      </c>
    </row>
    <row r="7795">
      <c r="A7795" t="n">
        <v>14190431</v>
      </c>
      <c r="B7795" t="n">
        <v>51338</v>
      </c>
      <c r="C7795" t="inlineStr">
        <is>
          <t>1419/04/31</t>
        </is>
      </c>
    </row>
    <row r="7796">
      <c r="A7796" t="n">
        <v>14190501</v>
      </c>
      <c r="B7796" t="n">
        <v>51339</v>
      </c>
      <c r="C7796" t="inlineStr">
        <is>
          <t>1419/05/01</t>
        </is>
      </c>
    </row>
    <row r="7797">
      <c r="A7797" t="n">
        <v>14190502</v>
      </c>
      <c r="B7797" t="n">
        <v>51340</v>
      </c>
      <c r="C7797" t="inlineStr">
        <is>
          <t>1419/05/02</t>
        </is>
      </c>
    </row>
    <row r="7798">
      <c r="A7798" t="n">
        <v>14190503</v>
      </c>
      <c r="B7798" t="n">
        <v>51341</v>
      </c>
      <c r="C7798" t="inlineStr">
        <is>
          <t>1419/05/03</t>
        </is>
      </c>
    </row>
    <row r="7799">
      <c r="A7799" t="n">
        <v>14190504</v>
      </c>
      <c r="B7799" t="n">
        <v>51342</v>
      </c>
      <c r="C7799" t="inlineStr">
        <is>
          <t>1419/05/04</t>
        </is>
      </c>
    </row>
    <row r="7800">
      <c r="A7800" t="n">
        <v>14190505</v>
      </c>
      <c r="B7800" t="n">
        <v>51343</v>
      </c>
      <c r="C7800" t="inlineStr">
        <is>
          <t>1419/05/05</t>
        </is>
      </c>
    </row>
    <row r="7801">
      <c r="A7801" t="n">
        <v>14190506</v>
      </c>
      <c r="B7801" t="n">
        <v>51344</v>
      </c>
      <c r="C7801" t="inlineStr">
        <is>
          <t>1419/05/06</t>
        </is>
      </c>
    </row>
    <row r="7802">
      <c r="A7802" t="n">
        <v>14190507</v>
      </c>
      <c r="B7802" t="n">
        <v>51345</v>
      </c>
      <c r="C7802" t="inlineStr">
        <is>
          <t>1419/05/07</t>
        </is>
      </c>
    </row>
    <row r="7803">
      <c r="A7803" t="n">
        <v>14190508</v>
      </c>
      <c r="B7803" t="n">
        <v>51346</v>
      </c>
      <c r="C7803" t="inlineStr">
        <is>
          <t>1419/05/08</t>
        </is>
      </c>
    </row>
    <row r="7804">
      <c r="A7804" t="n">
        <v>14190509</v>
      </c>
      <c r="B7804" t="n">
        <v>51347</v>
      </c>
      <c r="C7804" t="inlineStr">
        <is>
          <t>1419/05/09</t>
        </is>
      </c>
    </row>
    <row r="7805">
      <c r="A7805" t="n">
        <v>14190510</v>
      </c>
      <c r="B7805" t="n">
        <v>51348</v>
      </c>
      <c r="C7805" t="inlineStr">
        <is>
          <t>1419/05/10</t>
        </is>
      </c>
    </row>
    <row r="7806">
      <c r="A7806" t="n">
        <v>14190511</v>
      </c>
      <c r="B7806" t="n">
        <v>51349</v>
      </c>
      <c r="C7806" t="inlineStr">
        <is>
          <t>1419/05/11</t>
        </is>
      </c>
    </row>
    <row r="7807">
      <c r="A7807" t="n">
        <v>14190512</v>
      </c>
      <c r="B7807" t="n">
        <v>51350</v>
      </c>
      <c r="C7807" t="inlineStr">
        <is>
          <t>1419/05/12</t>
        </is>
      </c>
    </row>
    <row r="7808">
      <c r="A7808" t="n">
        <v>14190513</v>
      </c>
      <c r="B7808" t="n">
        <v>51351</v>
      </c>
      <c r="C7808" t="inlineStr">
        <is>
          <t>1419/05/13</t>
        </is>
      </c>
    </row>
    <row r="7809">
      <c r="A7809" t="n">
        <v>14190514</v>
      </c>
      <c r="B7809" t="n">
        <v>51352</v>
      </c>
      <c r="C7809" t="inlineStr">
        <is>
          <t>1419/05/14</t>
        </is>
      </c>
    </row>
    <row r="7810">
      <c r="A7810" t="n">
        <v>14190515</v>
      </c>
      <c r="B7810" t="n">
        <v>51353</v>
      </c>
      <c r="C7810" t="inlineStr">
        <is>
          <t>1419/05/15</t>
        </is>
      </c>
    </row>
    <row r="7811">
      <c r="A7811" t="n">
        <v>14190516</v>
      </c>
      <c r="B7811" t="n">
        <v>51354</v>
      </c>
      <c r="C7811" t="inlineStr">
        <is>
          <t>1419/05/16</t>
        </is>
      </c>
    </row>
    <row r="7812">
      <c r="A7812" t="n">
        <v>14190517</v>
      </c>
      <c r="B7812" t="n">
        <v>51355</v>
      </c>
      <c r="C7812" t="inlineStr">
        <is>
          <t>1419/05/17</t>
        </is>
      </c>
    </row>
    <row r="7813">
      <c r="A7813" t="n">
        <v>14190518</v>
      </c>
      <c r="B7813" t="n">
        <v>51356</v>
      </c>
      <c r="C7813" t="inlineStr">
        <is>
          <t>1419/05/18</t>
        </is>
      </c>
    </row>
    <row r="7814">
      <c r="A7814" t="n">
        <v>14190519</v>
      </c>
      <c r="B7814" t="n">
        <v>51357</v>
      </c>
      <c r="C7814" t="inlineStr">
        <is>
          <t>1419/05/19</t>
        </is>
      </c>
    </row>
    <row r="7815">
      <c r="A7815" t="n">
        <v>14190520</v>
      </c>
      <c r="B7815" t="n">
        <v>51358</v>
      </c>
      <c r="C7815" t="inlineStr">
        <is>
          <t>1419/05/20</t>
        </is>
      </c>
    </row>
    <row r="7816">
      <c r="A7816" t="n">
        <v>14190521</v>
      </c>
      <c r="B7816" t="n">
        <v>51359</v>
      </c>
      <c r="C7816" t="inlineStr">
        <is>
          <t>1419/05/21</t>
        </is>
      </c>
    </row>
    <row r="7817">
      <c r="A7817" t="n">
        <v>14190522</v>
      </c>
      <c r="B7817" t="n">
        <v>51360</v>
      </c>
      <c r="C7817" t="inlineStr">
        <is>
          <t>1419/05/22</t>
        </is>
      </c>
    </row>
    <row r="7818">
      <c r="A7818" t="n">
        <v>14190523</v>
      </c>
      <c r="B7818" t="n">
        <v>51361</v>
      </c>
      <c r="C7818" t="inlineStr">
        <is>
          <t>1419/05/23</t>
        </is>
      </c>
    </row>
    <row r="7819">
      <c r="A7819" t="n">
        <v>14190524</v>
      </c>
      <c r="B7819" t="n">
        <v>51362</v>
      </c>
      <c r="C7819" t="inlineStr">
        <is>
          <t>1419/05/24</t>
        </is>
      </c>
    </row>
    <row r="7820">
      <c r="A7820" t="n">
        <v>14190525</v>
      </c>
      <c r="B7820" t="n">
        <v>51363</v>
      </c>
      <c r="C7820" t="inlineStr">
        <is>
          <t>1419/05/25</t>
        </is>
      </c>
    </row>
    <row r="7821">
      <c r="A7821" t="n">
        <v>14190526</v>
      </c>
      <c r="B7821" t="n">
        <v>51364</v>
      </c>
      <c r="C7821" t="inlineStr">
        <is>
          <t>1419/05/26</t>
        </is>
      </c>
    </row>
    <row r="7822">
      <c r="A7822" t="n">
        <v>14190527</v>
      </c>
      <c r="B7822" t="n">
        <v>51365</v>
      </c>
      <c r="C7822" t="inlineStr">
        <is>
          <t>1419/05/27</t>
        </is>
      </c>
    </row>
    <row r="7823">
      <c r="A7823" t="n">
        <v>14190528</v>
      </c>
      <c r="B7823" t="n">
        <v>51366</v>
      </c>
      <c r="C7823" t="inlineStr">
        <is>
          <t>1419/05/28</t>
        </is>
      </c>
    </row>
    <row r="7824">
      <c r="A7824" t="n">
        <v>14190529</v>
      </c>
      <c r="B7824" t="n">
        <v>51367</v>
      </c>
      <c r="C7824" t="inlineStr">
        <is>
          <t>1419/05/29</t>
        </is>
      </c>
    </row>
    <row r="7825">
      <c r="A7825" t="n">
        <v>14190530</v>
      </c>
      <c r="B7825" t="n">
        <v>51368</v>
      </c>
      <c r="C7825" t="inlineStr">
        <is>
          <t>1419/05/30</t>
        </is>
      </c>
    </row>
    <row r="7826">
      <c r="A7826" t="n">
        <v>14190531</v>
      </c>
      <c r="B7826" t="n">
        <v>51369</v>
      </c>
      <c r="C7826" t="inlineStr">
        <is>
          <t>1419/05/31</t>
        </is>
      </c>
    </row>
    <row r="7827">
      <c r="A7827" t="n">
        <v>14190601</v>
      </c>
      <c r="B7827" t="n">
        <v>51370</v>
      </c>
      <c r="C7827" t="inlineStr">
        <is>
          <t>1419/06/01</t>
        </is>
      </c>
    </row>
    <row r="7828">
      <c r="A7828" t="n">
        <v>14190602</v>
      </c>
      <c r="B7828" t="n">
        <v>51371</v>
      </c>
      <c r="C7828" t="inlineStr">
        <is>
          <t>1419/06/02</t>
        </is>
      </c>
    </row>
    <row r="7829">
      <c r="A7829" t="n">
        <v>14190603</v>
      </c>
      <c r="B7829" t="n">
        <v>51372</v>
      </c>
      <c r="C7829" t="inlineStr">
        <is>
          <t>1419/06/03</t>
        </is>
      </c>
    </row>
    <row r="7830">
      <c r="A7830" t="n">
        <v>14190604</v>
      </c>
      <c r="B7830" t="n">
        <v>51373</v>
      </c>
      <c r="C7830" t="inlineStr">
        <is>
          <t>1419/06/04</t>
        </is>
      </c>
    </row>
    <row r="7831">
      <c r="A7831" t="n">
        <v>14190605</v>
      </c>
      <c r="B7831" t="n">
        <v>51374</v>
      </c>
      <c r="C7831" t="inlineStr">
        <is>
          <t>1419/06/05</t>
        </is>
      </c>
    </row>
    <row r="7832">
      <c r="A7832" t="n">
        <v>14190606</v>
      </c>
      <c r="B7832" t="n">
        <v>51375</v>
      </c>
      <c r="C7832" t="inlineStr">
        <is>
          <t>1419/06/06</t>
        </is>
      </c>
    </row>
    <row r="7833">
      <c r="A7833" t="n">
        <v>14190607</v>
      </c>
      <c r="B7833" t="n">
        <v>51376</v>
      </c>
      <c r="C7833" t="inlineStr">
        <is>
          <t>1419/06/07</t>
        </is>
      </c>
    </row>
    <row r="7834">
      <c r="A7834" t="n">
        <v>14190608</v>
      </c>
      <c r="B7834" t="n">
        <v>51377</v>
      </c>
      <c r="C7834" t="inlineStr">
        <is>
          <t>1419/06/08</t>
        </is>
      </c>
    </row>
    <row r="7835">
      <c r="A7835" t="n">
        <v>14190609</v>
      </c>
      <c r="B7835" t="n">
        <v>51378</v>
      </c>
      <c r="C7835" t="inlineStr">
        <is>
          <t>1419/06/09</t>
        </is>
      </c>
    </row>
    <row r="7836">
      <c r="A7836" t="n">
        <v>14190610</v>
      </c>
      <c r="B7836" t="n">
        <v>51379</v>
      </c>
      <c r="C7836" t="inlineStr">
        <is>
          <t>1419/06/10</t>
        </is>
      </c>
    </row>
    <row r="7837">
      <c r="A7837" t="n">
        <v>14190611</v>
      </c>
      <c r="B7837" t="n">
        <v>51380</v>
      </c>
      <c r="C7837" t="inlineStr">
        <is>
          <t>1419/06/11</t>
        </is>
      </c>
    </row>
    <row r="7838">
      <c r="A7838" t="n">
        <v>14190612</v>
      </c>
      <c r="B7838" t="n">
        <v>51381</v>
      </c>
      <c r="C7838" t="inlineStr">
        <is>
          <t>1419/06/12</t>
        </is>
      </c>
    </row>
    <row r="7839">
      <c r="A7839" t="n">
        <v>14190613</v>
      </c>
      <c r="B7839" t="n">
        <v>51382</v>
      </c>
      <c r="C7839" t="inlineStr">
        <is>
          <t>1419/06/13</t>
        </is>
      </c>
    </row>
    <row r="7840">
      <c r="A7840" t="n">
        <v>14190614</v>
      </c>
      <c r="B7840" t="n">
        <v>51383</v>
      </c>
      <c r="C7840" t="inlineStr">
        <is>
          <t>1419/06/14</t>
        </is>
      </c>
    </row>
    <row r="7841">
      <c r="A7841" t="n">
        <v>14190615</v>
      </c>
      <c r="B7841" t="n">
        <v>51384</v>
      </c>
      <c r="C7841" t="inlineStr">
        <is>
          <t>1419/06/15</t>
        </is>
      </c>
    </row>
    <row r="7842">
      <c r="A7842" t="n">
        <v>14190616</v>
      </c>
      <c r="B7842" t="n">
        <v>51385</v>
      </c>
      <c r="C7842" t="inlineStr">
        <is>
          <t>1419/06/16</t>
        </is>
      </c>
    </row>
    <row r="7843">
      <c r="A7843" t="n">
        <v>14190617</v>
      </c>
      <c r="B7843" t="n">
        <v>51386</v>
      </c>
      <c r="C7843" t="inlineStr">
        <is>
          <t>1419/06/17</t>
        </is>
      </c>
    </row>
    <row r="7844">
      <c r="A7844" t="n">
        <v>14190618</v>
      </c>
      <c r="B7844" t="n">
        <v>51387</v>
      </c>
      <c r="C7844" t="inlineStr">
        <is>
          <t>1419/06/18</t>
        </is>
      </c>
    </row>
    <row r="7845">
      <c r="A7845" t="n">
        <v>14190619</v>
      </c>
      <c r="B7845" t="n">
        <v>51388</v>
      </c>
      <c r="C7845" t="inlineStr">
        <is>
          <t>1419/06/19</t>
        </is>
      </c>
    </row>
    <row r="7846">
      <c r="A7846" t="n">
        <v>14190620</v>
      </c>
      <c r="B7846" t="n">
        <v>51389</v>
      </c>
      <c r="C7846" t="inlineStr">
        <is>
          <t>1419/06/20</t>
        </is>
      </c>
    </row>
    <row r="7847">
      <c r="A7847" t="n">
        <v>14190621</v>
      </c>
      <c r="B7847" t="n">
        <v>51390</v>
      </c>
      <c r="C7847" t="inlineStr">
        <is>
          <t>1419/06/21</t>
        </is>
      </c>
    </row>
    <row r="7848">
      <c r="A7848" t="n">
        <v>14190622</v>
      </c>
      <c r="B7848" t="n">
        <v>51391</v>
      </c>
      <c r="C7848" t="inlineStr">
        <is>
          <t>1419/06/22</t>
        </is>
      </c>
    </row>
    <row r="7849">
      <c r="A7849" t="n">
        <v>14190623</v>
      </c>
      <c r="B7849" t="n">
        <v>51392</v>
      </c>
      <c r="C7849" t="inlineStr">
        <is>
          <t>1419/06/23</t>
        </is>
      </c>
    </row>
    <row r="7850">
      <c r="A7850" t="n">
        <v>14190624</v>
      </c>
      <c r="B7850" t="n">
        <v>51393</v>
      </c>
      <c r="C7850" t="inlineStr">
        <is>
          <t>1419/06/24</t>
        </is>
      </c>
    </row>
    <row r="7851">
      <c r="A7851" t="n">
        <v>14190625</v>
      </c>
      <c r="B7851" t="n">
        <v>51394</v>
      </c>
      <c r="C7851" t="inlineStr">
        <is>
          <t>1419/06/25</t>
        </is>
      </c>
    </row>
    <row r="7852">
      <c r="A7852" t="n">
        <v>14190626</v>
      </c>
      <c r="B7852" t="n">
        <v>51395</v>
      </c>
      <c r="C7852" t="inlineStr">
        <is>
          <t>1419/06/26</t>
        </is>
      </c>
    </row>
    <row r="7853">
      <c r="A7853" t="n">
        <v>14190627</v>
      </c>
      <c r="B7853" t="n">
        <v>51396</v>
      </c>
      <c r="C7853" t="inlineStr">
        <is>
          <t>1419/06/27</t>
        </is>
      </c>
    </row>
    <row r="7854">
      <c r="A7854" t="n">
        <v>14190628</v>
      </c>
      <c r="B7854" t="n">
        <v>51397</v>
      </c>
      <c r="C7854" t="inlineStr">
        <is>
          <t>1419/06/28</t>
        </is>
      </c>
    </row>
    <row r="7855">
      <c r="A7855" t="n">
        <v>14190629</v>
      </c>
      <c r="B7855" t="n">
        <v>51398</v>
      </c>
      <c r="C7855" t="inlineStr">
        <is>
          <t>1419/06/29</t>
        </is>
      </c>
    </row>
    <row r="7856">
      <c r="A7856" t="n">
        <v>14190630</v>
      </c>
      <c r="B7856" t="n">
        <v>51399</v>
      </c>
      <c r="C7856" t="inlineStr">
        <is>
          <t>1419/06/30</t>
        </is>
      </c>
    </row>
    <row r="7857">
      <c r="A7857" t="n">
        <v>14190631</v>
      </c>
      <c r="B7857" t="n">
        <v>51400</v>
      </c>
      <c r="C7857" t="inlineStr">
        <is>
          <t>1419/06/31</t>
        </is>
      </c>
    </row>
    <row r="7858">
      <c r="A7858" t="n">
        <v>14190701</v>
      </c>
      <c r="B7858" t="n">
        <v>51401</v>
      </c>
      <c r="C7858" t="inlineStr">
        <is>
          <t>1419/07/01</t>
        </is>
      </c>
    </row>
    <row r="7859">
      <c r="A7859" t="n">
        <v>14190702</v>
      </c>
      <c r="B7859" t="n">
        <v>51402</v>
      </c>
      <c r="C7859" t="inlineStr">
        <is>
          <t>1419/07/02</t>
        </is>
      </c>
    </row>
    <row r="7860">
      <c r="A7860" t="n">
        <v>14190703</v>
      </c>
      <c r="B7860" t="n">
        <v>51403</v>
      </c>
      <c r="C7860" t="inlineStr">
        <is>
          <t>1419/07/03</t>
        </is>
      </c>
    </row>
    <row r="7861">
      <c r="A7861" t="n">
        <v>14190704</v>
      </c>
      <c r="B7861" t="n">
        <v>51404</v>
      </c>
      <c r="C7861" t="inlineStr">
        <is>
          <t>1419/07/04</t>
        </is>
      </c>
    </row>
    <row r="7862">
      <c r="A7862" t="n">
        <v>14190705</v>
      </c>
      <c r="B7862" t="n">
        <v>51405</v>
      </c>
      <c r="C7862" t="inlineStr">
        <is>
          <t>1419/07/05</t>
        </is>
      </c>
    </row>
    <row r="7863">
      <c r="A7863" t="n">
        <v>14190706</v>
      </c>
      <c r="B7863" t="n">
        <v>51406</v>
      </c>
      <c r="C7863" t="inlineStr">
        <is>
          <t>1419/07/06</t>
        </is>
      </c>
    </row>
    <row r="7864">
      <c r="A7864" t="n">
        <v>14190707</v>
      </c>
      <c r="B7864" t="n">
        <v>51407</v>
      </c>
      <c r="C7864" t="inlineStr">
        <is>
          <t>1419/07/07</t>
        </is>
      </c>
    </row>
    <row r="7865">
      <c r="A7865" t="n">
        <v>14190708</v>
      </c>
      <c r="B7865" t="n">
        <v>51408</v>
      </c>
      <c r="C7865" t="inlineStr">
        <is>
          <t>1419/07/08</t>
        </is>
      </c>
    </row>
    <row r="7866">
      <c r="A7866" t="n">
        <v>14190709</v>
      </c>
      <c r="B7866" t="n">
        <v>51409</v>
      </c>
      <c r="C7866" t="inlineStr">
        <is>
          <t>1419/07/09</t>
        </is>
      </c>
    </row>
    <row r="7867">
      <c r="A7867" t="n">
        <v>14190710</v>
      </c>
      <c r="B7867" t="n">
        <v>51410</v>
      </c>
      <c r="C7867" t="inlineStr">
        <is>
          <t>1419/07/10</t>
        </is>
      </c>
    </row>
    <row r="7868">
      <c r="A7868" t="n">
        <v>14190711</v>
      </c>
      <c r="B7868" t="n">
        <v>51411</v>
      </c>
      <c r="C7868" t="inlineStr">
        <is>
          <t>1419/07/11</t>
        </is>
      </c>
    </row>
    <row r="7869">
      <c r="A7869" t="n">
        <v>14190712</v>
      </c>
      <c r="B7869" t="n">
        <v>51412</v>
      </c>
      <c r="C7869" t="inlineStr">
        <is>
          <t>1419/07/12</t>
        </is>
      </c>
    </row>
    <row r="7870">
      <c r="A7870" t="n">
        <v>14190713</v>
      </c>
      <c r="B7870" t="n">
        <v>51413</v>
      </c>
      <c r="C7870" t="inlineStr">
        <is>
          <t>1419/07/13</t>
        </is>
      </c>
    </row>
    <row r="7871">
      <c r="A7871" t="n">
        <v>14190714</v>
      </c>
      <c r="B7871" t="n">
        <v>51414</v>
      </c>
      <c r="C7871" t="inlineStr">
        <is>
          <t>1419/07/14</t>
        </is>
      </c>
    </row>
    <row r="7872">
      <c r="A7872" t="n">
        <v>14190715</v>
      </c>
      <c r="B7872" t="n">
        <v>51415</v>
      </c>
      <c r="C7872" t="inlineStr">
        <is>
          <t>1419/07/15</t>
        </is>
      </c>
    </row>
    <row r="7873">
      <c r="A7873" t="n">
        <v>14190716</v>
      </c>
      <c r="B7873" t="n">
        <v>51416</v>
      </c>
      <c r="C7873" t="inlineStr">
        <is>
          <t>1419/07/16</t>
        </is>
      </c>
    </row>
    <row r="7874">
      <c r="A7874" t="n">
        <v>14190717</v>
      </c>
      <c r="B7874" t="n">
        <v>51417</v>
      </c>
      <c r="C7874" t="inlineStr">
        <is>
          <t>1419/07/17</t>
        </is>
      </c>
    </row>
    <row r="7875">
      <c r="A7875" t="n">
        <v>14190718</v>
      </c>
      <c r="B7875" t="n">
        <v>51418</v>
      </c>
      <c r="C7875" t="inlineStr">
        <is>
          <t>1419/07/18</t>
        </is>
      </c>
    </row>
    <row r="7876">
      <c r="A7876" t="n">
        <v>14190719</v>
      </c>
      <c r="B7876" t="n">
        <v>51419</v>
      </c>
      <c r="C7876" t="inlineStr">
        <is>
          <t>1419/07/19</t>
        </is>
      </c>
    </row>
    <row r="7877">
      <c r="A7877" t="n">
        <v>14190720</v>
      </c>
      <c r="B7877" t="n">
        <v>51420</v>
      </c>
      <c r="C7877" t="inlineStr">
        <is>
          <t>1419/07/20</t>
        </is>
      </c>
    </row>
    <row r="7878">
      <c r="A7878" t="n">
        <v>14190721</v>
      </c>
      <c r="B7878" t="n">
        <v>51421</v>
      </c>
      <c r="C7878" t="inlineStr">
        <is>
          <t>1419/07/21</t>
        </is>
      </c>
    </row>
    <row r="7879">
      <c r="A7879" t="n">
        <v>14190722</v>
      </c>
      <c r="B7879" t="n">
        <v>51422</v>
      </c>
      <c r="C7879" t="inlineStr">
        <is>
          <t>1419/07/22</t>
        </is>
      </c>
    </row>
    <row r="7880">
      <c r="A7880" t="n">
        <v>14190723</v>
      </c>
      <c r="B7880" t="n">
        <v>51423</v>
      </c>
      <c r="C7880" t="inlineStr">
        <is>
          <t>1419/07/23</t>
        </is>
      </c>
    </row>
    <row r="7881">
      <c r="A7881" t="n">
        <v>14190724</v>
      </c>
      <c r="B7881" t="n">
        <v>51424</v>
      </c>
      <c r="C7881" t="inlineStr">
        <is>
          <t>1419/07/24</t>
        </is>
      </c>
    </row>
    <row r="7882">
      <c r="A7882" t="n">
        <v>14190725</v>
      </c>
      <c r="B7882" t="n">
        <v>51425</v>
      </c>
      <c r="C7882" t="inlineStr">
        <is>
          <t>1419/07/25</t>
        </is>
      </c>
    </row>
    <row r="7883">
      <c r="A7883" t="n">
        <v>14190726</v>
      </c>
      <c r="B7883" t="n">
        <v>51426</v>
      </c>
      <c r="C7883" t="inlineStr">
        <is>
          <t>1419/07/26</t>
        </is>
      </c>
    </row>
    <row r="7884">
      <c r="A7884" t="n">
        <v>14190727</v>
      </c>
      <c r="B7884" t="n">
        <v>51427</v>
      </c>
      <c r="C7884" t="inlineStr">
        <is>
          <t>1419/07/27</t>
        </is>
      </c>
    </row>
    <row r="7885">
      <c r="A7885" t="n">
        <v>14190728</v>
      </c>
      <c r="B7885" t="n">
        <v>51428</v>
      </c>
      <c r="C7885" t="inlineStr">
        <is>
          <t>1419/07/28</t>
        </is>
      </c>
    </row>
    <row r="7886">
      <c r="A7886" t="n">
        <v>14190729</v>
      </c>
      <c r="B7886" t="n">
        <v>51429</v>
      </c>
      <c r="C7886" t="inlineStr">
        <is>
          <t>1419/07/29</t>
        </is>
      </c>
    </row>
    <row r="7887">
      <c r="A7887" t="n">
        <v>14190730</v>
      </c>
      <c r="B7887" t="n">
        <v>51430</v>
      </c>
      <c r="C7887" t="inlineStr">
        <is>
          <t>1419/07/30</t>
        </is>
      </c>
    </row>
    <row r="7888">
      <c r="A7888" t="n">
        <v>14190801</v>
      </c>
      <c r="B7888" t="n">
        <v>51431</v>
      </c>
      <c r="C7888" t="inlineStr">
        <is>
          <t>1419/08/01</t>
        </is>
      </c>
    </row>
    <row r="7889">
      <c r="A7889" t="n">
        <v>14190802</v>
      </c>
      <c r="B7889" t="n">
        <v>51432</v>
      </c>
      <c r="C7889" t="inlineStr">
        <is>
          <t>1419/08/02</t>
        </is>
      </c>
    </row>
    <row r="7890">
      <c r="A7890" t="n">
        <v>14190803</v>
      </c>
      <c r="B7890" t="n">
        <v>51433</v>
      </c>
      <c r="C7890" t="inlineStr">
        <is>
          <t>1419/08/03</t>
        </is>
      </c>
    </row>
    <row r="7891">
      <c r="A7891" t="n">
        <v>14190804</v>
      </c>
      <c r="B7891" t="n">
        <v>51434</v>
      </c>
      <c r="C7891" t="inlineStr">
        <is>
          <t>1419/08/04</t>
        </is>
      </c>
    </row>
    <row r="7892">
      <c r="A7892" t="n">
        <v>14190805</v>
      </c>
      <c r="B7892" t="n">
        <v>51435</v>
      </c>
      <c r="C7892" t="inlineStr">
        <is>
          <t>1419/08/05</t>
        </is>
      </c>
    </row>
    <row r="7893">
      <c r="A7893" t="n">
        <v>14190806</v>
      </c>
      <c r="B7893" t="n">
        <v>51436</v>
      </c>
      <c r="C7893" t="inlineStr">
        <is>
          <t>1419/08/06</t>
        </is>
      </c>
    </row>
    <row r="7894">
      <c r="A7894" t="n">
        <v>14190807</v>
      </c>
      <c r="B7894" t="n">
        <v>51437</v>
      </c>
      <c r="C7894" t="inlineStr">
        <is>
          <t>1419/08/07</t>
        </is>
      </c>
    </row>
    <row r="7895">
      <c r="A7895" t="n">
        <v>14190808</v>
      </c>
      <c r="B7895" t="n">
        <v>51438</v>
      </c>
      <c r="C7895" t="inlineStr">
        <is>
          <t>1419/08/08</t>
        </is>
      </c>
    </row>
    <row r="7896">
      <c r="A7896" t="n">
        <v>14190809</v>
      </c>
      <c r="B7896" t="n">
        <v>51439</v>
      </c>
      <c r="C7896" t="inlineStr">
        <is>
          <t>1419/08/09</t>
        </is>
      </c>
    </row>
    <row r="7897">
      <c r="A7897" t="n">
        <v>14190810</v>
      </c>
      <c r="B7897" t="n">
        <v>51440</v>
      </c>
      <c r="C7897" t="inlineStr">
        <is>
          <t>1419/08/10</t>
        </is>
      </c>
    </row>
    <row r="7898">
      <c r="A7898" t="n">
        <v>14190811</v>
      </c>
      <c r="B7898" t="n">
        <v>51441</v>
      </c>
      <c r="C7898" t="inlineStr">
        <is>
          <t>1419/08/11</t>
        </is>
      </c>
    </row>
    <row r="7899">
      <c r="A7899" t="n">
        <v>14190812</v>
      </c>
      <c r="B7899" t="n">
        <v>51442</v>
      </c>
      <c r="C7899" t="inlineStr">
        <is>
          <t>1419/08/12</t>
        </is>
      </c>
    </row>
    <row r="7900">
      <c r="A7900" t="n">
        <v>14190813</v>
      </c>
      <c r="B7900" t="n">
        <v>51443</v>
      </c>
      <c r="C7900" t="inlineStr">
        <is>
          <t>1419/08/13</t>
        </is>
      </c>
    </row>
    <row r="7901">
      <c r="A7901" t="n">
        <v>14190814</v>
      </c>
      <c r="B7901" t="n">
        <v>51444</v>
      </c>
      <c r="C7901" t="inlineStr">
        <is>
          <t>1419/08/14</t>
        </is>
      </c>
    </row>
    <row r="7902">
      <c r="A7902" t="n">
        <v>14190815</v>
      </c>
      <c r="B7902" t="n">
        <v>51445</v>
      </c>
      <c r="C7902" t="inlineStr">
        <is>
          <t>1419/08/15</t>
        </is>
      </c>
    </row>
    <row r="7903">
      <c r="A7903" t="n">
        <v>14190816</v>
      </c>
      <c r="B7903" t="n">
        <v>51446</v>
      </c>
      <c r="C7903" t="inlineStr">
        <is>
          <t>1419/08/16</t>
        </is>
      </c>
    </row>
    <row r="7904">
      <c r="A7904" t="n">
        <v>14190817</v>
      </c>
      <c r="B7904" t="n">
        <v>51447</v>
      </c>
      <c r="C7904" t="inlineStr">
        <is>
          <t>1419/08/17</t>
        </is>
      </c>
    </row>
    <row r="7905">
      <c r="A7905" t="n">
        <v>14190818</v>
      </c>
      <c r="B7905" t="n">
        <v>51448</v>
      </c>
      <c r="C7905" t="inlineStr">
        <is>
          <t>1419/08/18</t>
        </is>
      </c>
    </row>
    <row r="7906">
      <c r="A7906" t="n">
        <v>14190819</v>
      </c>
      <c r="B7906" t="n">
        <v>51449</v>
      </c>
      <c r="C7906" t="inlineStr">
        <is>
          <t>1419/08/19</t>
        </is>
      </c>
    </row>
    <row r="7907">
      <c r="A7907" t="n">
        <v>14190820</v>
      </c>
      <c r="B7907" t="n">
        <v>51450</v>
      </c>
      <c r="C7907" t="inlineStr">
        <is>
          <t>1419/08/20</t>
        </is>
      </c>
    </row>
    <row r="7908">
      <c r="A7908" t="n">
        <v>14190821</v>
      </c>
      <c r="B7908" t="n">
        <v>51451</v>
      </c>
      <c r="C7908" t="inlineStr">
        <is>
          <t>1419/08/21</t>
        </is>
      </c>
    </row>
    <row r="7909">
      <c r="A7909" t="n">
        <v>14190822</v>
      </c>
      <c r="B7909" t="n">
        <v>51452</v>
      </c>
      <c r="C7909" t="inlineStr">
        <is>
          <t>1419/08/22</t>
        </is>
      </c>
    </row>
    <row r="7910">
      <c r="A7910" t="n">
        <v>14190823</v>
      </c>
      <c r="B7910" t="n">
        <v>51453</v>
      </c>
      <c r="C7910" t="inlineStr">
        <is>
          <t>1419/08/23</t>
        </is>
      </c>
    </row>
    <row r="7911">
      <c r="A7911" t="n">
        <v>14190824</v>
      </c>
      <c r="B7911" t="n">
        <v>51454</v>
      </c>
      <c r="C7911" t="inlineStr">
        <is>
          <t>1419/08/24</t>
        </is>
      </c>
    </row>
    <row r="7912">
      <c r="A7912" t="n">
        <v>14190825</v>
      </c>
      <c r="B7912" t="n">
        <v>51455</v>
      </c>
      <c r="C7912" t="inlineStr">
        <is>
          <t>1419/08/25</t>
        </is>
      </c>
    </row>
    <row r="7913">
      <c r="A7913" t="n">
        <v>14190826</v>
      </c>
      <c r="B7913" t="n">
        <v>51456</v>
      </c>
      <c r="C7913" t="inlineStr">
        <is>
          <t>1419/08/26</t>
        </is>
      </c>
    </row>
    <row r="7914">
      <c r="A7914" t="n">
        <v>14190827</v>
      </c>
      <c r="B7914" t="n">
        <v>51457</v>
      </c>
      <c r="C7914" t="inlineStr">
        <is>
          <t>1419/08/27</t>
        </is>
      </c>
    </row>
    <row r="7915">
      <c r="A7915" t="n">
        <v>14190828</v>
      </c>
      <c r="B7915" t="n">
        <v>51458</v>
      </c>
      <c r="C7915" t="inlineStr">
        <is>
          <t>1419/08/28</t>
        </is>
      </c>
    </row>
    <row r="7916">
      <c r="A7916" t="n">
        <v>14190829</v>
      </c>
      <c r="B7916" t="n">
        <v>51459</v>
      </c>
      <c r="C7916" t="inlineStr">
        <is>
          <t>1419/08/29</t>
        </is>
      </c>
    </row>
    <row r="7917">
      <c r="A7917" t="n">
        <v>14190830</v>
      </c>
      <c r="B7917" t="n">
        <v>51460</v>
      </c>
      <c r="C7917" t="inlineStr">
        <is>
          <t>1419/08/30</t>
        </is>
      </c>
    </row>
    <row r="7918">
      <c r="A7918" t="n">
        <v>14190901</v>
      </c>
      <c r="B7918" t="n">
        <v>51461</v>
      </c>
      <c r="C7918" t="inlineStr">
        <is>
          <t>1419/09/01</t>
        </is>
      </c>
    </row>
    <row r="7919">
      <c r="A7919" t="n">
        <v>14190902</v>
      </c>
      <c r="B7919" t="n">
        <v>51462</v>
      </c>
      <c r="C7919" t="inlineStr">
        <is>
          <t>1419/09/02</t>
        </is>
      </c>
    </row>
    <row r="7920">
      <c r="A7920" t="n">
        <v>14190903</v>
      </c>
      <c r="B7920" t="n">
        <v>51463</v>
      </c>
      <c r="C7920" t="inlineStr">
        <is>
          <t>1419/09/03</t>
        </is>
      </c>
    </row>
    <row r="7921">
      <c r="A7921" t="n">
        <v>14190904</v>
      </c>
      <c r="B7921" t="n">
        <v>51464</v>
      </c>
      <c r="C7921" t="inlineStr">
        <is>
          <t>1419/09/04</t>
        </is>
      </c>
    </row>
    <row r="7922">
      <c r="A7922" t="n">
        <v>14190905</v>
      </c>
      <c r="B7922" t="n">
        <v>51465</v>
      </c>
      <c r="C7922" t="inlineStr">
        <is>
          <t>1419/09/05</t>
        </is>
      </c>
    </row>
    <row r="7923">
      <c r="A7923" t="n">
        <v>14190906</v>
      </c>
      <c r="B7923" t="n">
        <v>51466</v>
      </c>
      <c r="C7923" t="inlineStr">
        <is>
          <t>1419/09/06</t>
        </is>
      </c>
    </row>
    <row r="7924">
      <c r="A7924" t="n">
        <v>14190907</v>
      </c>
      <c r="B7924" t="n">
        <v>51467</v>
      </c>
      <c r="C7924" t="inlineStr">
        <is>
          <t>1419/09/07</t>
        </is>
      </c>
    </row>
    <row r="7925">
      <c r="A7925" t="n">
        <v>14190908</v>
      </c>
      <c r="B7925" t="n">
        <v>51468</v>
      </c>
      <c r="C7925" t="inlineStr">
        <is>
          <t>1419/09/08</t>
        </is>
      </c>
    </row>
    <row r="7926">
      <c r="A7926" t="n">
        <v>14190909</v>
      </c>
      <c r="B7926" t="n">
        <v>51469</v>
      </c>
      <c r="C7926" t="inlineStr">
        <is>
          <t>1419/09/09</t>
        </is>
      </c>
    </row>
    <row r="7927">
      <c r="A7927" t="n">
        <v>14190910</v>
      </c>
      <c r="B7927" t="n">
        <v>51470</v>
      </c>
      <c r="C7927" t="inlineStr">
        <is>
          <t>1419/09/10</t>
        </is>
      </c>
    </row>
    <row r="7928">
      <c r="A7928" t="n">
        <v>14190911</v>
      </c>
      <c r="B7928" t="n">
        <v>51471</v>
      </c>
      <c r="C7928" t="inlineStr">
        <is>
          <t>1419/09/11</t>
        </is>
      </c>
    </row>
    <row r="7929">
      <c r="A7929" t="n">
        <v>14190912</v>
      </c>
      <c r="B7929" t="n">
        <v>51472</v>
      </c>
      <c r="C7929" t="inlineStr">
        <is>
          <t>1419/09/12</t>
        </is>
      </c>
    </row>
    <row r="7930">
      <c r="A7930" t="n">
        <v>14190913</v>
      </c>
      <c r="B7930" t="n">
        <v>51473</v>
      </c>
      <c r="C7930" t="inlineStr">
        <is>
          <t>1419/09/13</t>
        </is>
      </c>
    </row>
    <row r="7931">
      <c r="A7931" t="n">
        <v>14190914</v>
      </c>
      <c r="B7931" t="n">
        <v>51474</v>
      </c>
      <c r="C7931" t="inlineStr">
        <is>
          <t>1419/09/14</t>
        </is>
      </c>
    </row>
    <row r="7932">
      <c r="A7932" t="n">
        <v>14190915</v>
      </c>
      <c r="B7932" t="n">
        <v>51475</v>
      </c>
      <c r="C7932" t="inlineStr">
        <is>
          <t>1419/09/15</t>
        </is>
      </c>
    </row>
    <row r="7933">
      <c r="A7933" t="n">
        <v>14190916</v>
      </c>
      <c r="B7933" t="n">
        <v>51476</v>
      </c>
      <c r="C7933" t="inlineStr">
        <is>
          <t>1419/09/16</t>
        </is>
      </c>
    </row>
    <row r="7934">
      <c r="A7934" t="n">
        <v>14190917</v>
      </c>
      <c r="B7934" t="n">
        <v>51477</v>
      </c>
      <c r="C7934" t="inlineStr">
        <is>
          <t>1419/09/17</t>
        </is>
      </c>
    </row>
    <row r="7935">
      <c r="A7935" t="n">
        <v>14190918</v>
      </c>
      <c r="B7935" t="n">
        <v>51478</v>
      </c>
      <c r="C7935" t="inlineStr">
        <is>
          <t>1419/09/18</t>
        </is>
      </c>
    </row>
    <row r="7936">
      <c r="A7936" t="n">
        <v>14190919</v>
      </c>
      <c r="B7936" t="n">
        <v>51479</v>
      </c>
      <c r="C7936" t="inlineStr">
        <is>
          <t>1419/09/19</t>
        </is>
      </c>
    </row>
    <row r="7937">
      <c r="A7937" t="n">
        <v>14190920</v>
      </c>
      <c r="B7937" t="n">
        <v>51480</v>
      </c>
      <c r="C7937" t="inlineStr">
        <is>
          <t>1419/09/20</t>
        </is>
      </c>
    </row>
    <row r="7938">
      <c r="A7938" t="n">
        <v>14190921</v>
      </c>
      <c r="B7938" t="n">
        <v>51481</v>
      </c>
      <c r="C7938" t="inlineStr">
        <is>
          <t>1419/09/21</t>
        </is>
      </c>
    </row>
    <row r="7939">
      <c r="A7939" t="n">
        <v>14190922</v>
      </c>
      <c r="B7939" t="n">
        <v>51482</v>
      </c>
      <c r="C7939" t="inlineStr">
        <is>
          <t>1419/09/22</t>
        </is>
      </c>
    </row>
    <row r="7940">
      <c r="A7940" t="n">
        <v>14190923</v>
      </c>
      <c r="B7940" t="n">
        <v>51483</v>
      </c>
      <c r="C7940" t="inlineStr">
        <is>
          <t>1419/09/23</t>
        </is>
      </c>
    </row>
    <row r="7941">
      <c r="A7941" t="n">
        <v>14190924</v>
      </c>
      <c r="B7941" t="n">
        <v>51484</v>
      </c>
      <c r="C7941" t="inlineStr">
        <is>
          <t>1419/09/24</t>
        </is>
      </c>
    </row>
    <row r="7942">
      <c r="A7942" t="n">
        <v>14190925</v>
      </c>
      <c r="B7942" t="n">
        <v>51485</v>
      </c>
      <c r="C7942" t="inlineStr">
        <is>
          <t>1419/09/25</t>
        </is>
      </c>
    </row>
    <row r="7943">
      <c r="A7943" t="n">
        <v>14190926</v>
      </c>
      <c r="B7943" t="n">
        <v>51486</v>
      </c>
      <c r="C7943" t="inlineStr">
        <is>
          <t>1419/09/26</t>
        </is>
      </c>
    </row>
    <row r="7944">
      <c r="A7944" t="n">
        <v>14190927</v>
      </c>
      <c r="B7944" t="n">
        <v>51487</v>
      </c>
      <c r="C7944" t="inlineStr">
        <is>
          <t>1419/09/27</t>
        </is>
      </c>
    </row>
    <row r="7945">
      <c r="A7945" t="n">
        <v>14190928</v>
      </c>
      <c r="B7945" t="n">
        <v>51488</v>
      </c>
      <c r="C7945" t="inlineStr">
        <is>
          <t>1419/09/28</t>
        </is>
      </c>
    </row>
    <row r="7946">
      <c r="A7946" t="n">
        <v>14190929</v>
      </c>
      <c r="B7946" t="n">
        <v>51489</v>
      </c>
      <c r="C7946" t="inlineStr">
        <is>
          <t>1419/09/29</t>
        </is>
      </c>
    </row>
    <row r="7947">
      <c r="A7947" t="n">
        <v>14190930</v>
      </c>
      <c r="B7947" t="n">
        <v>51490</v>
      </c>
      <c r="C7947" t="inlineStr">
        <is>
          <t>1419/09/30</t>
        </is>
      </c>
    </row>
    <row r="7948">
      <c r="A7948" t="n">
        <v>14191001</v>
      </c>
      <c r="B7948" t="n">
        <v>51491</v>
      </c>
      <c r="C7948" t="inlineStr">
        <is>
          <t>1419/10/01</t>
        </is>
      </c>
    </row>
    <row r="7949">
      <c r="A7949" t="n">
        <v>14191002</v>
      </c>
      <c r="B7949" t="n">
        <v>51492</v>
      </c>
      <c r="C7949" t="inlineStr">
        <is>
          <t>1419/10/02</t>
        </is>
      </c>
    </row>
    <row r="7950">
      <c r="A7950" t="n">
        <v>14191003</v>
      </c>
      <c r="B7950" t="n">
        <v>51493</v>
      </c>
      <c r="C7950" t="inlineStr">
        <is>
          <t>1419/10/03</t>
        </is>
      </c>
    </row>
    <row r="7951">
      <c r="A7951" t="n">
        <v>14191004</v>
      </c>
      <c r="B7951" t="n">
        <v>51494</v>
      </c>
      <c r="C7951" t="inlineStr">
        <is>
          <t>1419/10/04</t>
        </is>
      </c>
    </row>
    <row r="7952">
      <c r="A7952" t="n">
        <v>14191005</v>
      </c>
      <c r="B7952" t="n">
        <v>51495</v>
      </c>
      <c r="C7952" t="inlineStr">
        <is>
          <t>1419/10/05</t>
        </is>
      </c>
    </row>
    <row r="7953">
      <c r="A7953" t="n">
        <v>14191006</v>
      </c>
      <c r="B7953" t="n">
        <v>51496</v>
      </c>
      <c r="C7953" t="inlineStr">
        <is>
          <t>1419/10/06</t>
        </is>
      </c>
    </row>
    <row r="7954">
      <c r="A7954" t="n">
        <v>14191007</v>
      </c>
      <c r="B7954" t="n">
        <v>51497</v>
      </c>
      <c r="C7954" t="inlineStr">
        <is>
          <t>1419/10/07</t>
        </is>
      </c>
    </row>
    <row r="7955">
      <c r="A7955" t="n">
        <v>14191008</v>
      </c>
      <c r="B7955" t="n">
        <v>51498</v>
      </c>
      <c r="C7955" t="inlineStr">
        <is>
          <t>1419/10/08</t>
        </is>
      </c>
    </row>
    <row r="7956">
      <c r="A7956" t="n">
        <v>14191009</v>
      </c>
      <c r="B7956" t="n">
        <v>51499</v>
      </c>
      <c r="C7956" t="inlineStr">
        <is>
          <t>1419/10/09</t>
        </is>
      </c>
    </row>
    <row r="7957">
      <c r="A7957" t="n">
        <v>14191010</v>
      </c>
      <c r="B7957" t="n">
        <v>51500</v>
      </c>
      <c r="C7957" t="inlineStr">
        <is>
          <t>1419/10/10</t>
        </is>
      </c>
    </row>
    <row r="7958">
      <c r="A7958" t="n">
        <v>14191011</v>
      </c>
      <c r="B7958" t="n">
        <v>51501</v>
      </c>
      <c r="C7958" t="inlineStr">
        <is>
          <t>1419/10/11</t>
        </is>
      </c>
    </row>
    <row r="7959">
      <c r="A7959" t="n">
        <v>14191012</v>
      </c>
      <c r="B7959" t="n">
        <v>51502</v>
      </c>
      <c r="C7959" t="inlineStr">
        <is>
          <t>1419/10/12</t>
        </is>
      </c>
    </row>
    <row r="7960">
      <c r="A7960" t="n">
        <v>14191013</v>
      </c>
      <c r="B7960" t="n">
        <v>51503</v>
      </c>
      <c r="C7960" t="inlineStr">
        <is>
          <t>1419/10/13</t>
        </is>
      </c>
    </row>
    <row r="7961">
      <c r="A7961" t="n">
        <v>14191014</v>
      </c>
      <c r="B7961" t="n">
        <v>51504</v>
      </c>
      <c r="C7961" t="inlineStr">
        <is>
          <t>1419/10/14</t>
        </is>
      </c>
    </row>
    <row r="7962">
      <c r="A7962" t="n">
        <v>14191015</v>
      </c>
      <c r="B7962" t="n">
        <v>51505</v>
      </c>
      <c r="C7962" t="inlineStr">
        <is>
          <t>1419/10/15</t>
        </is>
      </c>
    </row>
    <row r="7963">
      <c r="A7963" t="n">
        <v>14191016</v>
      </c>
      <c r="B7963" t="n">
        <v>51506</v>
      </c>
      <c r="C7963" t="inlineStr">
        <is>
          <t>1419/10/16</t>
        </is>
      </c>
    </row>
    <row r="7964">
      <c r="A7964" t="n">
        <v>14191017</v>
      </c>
      <c r="B7964" t="n">
        <v>51507</v>
      </c>
      <c r="C7964" t="inlineStr">
        <is>
          <t>1419/10/17</t>
        </is>
      </c>
    </row>
    <row r="7965">
      <c r="A7965" t="n">
        <v>14191018</v>
      </c>
      <c r="B7965" t="n">
        <v>51508</v>
      </c>
      <c r="C7965" t="inlineStr">
        <is>
          <t>1419/10/18</t>
        </is>
      </c>
    </row>
    <row r="7966">
      <c r="A7966" t="n">
        <v>14191019</v>
      </c>
      <c r="B7966" t="n">
        <v>51509</v>
      </c>
      <c r="C7966" t="inlineStr">
        <is>
          <t>1419/10/19</t>
        </is>
      </c>
    </row>
    <row r="7967">
      <c r="A7967" t="n">
        <v>14191020</v>
      </c>
      <c r="B7967" t="n">
        <v>51510</v>
      </c>
      <c r="C7967" t="inlineStr">
        <is>
          <t>1419/10/20</t>
        </is>
      </c>
    </row>
    <row r="7968">
      <c r="A7968" t="n">
        <v>14191021</v>
      </c>
      <c r="B7968" t="n">
        <v>51511</v>
      </c>
      <c r="C7968" t="inlineStr">
        <is>
          <t>1419/10/21</t>
        </is>
      </c>
    </row>
    <row r="7969">
      <c r="A7969" t="n">
        <v>14191022</v>
      </c>
      <c r="B7969" t="n">
        <v>51512</v>
      </c>
      <c r="C7969" t="inlineStr">
        <is>
          <t>1419/10/22</t>
        </is>
      </c>
    </row>
    <row r="7970">
      <c r="A7970" t="n">
        <v>14191023</v>
      </c>
      <c r="B7970" t="n">
        <v>51513</v>
      </c>
      <c r="C7970" t="inlineStr">
        <is>
          <t>1419/10/23</t>
        </is>
      </c>
    </row>
    <row r="7971">
      <c r="A7971" t="n">
        <v>14191024</v>
      </c>
      <c r="B7971" t="n">
        <v>51514</v>
      </c>
      <c r="C7971" t="inlineStr">
        <is>
          <t>1419/10/24</t>
        </is>
      </c>
    </row>
    <row r="7972">
      <c r="A7972" t="n">
        <v>14191025</v>
      </c>
      <c r="B7972" t="n">
        <v>51515</v>
      </c>
      <c r="C7972" t="inlineStr">
        <is>
          <t>1419/10/25</t>
        </is>
      </c>
    </row>
    <row r="7973">
      <c r="A7973" t="n">
        <v>14191026</v>
      </c>
      <c r="B7973" t="n">
        <v>51516</v>
      </c>
      <c r="C7973" t="inlineStr">
        <is>
          <t>1419/10/26</t>
        </is>
      </c>
    </row>
    <row r="7974">
      <c r="A7974" t="n">
        <v>14191027</v>
      </c>
      <c r="B7974" t="n">
        <v>51517</v>
      </c>
      <c r="C7974" t="inlineStr">
        <is>
          <t>1419/10/27</t>
        </is>
      </c>
    </row>
    <row r="7975">
      <c r="A7975" t="n">
        <v>14191028</v>
      </c>
      <c r="B7975" t="n">
        <v>51518</v>
      </c>
      <c r="C7975" t="inlineStr">
        <is>
          <t>1419/10/28</t>
        </is>
      </c>
    </row>
    <row r="7976">
      <c r="A7976" t="n">
        <v>14191029</v>
      </c>
      <c r="B7976" t="n">
        <v>51519</v>
      </c>
      <c r="C7976" t="inlineStr">
        <is>
          <t>1419/10/29</t>
        </is>
      </c>
    </row>
    <row r="7977">
      <c r="A7977" t="n">
        <v>14191030</v>
      </c>
      <c r="B7977" t="n">
        <v>51520</v>
      </c>
      <c r="C7977" t="inlineStr">
        <is>
          <t>1419/10/30</t>
        </is>
      </c>
    </row>
    <row r="7978">
      <c r="A7978" t="n">
        <v>14191101</v>
      </c>
      <c r="B7978" t="n">
        <v>51521</v>
      </c>
      <c r="C7978" t="inlineStr">
        <is>
          <t>1419/11/01</t>
        </is>
      </c>
    </row>
    <row r="7979">
      <c r="A7979" t="n">
        <v>14191102</v>
      </c>
      <c r="B7979" t="n">
        <v>51522</v>
      </c>
      <c r="C7979" t="inlineStr">
        <is>
          <t>1419/11/02</t>
        </is>
      </c>
    </row>
    <row r="7980">
      <c r="A7980" t="n">
        <v>14191103</v>
      </c>
      <c r="B7980" t="n">
        <v>51523</v>
      </c>
      <c r="C7980" t="inlineStr">
        <is>
          <t>1419/11/03</t>
        </is>
      </c>
    </row>
    <row r="7981">
      <c r="A7981" t="n">
        <v>14191104</v>
      </c>
      <c r="B7981" t="n">
        <v>51524</v>
      </c>
      <c r="C7981" t="inlineStr">
        <is>
          <t>1419/11/04</t>
        </is>
      </c>
    </row>
    <row r="7982">
      <c r="A7982" t="n">
        <v>14191105</v>
      </c>
      <c r="B7982" t="n">
        <v>51525</v>
      </c>
      <c r="C7982" t="inlineStr">
        <is>
          <t>1419/11/05</t>
        </is>
      </c>
    </row>
    <row r="7983">
      <c r="A7983" t="n">
        <v>14191106</v>
      </c>
      <c r="B7983" t="n">
        <v>51526</v>
      </c>
      <c r="C7983" t="inlineStr">
        <is>
          <t>1419/11/06</t>
        </is>
      </c>
    </row>
    <row r="7984">
      <c r="A7984" t="n">
        <v>14191107</v>
      </c>
      <c r="B7984" t="n">
        <v>51527</v>
      </c>
      <c r="C7984" t="inlineStr">
        <is>
          <t>1419/11/07</t>
        </is>
      </c>
    </row>
    <row r="7985">
      <c r="A7985" t="n">
        <v>14191108</v>
      </c>
      <c r="B7985" t="n">
        <v>51528</v>
      </c>
      <c r="C7985" t="inlineStr">
        <is>
          <t>1419/11/08</t>
        </is>
      </c>
    </row>
    <row r="7986">
      <c r="A7986" t="n">
        <v>14191109</v>
      </c>
      <c r="B7986" t="n">
        <v>51529</v>
      </c>
      <c r="C7986" t="inlineStr">
        <is>
          <t>1419/11/09</t>
        </is>
      </c>
    </row>
    <row r="7987">
      <c r="A7987" t="n">
        <v>14191110</v>
      </c>
      <c r="B7987" t="n">
        <v>51530</v>
      </c>
      <c r="C7987" t="inlineStr">
        <is>
          <t>1419/11/10</t>
        </is>
      </c>
    </row>
    <row r="7988">
      <c r="A7988" t="n">
        <v>14191111</v>
      </c>
      <c r="B7988" t="n">
        <v>51531</v>
      </c>
      <c r="C7988" t="inlineStr">
        <is>
          <t>1419/11/11</t>
        </is>
      </c>
    </row>
    <row r="7989">
      <c r="A7989" t="n">
        <v>14191112</v>
      </c>
      <c r="B7989" t="n">
        <v>51532</v>
      </c>
      <c r="C7989" t="inlineStr">
        <is>
          <t>1419/11/12</t>
        </is>
      </c>
    </row>
    <row r="7990">
      <c r="A7990" t="n">
        <v>14191113</v>
      </c>
      <c r="B7990" t="n">
        <v>51533</v>
      </c>
      <c r="C7990" t="inlineStr">
        <is>
          <t>1419/11/13</t>
        </is>
      </c>
    </row>
    <row r="7991">
      <c r="A7991" t="n">
        <v>14191114</v>
      </c>
      <c r="B7991" t="n">
        <v>51534</v>
      </c>
      <c r="C7991" t="inlineStr">
        <is>
          <t>1419/11/14</t>
        </is>
      </c>
    </row>
    <row r="7992">
      <c r="A7992" t="n">
        <v>14191115</v>
      </c>
      <c r="B7992" t="n">
        <v>51535</v>
      </c>
      <c r="C7992" t="inlineStr">
        <is>
          <t>1419/11/15</t>
        </is>
      </c>
    </row>
    <row r="7993">
      <c r="A7993" t="n">
        <v>14191116</v>
      </c>
      <c r="B7993" t="n">
        <v>51536</v>
      </c>
      <c r="C7993" t="inlineStr">
        <is>
          <t>1419/11/16</t>
        </is>
      </c>
    </row>
    <row r="7994">
      <c r="A7994" t="n">
        <v>14191117</v>
      </c>
      <c r="B7994" t="n">
        <v>51537</v>
      </c>
      <c r="C7994" t="inlineStr">
        <is>
          <t>1419/11/17</t>
        </is>
      </c>
    </row>
    <row r="7995">
      <c r="A7995" t="n">
        <v>14191118</v>
      </c>
      <c r="B7995" t="n">
        <v>51538</v>
      </c>
      <c r="C7995" t="inlineStr">
        <is>
          <t>1419/11/18</t>
        </is>
      </c>
    </row>
    <row r="7996">
      <c r="A7996" t="n">
        <v>14191119</v>
      </c>
      <c r="B7996" t="n">
        <v>51539</v>
      </c>
      <c r="C7996" t="inlineStr">
        <is>
          <t>1419/11/19</t>
        </is>
      </c>
    </row>
    <row r="7997">
      <c r="A7997" t="n">
        <v>14191120</v>
      </c>
      <c r="B7997" t="n">
        <v>51540</v>
      </c>
      <c r="C7997" t="inlineStr">
        <is>
          <t>1419/11/20</t>
        </is>
      </c>
    </row>
    <row r="7998">
      <c r="A7998" t="n">
        <v>14191121</v>
      </c>
      <c r="B7998" t="n">
        <v>51541</v>
      </c>
      <c r="C7998" t="inlineStr">
        <is>
          <t>1419/11/21</t>
        </is>
      </c>
    </row>
    <row r="7999">
      <c r="A7999" t="n">
        <v>14191122</v>
      </c>
      <c r="B7999" t="n">
        <v>51542</v>
      </c>
      <c r="C7999" t="inlineStr">
        <is>
          <t>1419/11/22</t>
        </is>
      </c>
    </row>
    <row r="8000">
      <c r="A8000" t="n">
        <v>14191123</v>
      </c>
      <c r="B8000" t="n">
        <v>51543</v>
      </c>
      <c r="C8000" t="inlineStr">
        <is>
          <t>1419/11/23</t>
        </is>
      </c>
    </row>
    <row r="8001">
      <c r="A8001" t="n">
        <v>14191124</v>
      </c>
      <c r="B8001" t="n">
        <v>51544</v>
      </c>
      <c r="C8001" t="inlineStr">
        <is>
          <t>1419/11/24</t>
        </is>
      </c>
    </row>
    <row r="8002">
      <c r="A8002" t="n">
        <v>14191125</v>
      </c>
      <c r="B8002" t="n">
        <v>51545</v>
      </c>
      <c r="C8002" t="inlineStr">
        <is>
          <t>1419/11/25</t>
        </is>
      </c>
    </row>
    <row r="8003">
      <c r="A8003" t="n">
        <v>14191126</v>
      </c>
      <c r="B8003" t="n">
        <v>51546</v>
      </c>
      <c r="C8003" t="inlineStr">
        <is>
          <t>1419/11/26</t>
        </is>
      </c>
    </row>
    <row r="8004">
      <c r="A8004" t="n">
        <v>14191127</v>
      </c>
      <c r="B8004" t="n">
        <v>51547</v>
      </c>
      <c r="C8004" t="inlineStr">
        <is>
          <t>1419/11/27</t>
        </is>
      </c>
    </row>
    <row r="8005">
      <c r="A8005" t="n">
        <v>14191128</v>
      </c>
      <c r="B8005" t="n">
        <v>51548</v>
      </c>
      <c r="C8005" t="inlineStr">
        <is>
          <t>1419/11/28</t>
        </is>
      </c>
    </row>
    <row r="8006">
      <c r="A8006" t="n">
        <v>14191129</v>
      </c>
      <c r="B8006" t="n">
        <v>51549</v>
      </c>
      <c r="C8006" t="inlineStr">
        <is>
          <t>1419/11/29</t>
        </is>
      </c>
    </row>
    <row r="8007">
      <c r="A8007" t="n">
        <v>14191130</v>
      </c>
      <c r="B8007" t="n">
        <v>51550</v>
      </c>
      <c r="C8007" t="inlineStr">
        <is>
          <t>1419/11/30</t>
        </is>
      </c>
    </row>
    <row r="8008">
      <c r="A8008" t="n">
        <v>14191201</v>
      </c>
      <c r="B8008" t="n">
        <v>51551</v>
      </c>
      <c r="C8008" t="inlineStr">
        <is>
          <t>1419/12/01</t>
        </is>
      </c>
    </row>
    <row r="8009">
      <c r="A8009" t="n">
        <v>14191202</v>
      </c>
      <c r="B8009" t="n">
        <v>51552</v>
      </c>
      <c r="C8009" t="inlineStr">
        <is>
          <t>1419/12/02</t>
        </is>
      </c>
    </row>
    <row r="8010">
      <c r="A8010" t="n">
        <v>14191203</v>
      </c>
      <c r="B8010" t="n">
        <v>51553</v>
      </c>
      <c r="C8010" t="inlineStr">
        <is>
          <t>1419/12/03</t>
        </is>
      </c>
    </row>
    <row r="8011">
      <c r="A8011" t="n">
        <v>14191204</v>
      </c>
      <c r="B8011" t="n">
        <v>51554</v>
      </c>
      <c r="C8011" t="inlineStr">
        <is>
          <t>1419/12/04</t>
        </is>
      </c>
    </row>
    <row r="8012">
      <c r="A8012" t="n">
        <v>14191205</v>
      </c>
      <c r="B8012" t="n">
        <v>51555</v>
      </c>
      <c r="C8012" t="inlineStr">
        <is>
          <t>1419/12/05</t>
        </is>
      </c>
    </row>
    <row r="8013">
      <c r="A8013" t="n">
        <v>14191206</v>
      </c>
      <c r="B8013" t="n">
        <v>51556</v>
      </c>
      <c r="C8013" t="inlineStr">
        <is>
          <t>1419/12/06</t>
        </is>
      </c>
    </row>
    <row r="8014">
      <c r="A8014" t="n">
        <v>14191207</v>
      </c>
      <c r="B8014" t="n">
        <v>51557</v>
      </c>
      <c r="C8014" t="inlineStr">
        <is>
          <t>1419/12/07</t>
        </is>
      </c>
    </row>
    <row r="8015">
      <c r="A8015" t="n">
        <v>14191208</v>
      </c>
      <c r="B8015" t="n">
        <v>51558</v>
      </c>
      <c r="C8015" t="inlineStr">
        <is>
          <t>1419/12/08</t>
        </is>
      </c>
    </row>
    <row r="8016">
      <c r="A8016" t="n">
        <v>14191209</v>
      </c>
      <c r="B8016" t="n">
        <v>51559</v>
      </c>
      <c r="C8016" t="inlineStr">
        <is>
          <t>1419/12/09</t>
        </is>
      </c>
    </row>
    <row r="8017">
      <c r="A8017" t="n">
        <v>14191210</v>
      </c>
      <c r="B8017" t="n">
        <v>51560</v>
      </c>
      <c r="C8017" t="inlineStr">
        <is>
          <t>1419/12/10</t>
        </is>
      </c>
    </row>
    <row r="8018">
      <c r="A8018" t="n">
        <v>14191211</v>
      </c>
      <c r="B8018" t="n">
        <v>51561</v>
      </c>
      <c r="C8018" t="inlineStr">
        <is>
          <t>1419/12/11</t>
        </is>
      </c>
    </row>
    <row r="8019">
      <c r="A8019" t="n">
        <v>14191212</v>
      </c>
      <c r="B8019" t="n">
        <v>51562</v>
      </c>
      <c r="C8019" t="inlineStr">
        <is>
          <t>1419/12/12</t>
        </is>
      </c>
    </row>
    <row r="8020">
      <c r="A8020" t="n">
        <v>14191213</v>
      </c>
      <c r="B8020" t="n">
        <v>51563</v>
      </c>
      <c r="C8020" t="inlineStr">
        <is>
          <t>1419/12/13</t>
        </is>
      </c>
    </row>
    <row r="8021">
      <c r="A8021" t="n">
        <v>14191214</v>
      </c>
      <c r="B8021" t="n">
        <v>51564</v>
      </c>
      <c r="C8021" t="inlineStr">
        <is>
          <t>1419/12/14</t>
        </is>
      </c>
    </row>
    <row r="8022">
      <c r="A8022" t="n">
        <v>14191215</v>
      </c>
      <c r="B8022" t="n">
        <v>51565</v>
      </c>
      <c r="C8022" t="inlineStr">
        <is>
          <t>1419/12/15</t>
        </is>
      </c>
    </row>
    <row r="8023">
      <c r="A8023" t="n">
        <v>14191216</v>
      </c>
      <c r="B8023" t="n">
        <v>51566</v>
      </c>
      <c r="C8023" t="inlineStr">
        <is>
          <t>1419/12/16</t>
        </is>
      </c>
    </row>
    <row r="8024">
      <c r="A8024" t="n">
        <v>14191217</v>
      </c>
      <c r="B8024" t="n">
        <v>51567</v>
      </c>
      <c r="C8024" t="inlineStr">
        <is>
          <t>1419/12/17</t>
        </is>
      </c>
    </row>
    <row r="8025">
      <c r="A8025" t="n">
        <v>14191218</v>
      </c>
      <c r="B8025" t="n">
        <v>51568</v>
      </c>
      <c r="C8025" t="inlineStr">
        <is>
          <t>1419/12/18</t>
        </is>
      </c>
    </row>
    <row r="8026">
      <c r="A8026" t="n">
        <v>14191219</v>
      </c>
      <c r="B8026" t="n">
        <v>51569</v>
      </c>
      <c r="C8026" t="inlineStr">
        <is>
          <t>1419/12/19</t>
        </is>
      </c>
    </row>
    <row r="8027">
      <c r="A8027" t="n">
        <v>14191220</v>
      </c>
      <c r="B8027" t="n">
        <v>51570</v>
      </c>
      <c r="C8027" t="inlineStr">
        <is>
          <t>1419/12/20</t>
        </is>
      </c>
    </row>
    <row r="8028">
      <c r="A8028" t="n">
        <v>14191221</v>
      </c>
      <c r="B8028" t="n">
        <v>51571</v>
      </c>
      <c r="C8028" t="inlineStr">
        <is>
          <t>1419/12/21</t>
        </is>
      </c>
    </row>
    <row r="8029">
      <c r="A8029" t="n">
        <v>14191222</v>
      </c>
      <c r="B8029" t="n">
        <v>51572</v>
      </c>
      <c r="C8029" t="inlineStr">
        <is>
          <t>1419/12/22</t>
        </is>
      </c>
    </row>
    <row r="8030">
      <c r="A8030" t="n">
        <v>14191223</v>
      </c>
      <c r="B8030" t="n">
        <v>51573</v>
      </c>
      <c r="C8030" t="inlineStr">
        <is>
          <t>1419/12/23</t>
        </is>
      </c>
    </row>
    <row r="8031">
      <c r="A8031" t="n">
        <v>14191224</v>
      </c>
      <c r="B8031" t="n">
        <v>51574</v>
      </c>
      <c r="C8031" t="inlineStr">
        <is>
          <t>1419/12/24</t>
        </is>
      </c>
    </row>
    <row r="8032">
      <c r="A8032" t="n">
        <v>14191225</v>
      </c>
      <c r="B8032" t="n">
        <v>51575</v>
      </c>
      <c r="C8032" t="inlineStr">
        <is>
          <t>1419/12/25</t>
        </is>
      </c>
    </row>
    <row r="8033">
      <c r="A8033" t="n">
        <v>14191226</v>
      </c>
      <c r="B8033" t="n">
        <v>51576</v>
      </c>
      <c r="C8033" t="inlineStr">
        <is>
          <t>1419/12/26</t>
        </is>
      </c>
    </row>
    <row r="8034">
      <c r="A8034" t="n">
        <v>14191227</v>
      </c>
      <c r="B8034" t="n">
        <v>51577</v>
      </c>
      <c r="C8034" t="inlineStr">
        <is>
          <t>1419/12/27</t>
        </is>
      </c>
    </row>
    <row r="8035">
      <c r="A8035" t="n">
        <v>14191228</v>
      </c>
      <c r="B8035" t="n">
        <v>51578</v>
      </c>
      <c r="C8035" t="inlineStr">
        <is>
          <t>1419/12/28</t>
        </is>
      </c>
    </row>
    <row r="8036">
      <c r="A8036" t="n">
        <v>14191229</v>
      </c>
      <c r="B8036" t="n">
        <v>51579</v>
      </c>
      <c r="C8036" t="inlineStr">
        <is>
          <t>1419/12/29</t>
        </is>
      </c>
    </row>
    <row r="8037">
      <c r="A8037" t="n">
        <v>14200101</v>
      </c>
      <c r="B8037" t="n">
        <v>51580</v>
      </c>
      <c r="C8037" t="inlineStr">
        <is>
          <t>1420/01/01</t>
        </is>
      </c>
    </row>
    <row r="8038">
      <c r="A8038" t="n">
        <v>14200102</v>
      </c>
      <c r="B8038" t="n">
        <v>51581</v>
      </c>
      <c r="C8038" t="inlineStr">
        <is>
          <t>1420/01/02</t>
        </is>
      </c>
    </row>
    <row r="8039">
      <c r="A8039" t="n">
        <v>14200103</v>
      </c>
      <c r="B8039" t="n">
        <v>51582</v>
      </c>
      <c r="C8039" t="inlineStr">
        <is>
          <t>1420/01/03</t>
        </is>
      </c>
    </row>
    <row r="8040">
      <c r="A8040" t="n">
        <v>14200104</v>
      </c>
      <c r="B8040" t="n">
        <v>51583</v>
      </c>
      <c r="C8040" t="inlineStr">
        <is>
          <t>1420/01/04</t>
        </is>
      </c>
    </row>
    <row r="8041">
      <c r="A8041" t="n">
        <v>14200105</v>
      </c>
      <c r="B8041" t="n">
        <v>51584</v>
      </c>
      <c r="C8041" t="inlineStr">
        <is>
          <t>1420/01/05</t>
        </is>
      </c>
    </row>
    <row r="8042">
      <c r="A8042" t="n">
        <v>14200106</v>
      </c>
      <c r="B8042" t="n">
        <v>51585</v>
      </c>
      <c r="C8042" t="inlineStr">
        <is>
          <t>1420/01/06</t>
        </is>
      </c>
    </row>
    <row r="8043">
      <c r="A8043" t="n">
        <v>14200107</v>
      </c>
      <c r="B8043" t="n">
        <v>51586</v>
      </c>
      <c r="C8043" t="inlineStr">
        <is>
          <t>1420/01/07</t>
        </is>
      </c>
    </row>
    <row r="8044">
      <c r="A8044" t="n">
        <v>14200108</v>
      </c>
      <c r="B8044" t="n">
        <v>51587</v>
      </c>
      <c r="C8044" t="inlineStr">
        <is>
          <t>1420/01/08</t>
        </is>
      </c>
    </row>
    <row r="8045">
      <c r="A8045" t="n">
        <v>14200109</v>
      </c>
      <c r="B8045" t="n">
        <v>51588</v>
      </c>
      <c r="C8045" t="inlineStr">
        <is>
          <t>1420/01/09</t>
        </is>
      </c>
    </row>
    <row r="8046">
      <c r="A8046" t="n">
        <v>14200110</v>
      </c>
      <c r="B8046" t="n">
        <v>51589</v>
      </c>
      <c r="C8046" t="inlineStr">
        <is>
          <t>1420/01/10</t>
        </is>
      </c>
    </row>
    <row r="8047">
      <c r="A8047" t="n">
        <v>14200111</v>
      </c>
      <c r="B8047" t="n">
        <v>51590</v>
      </c>
      <c r="C8047" t="inlineStr">
        <is>
          <t>1420/01/11</t>
        </is>
      </c>
    </row>
    <row r="8048">
      <c r="A8048" t="n">
        <v>14200112</v>
      </c>
      <c r="B8048" t="n">
        <v>51591</v>
      </c>
      <c r="C8048" t="inlineStr">
        <is>
          <t>1420/01/12</t>
        </is>
      </c>
    </row>
    <row r="8049">
      <c r="A8049" t="n">
        <v>14200113</v>
      </c>
      <c r="B8049" t="n">
        <v>51592</v>
      </c>
      <c r="C8049" t="inlineStr">
        <is>
          <t>1420/01/13</t>
        </is>
      </c>
    </row>
    <row r="8050">
      <c r="A8050" t="n">
        <v>14200114</v>
      </c>
      <c r="B8050" t="n">
        <v>51593</v>
      </c>
      <c r="C8050" t="inlineStr">
        <is>
          <t>1420/01/14</t>
        </is>
      </c>
    </row>
    <row r="8051">
      <c r="A8051" t="n">
        <v>14200115</v>
      </c>
      <c r="B8051" t="n">
        <v>51594</v>
      </c>
      <c r="C8051" t="inlineStr">
        <is>
          <t>1420/01/15</t>
        </is>
      </c>
    </row>
    <row r="8052">
      <c r="A8052" t="n">
        <v>14200116</v>
      </c>
      <c r="B8052" t="n">
        <v>51595</v>
      </c>
      <c r="C8052" t="inlineStr">
        <is>
          <t>1420/01/16</t>
        </is>
      </c>
    </row>
    <row r="8053">
      <c r="A8053" t="n">
        <v>14200117</v>
      </c>
      <c r="B8053" t="n">
        <v>51596</v>
      </c>
      <c r="C8053" t="inlineStr">
        <is>
          <t>1420/01/17</t>
        </is>
      </c>
    </row>
    <row r="8054">
      <c r="A8054" t="n">
        <v>14200118</v>
      </c>
      <c r="B8054" t="n">
        <v>51597</v>
      </c>
      <c r="C8054" t="inlineStr">
        <is>
          <t>1420/01/18</t>
        </is>
      </c>
    </row>
    <row r="8055">
      <c r="A8055" t="n">
        <v>14200119</v>
      </c>
      <c r="B8055" t="n">
        <v>51598</v>
      </c>
      <c r="C8055" t="inlineStr">
        <is>
          <t>1420/01/19</t>
        </is>
      </c>
    </row>
    <row r="8056">
      <c r="A8056" t="n">
        <v>14200120</v>
      </c>
      <c r="B8056" t="n">
        <v>51599</v>
      </c>
      <c r="C8056" t="inlineStr">
        <is>
          <t>1420/01/20</t>
        </is>
      </c>
    </row>
    <row r="8057">
      <c r="A8057" t="n">
        <v>14200121</v>
      </c>
      <c r="B8057" t="n">
        <v>51600</v>
      </c>
      <c r="C8057" t="inlineStr">
        <is>
          <t>1420/01/21</t>
        </is>
      </c>
    </row>
    <row r="8058">
      <c r="A8058" t="n">
        <v>14200122</v>
      </c>
      <c r="B8058" t="n">
        <v>51601</v>
      </c>
      <c r="C8058" t="inlineStr">
        <is>
          <t>1420/01/22</t>
        </is>
      </c>
    </row>
    <row r="8059">
      <c r="A8059" t="n">
        <v>14200123</v>
      </c>
      <c r="B8059" t="n">
        <v>51602</v>
      </c>
      <c r="C8059" t="inlineStr">
        <is>
          <t>1420/01/23</t>
        </is>
      </c>
    </row>
    <row r="8060">
      <c r="A8060" t="n">
        <v>14200124</v>
      </c>
      <c r="B8060" t="n">
        <v>51603</v>
      </c>
      <c r="C8060" t="inlineStr">
        <is>
          <t>1420/01/24</t>
        </is>
      </c>
    </row>
    <row r="8061">
      <c r="A8061" t="n">
        <v>14200125</v>
      </c>
      <c r="B8061" t="n">
        <v>51604</v>
      </c>
      <c r="C8061" t="inlineStr">
        <is>
          <t>1420/01/25</t>
        </is>
      </c>
    </row>
    <row r="8062">
      <c r="A8062" t="n">
        <v>14200126</v>
      </c>
      <c r="B8062" t="n">
        <v>51605</v>
      </c>
      <c r="C8062" t="inlineStr">
        <is>
          <t>1420/01/26</t>
        </is>
      </c>
    </row>
    <row r="8063">
      <c r="A8063" t="n">
        <v>14200127</v>
      </c>
      <c r="B8063" t="n">
        <v>51606</v>
      </c>
      <c r="C8063" t="inlineStr">
        <is>
          <t>1420/01/27</t>
        </is>
      </c>
    </row>
    <row r="8064">
      <c r="A8064" t="n">
        <v>14200128</v>
      </c>
      <c r="B8064" t="n">
        <v>51607</v>
      </c>
      <c r="C8064" t="inlineStr">
        <is>
          <t>1420/01/28</t>
        </is>
      </c>
    </row>
    <row r="8065">
      <c r="A8065" t="n">
        <v>14200129</v>
      </c>
      <c r="B8065" t="n">
        <v>51608</v>
      </c>
      <c r="C8065" t="inlineStr">
        <is>
          <t>1420/01/29</t>
        </is>
      </c>
    </row>
    <row r="8066">
      <c r="A8066" t="n">
        <v>14200130</v>
      </c>
      <c r="B8066" t="n">
        <v>51609</v>
      </c>
      <c r="C8066" t="inlineStr">
        <is>
          <t>1420/01/30</t>
        </is>
      </c>
    </row>
    <row r="8067">
      <c r="A8067" t="n">
        <v>14200131</v>
      </c>
      <c r="B8067" t="n">
        <v>51610</v>
      </c>
      <c r="C8067" t="inlineStr">
        <is>
          <t>1420/01/31</t>
        </is>
      </c>
    </row>
    <row r="8068">
      <c r="A8068" t="n">
        <v>14200201</v>
      </c>
      <c r="B8068" t="n">
        <v>51611</v>
      </c>
      <c r="C8068" t="inlineStr">
        <is>
          <t>1420/02/01</t>
        </is>
      </c>
    </row>
    <row r="8069">
      <c r="A8069" t="n">
        <v>14200202</v>
      </c>
      <c r="B8069" t="n">
        <v>51612</v>
      </c>
      <c r="C8069" t="inlineStr">
        <is>
          <t>1420/02/02</t>
        </is>
      </c>
    </row>
    <row r="8070">
      <c r="A8070" t="n">
        <v>14200203</v>
      </c>
      <c r="B8070" t="n">
        <v>51613</v>
      </c>
      <c r="C8070" t="inlineStr">
        <is>
          <t>1420/02/03</t>
        </is>
      </c>
    </row>
    <row r="8071">
      <c r="A8071" t="n">
        <v>14200204</v>
      </c>
      <c r="B8071" t="n">
        <v>51614</v>
      </c>
      <c r="C8071" t="inlineStr">
        <is>
          <t>1420/02/04</t>
        </is>
      </c>
    </row>
    <row r="8072">
      <c r="A8072" t="n">
        <v>14200205</v>
      </c>
      <c r="B8072" t="n">
        <v>51615</v>
      </c>
      <c r="C8072" t="inlineStr">
        <is>
          <t>1420/02/05</t>
        </is>
      </c>
    </row>
    <row r="8073">
      <c r="A8073" t="n">
        <v>14200206</v>
      </c>
      <c r="B8073" t="n">
        <v>51616</v>
      </c>
      <c r="C8073" t="inlineStr">
        <is>
          <t>1420/02/06</t>
        </is>
      </c>
    </row>
    <row r="8074">
      <c r="A8074" t="n">
        <v>14200207</v>
      </c>
      <c r="B8074" t="n">
        <v>51617</v>
      </c>
      <c r="C8074" t="inlineStr">
        <is>
          <t>1420/02/07</t>
        </is>
      </c>
    </row>
    <row r="8075">
      <c r="A8075" t="n">
        <v>14200208</v>
      </c>
      <c r="B8075" t="n">
        <v>51618</v>
      </c>
      <c r="C8075" t="inlineStr">
        <is>
          <t>1420/02/08</t>
        </is>
      </c>
    </row>
    <row r="8076">
      <c r="A8076" t="n">
        <v>14200209</v>
      </c>
      <c r="B8076" t="n">
        <v>51619</v>
      </c>
      <c r="C8076" t="inlineStr">
        <is>
          <t>1420/02/09</t>
        </is>
      </c>
    </row>
    <row r="8077">
      <c r="A8077" t="n">
        <v>14200210</v>
      </c>
      <c r="B8077" t="n">
        <v>51620</v>
      </c>
      <c r="C8077" t="inlineStr">
        <is>
          <t>1420/02/10</t>
        </is>
      </c>
    </row>
    <row r="8078">
      <c r="A8078" t="n">
        <v>14200211</v>
      </c>
      <c r="B8078" t="n">
        <v>51621</v>
      </c>
      <c r="C8078" t="inlineStr">
        <is>
          <t>1420/02/11</t>
        </is>
      </c>
    </row>
    <row r="8079">
      <c r="A8079" t="n">
        <v>14200212</v>
      </c>
      <c r="B8079" t="n">
        <v>51622</v>
      </c>
      <c r="C8079" t="inlineStr">
        <is>
          <t>1420/02/12</t>
        </is>
      </c>
    </row>
    <row r="8080">
      <c r="A8080" t="n">
        <v>14200213</v>
      </c>
      <c r="B8080" t="n">
        <v>51623</v>
      </c>
      <c r="C8080" t="inlineStr">
        <is>
          <t>1420/02/13</t>
        </is>
      </c>
    </row>
    <row r="8081">
      <c r="A8081" t="n">
        <v>14200214</v>
      </c>
      <c r="B8081" t="n">
        <v>51624</v>
      </c>
      <c r="C8081" t="inlineStr">
        <is>
          <t>1420/02/14</t>
        </is>
      </c>
    </row>
    <row r="8082">
      <c r="A8082" t="n">
        <v>14200215</v>
      </c>
      <c r="B8082" t="n">
        <v>51625</v>
      </c>
      <c r="C8082" t="inlineStr">
        <is>
          <t>1420/02/15</t>
        </is>
      </c>
    </row>
    <row r="8083">
      <c r="A8083" t="n">
        <v>14200216</v>
      </c>
      <c r="B8083" t="n">
        <v>51626</v>
      </c>
      <c r="C8083" t="inlineStr">
        <is>
          <t>1420/02/16</t>
        </is>
      </c>
    </row>
    <row r="8084">
      <c r="A8084" t="n">
        <v>14200217</v>
      </c>
      <c r="B8084" t="n">
        <v>51627</v>
      </c>
      <c r="C8084" t="inlineStr">
        <is>
          <t>1420/02/17</t>
        </is>
      </c>
    </row>
    <row r="8085">
      <c r="A8085" t="n">
        <v>14200218</v>
      </c>
      <c r="B8085" t="n">
        <v>51628</v>
      </c>
      <c r="C8085" t="inlineStr">
        <is>
          <t>1420/02/18</t>
        </is>
      </c>
    </row>
    <row r="8086">
      <c r="A8086" t="n">
        <v>14200219</v>
      </c>
      <c r="B8086" t="n">
        <v>51629</v>
      </c>
      <c r="C8086" t="inlineStr">
        <is>
          <t>1420/02/19</t>
        </is>
      </c>
    </row>
    <row r="8087">
      <c r="A8087" t="n">
        <v>14200220</v>
      </c>
      <c r="B8087" t="n">
        <v>51630</v>
      </c>
      <c r="C8087" t="inlineStr">
        <is>
          <t>1420/02/20</t>
        </is>
      </c>
    </row>
    <row r="8088">
      <c r="A8088" t="n">
        <v>14200221</v>
      </c>
      <c r="B8088" t="n">
        <v>51631</v>
      </c>
      <c r="C8088" t="inlineStr">
        <is>
          <t>1420/02/21</t>
        </is>
      </c>
    </row>
    <row r="8089">
      <c r="A8089" t="n">
        <v>14200222</v>
      </c>
      <c r="B8089" t="n">
        <v>51632</v>
      </c>
      <c r="C8089" t="inlineStr">
        <is>
          <t>1420/02/22</t>
        </is>
      </c>
    </row>
    <row r="8090">
      <c r="A8090" t="n">
        <v>14200223</v>
      </c>
      <c r="B8090" t="n">
        <v>51633</v>
      </c>
      <c r="C8090" t="inlineStr">
        <is>
          <t>1420/02/23</t>
        </is>
      </c>
    </row>
    <row r="8091">
      <c r="A8091" t="n">
        <v>14200224</v>
      </c>
      <c r="B8091" t="n">
        <v>51634</v>
      </c>
      <c r="C8091" t="inlineStr">
        <is>
          <t>1420/02/24</t>
        </is>
      </c>
    </row>
    <row r="8092">
      <c r="A8092" t="n">
        <v>14200225</v>
      </c>
      <c r="B8092" t="n">
        <v>51635</v>
      </c>
      <c r="C8092" t="inlineStr">
        <is>
          <t>1420/02/25</t>
        </is>
      </c>
    </row>
    <row r="8093">
      <c r="A8093" t="n">
        <v>14200226</v>
      </c>
      <c r="B8093" t="n">
        <v>51636</v>
      </c>
      <c r="C8093" t="inlineStr">
        <is>
          <t>1420/02/26</t>
        </is>
      </c>
    </row>
    <row r="8094">
      <c r="A8094" t="n">
        <v>14200227</v>
      </c>
      <c r="B8094" t="n">
        <v>51637</v>
      </c>
      <c r="C8094" t="inlineStr">
        <is>
          <t>1420/02/27</t>
        </is>
      </c>
    </row>
    <row r="8095">
      <c r="A8095" t="n">
        <v>14200228</v>
      </c>
      <c r="B8095" t="n">
        <v>51638</v>
      </c>
      <c r="C8095" t="inlineStr">
        <is>
          <t>1420/02/28</t>
        </is>
      </c>
    </row>
    <row r="8096">
      <c r="A8096" t="n">
        <v>14200229</v>
      </c>
      <c r="B8096" t="n">
        <v>51639</v>
      </c>
      <c r="C8096" t="inlineStr">
        <is>
          <t>1420/02/29</t>
        </is>
      </c>
    </row>
    <row r="8097">
      <c r="A8097" t="n">
        <v>14200230</v>
      </c>
      <c r="B8097" t="n">
        <v>51640</v>
      </c>
      <c r="C8097" t="inlineStr">
        <is>
          <t>1420/02/30</t>
        </is>
      </c>
    </row>
    <row r="8098">
      <c r="A8098" t="n">
        <v>14200231</v>
      </c>
      <c r="B8098" t="n">
        <v>51641</v>
      </c>
      <c r="C8098" t="inlineStr">
        <is>
          <t>1420/02/31</t>
        </is>
      </c>
    </row>
    <row r="8099">
      <c r="A8099" t="n">
        <v>14200301</v>
      </c>
      <c r="B8099" t="n">
        <v>51642</v>
      </c>
      <c r="C8099" t="inlineStr">
        <is>
          <t>1420/03/01</t>
        </is>
      </c>
    </row>
    <row r="8100">
      <c r="A8100" t="n">
        <v>14200302</v>
      </c>
      <c r="B8100" t="n">
        <v>51643</v>
      </c>
      <c r="C8100" t="inlineStr">
        <is>
          <t>1420/03/02</t>
        </is>
      </c>
    </row>
    <row r="8101">
      <c r="A8101" t="n">
        <v>14200303</v>
      </c>
      <c r="B8101" t="n">
        <v>51644</v>
      </c>
      <c r="C8101" t="inlineStr">
        <is>
          <t>1420/03/03</t>
        </is>
      </c>
    </row>
    <row r="8102">
      <c r="A8102" t="n">
        <v>14200304</v>
      </c>
      <c r="B8102" t="n">
        <v>51645</v>
      </c>
      <c r="C8102" t="inlineStr">
        <is>
          <t>1420/03/04</t>
        </is>
      </c>
    </row>
    <row r="8103">
      <c r="A8103" t="n">
        <v>14200305</v>
      </c>
      <c r="B8103" t="n">
        <v>51646</v>
      </c>
      <c r="C8103" t="inlineStr">
        <is>
          <t>1420/03/05</t>
        </is>
      </c>
    </row>
    <row r="8104">
      <c r="A8104" t="n">
        <v>14200306</v>
      </c>
      <c r="B8104" t="n">
        <v>51647</v>
      </c>
      <c r="C8104" t="inlineStr">
        <is>
          <t>1420/03/06</t>
        </is>
      </c>
    </row>
    <row r="8105">
      <c r="A8105" t="n">
        <v>14200307</v>
      </c>
      <c r="B8105" t="n">
        <v>51648</v>
      </c>
      <c r="C8105" t="inlineStr">
        <is>
          <t>1420/03/07</t>
        </is>
      </c>
    </row>
    <row r="8106">
      <c r="A8106" t="n">
        <v>14200308</v>
      </c>
      <c r="B8106" t="n">
        <v>51649</v>
      </c>
      <c r="C8106" t="inlineStr">
        <is>
          <t>1420/03/08</t>
        </is>
      </c>
    </row>
    <row r="8107">
      <c r="A8107" t="n">
        <v>14200309</v>
      </c>
      <c r="B8107" t="n">
        <v>51650</v>
      </c>
      <c r="C8107" t="inlineStr">
        <is>
          <t>1420/03/09</t>
        </is>
      </c>
    </row>
    <row r="8108">
      <c r="A8108" t="n">
        <v>14200310</v>
      </c>
      <c r="B8108" t="n">
        <v>51651</v>
      </c>
      <c r="C8108" t="inlineStr">
        <is>
          <t>1420/03/10</t>
        </is>
      </c>
    </row>
    <row r="8109">
      <c r="A8109" t="n">
        <v>14200311</v>
      </c>
      <c r="B8109" t="n">
        <v>51652</v>
      </c>
      <c r="C8109" t="inlineStr">
        <is>
          <t>1420/03/11</t>
        </is>
      </c>
    </row>
    <row r="8110">
      <c r="A8110" t="n">
        <v>14200312</v>
      </c>
      <c r="B8110" t="n">
        <v>51653</v>
      </c>
      <c r="C8110" t="inlineStr">
        <is>
          <t>1420/03/12</t>
        </is>
      </c>
    </row>
    <row r="8111">
      <c r="A8111" t="n">
        <v>14200313</v>
      </c>
      <c r="B8111" t="n">
        <v>51654</v>
      </c>
      <c r="C8111" t="inlineStr">
        <is>
          <t>1420/03/13</t>
        </is>
      </c>
    </row>
    <row r="8112">
      <c r="A8112" t="n">
        <v>14200314</v>
      </c>
      <c r="B8112" t="n">
        <v>51655</v>
      </c>
      <c r="C8112" t="inlineStr">
        <is>
          <t>1420/03/14</t>
        </is>
      </c>
    </row>
    <row r="8113">
      <c r="A8113" t="n">
        <v>14200315</v>
      </c>
      <c r="B8113" t="n">
        <v>51656</v>
      </c>
      <c r="C8113" t="inlineStr">
        <is>
          <t>1420/03/15</t>
        </is>
      </c>
    </row>
    <row r="8114">
      <c r="A8114" t="n">
        <v>14200316</v>
      </c>
      <c r="B8114" t="n">
        <v>51657</v>
      </c>
      <c r="C8114" t="inlineStr">
        <is>
          <t>1420/03/16</t>
        </is>
      </c>
    </row>
    <row r="8115">
      <c r="A8115" t="n">
        <v>14200317</v>
      </c>
      <c r="B8115" t="n">
        <v>51658</v>
      </c>
      <c r="C8115" t="inlineStr">
        <is>
          <t>1420/03/17</t>
        </is>
      </c>
    </row>
    <row r="8116">
      <c r="A8116" t="n">
        <v>14200318</v>
      </c>
      <c r="B8116" t="n">
        <v>51659</v>
      </c>
      <c r="C8116" t="inlineStr">
        <is>
          <t>1420/03/18</t>
        </is>
      </c>
    </row>
    <row r="8117">
      <c r="A8117" t="n">
        <v>14200319</v>
      </c>
      <c r="B8117" t="n">
        <v>51660</v>
      </c>
      <c r="C8117" t="inlineStr">
        <is>
          <t>1420/03/19</t>
        </is>
      </c>
    </row>
    <row r="8118">
      <c r="A8118" t="n">
        <v>14200320</v>
      </c>
      <c r="B8118" t="n">
        <v>51661</v>
      </c>
      <c r="C8118" t="inlineStr">
        <is>
          <t>1420/03/20</t>
        </is>
      </c>
    </row>
    <row r="8119">
      <c r="A8119" t="n">
        <v>14200321</v>
      </c>
      <c r="B8119" t="n">
        <v>51662</v>
      </c>
      <c r="C8119" t="inlineStr">
        <is>
          <t>1420/03/21</t>
        </is>
      </c>
    </row>
    <row r="8120">
      <c r="A8120" t="n">
        <v>14200322</v>
      </c>
      <c r="B8120" t="n">
        <v>51663</v>
      </c>
      <c r="C8120" t="inlineStr">
        <is>
          <t>1420/03/22</t>
        </is>
      </c>
    </row>
    <row r="8121">
      <c r="A8121" t="n">
        <v>14200323</v>
      </c>
      <c r="B8121" t="n">
        <v>51664</v>
      </c>
      <c r="C8121" t="inlineStr">
        <is>
          <t>1420/03/23</t>
        </is>
      </c>
    </row>
    <row r="8122">
      <c r="A8122" t="n">
        <v>14200324</v>
      </c>
      <c r="B8122" t="n">
        <v>51665</v>
      </c>
      <c r="C8122" t="inlineStr">
        <is>
          <t>1420/03/24</t>
        </is>
      </c>
    </row>
    <row r="8123">
      <c r="A8123" t="n">
        <v>14200325</v>
      </c>
      <c r="B8123" t="n">
        <v>51666</v>
      </c>
      <c r="C8123" t="inlineStr">
        <is>
          <t>1420/03/25</t>
        </is>
      </c>
    </row>
    <row r="8124">
      <c r="A8124" t="n">
        <v>14200326</v>
      </c>
      <c r="B8124" t="n">
        <v>51667</v>
      </c>
      <c r="C8124" t="inlineStr">
        <is>
          <t>1420/03/26</t>
        </is>
      </c>
    </row>
    <row r="8125">
      <c r="A8125" t="n">
        <v>14200327</v>
      </c>
      <c r="B8125" t="n">
        <v>51668</v>
      </c>
      <c r="C8125" t="inlineStr">
        <is>
          <t>1420/03/27</t>
        </is>
      </c>
    </row>
    <row r="8126">
      <c r="A8126" t="n">
        <v>14200328</v>
      </c>
      <c r="B8126" t="n">
        <v>51669</v>
      </c>
      <c r="C8126" t="inlineStr">
        <is>
          <t>1420/03/28</t>
        </is>
      </c>
    </row>
    <row r="8127">
      <c r="A8127" t="n">
        <v>14200329</v>
      </c>
      <c r="B8127" t="n">
        <v>51670</v>
      </c>
      <c r="C8127" t="inlineStr">
        <is>
          <t>1420/03/29</t>
        </is>
      </c>
    </row>
    <row r="8128">
      <c r="A8128" t="n">
        <v>14200330</v>
      </c>
      <c r="B8128" t="n">
        <v>51671</v>
      </c>
      <c r="C8128" t="inlineStr">
        <is>
          <t>1420/03/30</t>
        </is>
      </c>
    </row>
    <row r="8129">
      <c r="A8129" t="n">
        <v>14200331</v>
      </c>
      <c r="B8129" t="n">
        <v>51672</v>
      </c>
      <c r="C8129" t="inlineStr">
        <is>
          <t>1420/03/31</t>
        </is>
      </c>
    </row>
    <row r="8130">
      <c r="A8130" t="n">
        <v>14200401</v>
      </c>
      <c r="B8130" t="n">
        <v>51673</v>
      </c>
      <c r="C8130" t="inlineStr">
        <is>
          <t>1420/04/01</t>
        </is>
      </c>
    </row>
    <row r="8131">
      <c r="A8131" t="n">
        <v>14200402</v>
      </c>
      <c r="B8131" t="n">
        <v>51674</v>
      </c>
      <c r="C8131" t="inlineStr">
        <is>
          <t>1420/04/02</t>
        </is>
      </c>
    </row>
    <row r="8132">
      <c r="A8132" t="n">
        <v>14200403</v>
      </c>
      <c r="B8132" t="n">
        <v>51675</v>
      </c>
      <c r="C8132" t="inlineStr">
        <is>
          <t>1420/04/03</t>
        </is>
      </c>
    </row>
    <row r="8133">
      <c r="A8133" t="n">
        <v>14200404</v>
      </c>
      <c r="B8133" t="n">
        <v>51676</v>
      </c>
      <c r="C8133" t="inlineStr">
        <is>
          <t>1420/04/04</t>
        </is>
      </c>
    </row>
    <row r="8134">
      <c r="A8134" t="n">
        <v>14200405</v>
      </c>
      <c r="B8134" t="n">
        <v>51677</v>
      </c>
      <c r="C8134" t="inlineStr">
        <is>
          <t>1420/04/05</t>
        </is>
      </c>
    </row>
    <row r="8135">
      <c r="A8135" t="n">
        <v>14200406</v>
      </c>
      <c r="B8135" t="n">
        <v>51678</v>
      </c>
      <c r="C8135" t="inlineStr">
        <is>
          <t>1420/04/06</t>
        </is>
      </c>
    </row>
    <row r="8136">
      <c r="A8136" t="n">
        <v>14200407</v>
      </c>
      <c r="B8136" t="n">
        <v>51679</v>
      </c>
      <c r="C8136" t="inlineStr">
        <is>
          <t>1420/04/07</t>
        </is>
      </c>
    </row>
    <row r="8137">
      <c r="A8137" t="n">
        <v>14200408</v>
      </c>
      <c r="B8137" t="n">
        <v>51680</v>
      </c>
      <c r="C8137" t="inlineStr">
        <is>
          <t>1420/04/08</t>
        </is>
      </c>
    </row>
    <row r="8138">
      <c r="A8138" t="n">
        <v>14200409</v>
      </c>
      <c r="B8138" t="n">
        <v>51681</v>
      </c>
      <c r="C8138" t="inlineStr">
        <is>
          <t>1420/04/09</t>
        </is>
      </c>
    </row>
    <row r="8139">
      <c r="A8139" t="n">
        <v>14200410</v>
      </c>
      <c r="B8139" t="n">
        <v>51682</v>
      </c>
      <c r="C8139" t="inlineStr">
        <is>
          <t>1420/04/10</t>
        </is>
      </c>
    </row>
    <row r="8140">
      <c r="A8140" t="n">
        <v>14200411</v>
      </c>
      <c r="B8140" t="n">
        <v>51683</v>
      </c>
      <c r="C8140" t="inlineStr">
        <is>
          <t>1420/04/11</t>
        </is>
      </c>
    </row>
    <row r="8141">
      <c r="A8141" t="n">
        <v>14200412</v>
      </c>
      <c r="B8141" t="n">
        <v>51684</v>
      </c>
      <c r="C8141" t="inlineStr">
        <is>
          <t>1420/04/12</t>
        </is>
      </c>
    </row>
    <row r="8142">
      <c r="A8142" t="n">
        <v>14200413</v>
      </c>
      <c r="B8142" t="n">
        <v>51685</v>
      </c>
      <c r="C8142" t="inlineStr">
        <is>
          <t>1420/04/13</t>
        </is>
      </c>
    </row>
    <row r="8143">
      <c r="A8143" t="n">
        <v>14200414</v>
      </c>
      <c r="B8143" t="n">
        <v>51686</v>
      </c>
      <c r="C8143" t="inlineStr">
        <is>
          <t>1420/04/14</t>
        </is>
      </c>
    </row>
    <row r="8144">
      <c r="A8144" t="n">
        <v>14200415</v>
      </c>
      <c r="B8144" t="n">
        <v>51687</v>
      </c>
      <c r="C8144" t="inlineStr">
        <is>
          <t>1420/04/15</t>
        </is>
      </c>
    </row>
    <row r="8145">
      <c r="A8145" t="n">
        <v>14200416</v>
      </c>
      <c r="B8145" t="n">
        <v>51688</v>
      </c>
      <c r="C8145" t="inlineStr">
        <is>
          <t>1420/04/16</t>
        </is>
      </c>
    </row>
    <row r="8146">
      <c r="A8146" t="n">
        <v>14200417</v>
      </c>
      <c r="B8146" t="n">
        <v>51689</v>
      </c>
      <c r="C8146" t="inlineStr">
        <is>
          <t>1420/04/17</t>
        </is>
      </c>
    </row>
    <row r="8147">
      <c r="A8147" t="n">
        <v>14200418</v>
      </c>
      <c r="B8147" t="n">
        <v>51690</v>
      </c>
      <c r="C8147" t="inlineStr">
        <is>
          <t>1420/04/18</t>
        </is>
      </c>
    </row>
    <row r="8148">
      <c r="A8148" t="n">
        <v>14200419</v>
      </c>
      <c r="B8148" t="n">
        <v>51691</v>
      </c>
      <c r="C8148" t="inlineStr">
        <is>
          <t>1420/04/19</t>
        </is>
      </c>
    </row>
    <row r="8149">
      <c r="A8149" t="n">
        <v>14200420</v>
      </c>
      <c r="B8149" t="n">
        <v>51692</v>
      </c>
      <c r="C8149" t="inlineStr">
        <is>
          <t>1420/04/20</t>
        </is>
      </c>
    </row>
    <row r="8150">
      <c r="A8150" t="n">
        <v>14200421</v>
      </c>
      <c r="B8150" t="n">
        <v>51693</v>
      </c>
      <c r="C8150" t="inlineStr">
        <is>
          <t>1420/04/21</t>
        </is>
      </c>
    </row>
    <row r="8151">
      <c r="A8151" t="n">
        <v>14200422</v>
      </c>
      <c r="B8151" t="n">
        <v>51694</v>
      </c>
      <c r="C8151" t="inlineStr">
        <is>
          <t>1420/04/22</t>
        </is>
      </c>
    </row>
    <row r="8152">
      <c r="A8152" t="n">
        <v>14200423</v>
      </c>
      <c r="B8152" t="n">
        <v>51695</v>
      </c>
      <c r="C8152" t="inlineStr">
        <is>
          <t>1420/04/23</t>
        </is>
      </c>
    </row>
    <row r="8153">
      <c r="A8153" t="n">
        <v>14200424</v>
      </c>
      <c r="B8153" t="n">
        <v>51696</v>
      </c>
      <c r="C8153" t="inlineStr">
        <is>
          <t>1420/04/24</t>
        </is>
      </c>
    </row>
    <row r="8154">
      <c r="A8154" t="n">
        <v>14200425</v>
      </c>
      <c r="B8154" t="n">
        <v>51697</v>
      </c>
      <c r="C8154" t="inlineStr">
        <is>
          <t>1420/04/25</t>
        </is>
      </c>
    </row>
    <row r="8155">
      <c r="A8155" t="n">
        <v>14200426</v>
      </c>
      <c r="B8155" t="n">
        <v>51698</v>
      </c>
      <c r="C8155" t="inlineStr">
        <is>
          <t>1420/04/26</t>
        </is>
      </c>
    </row>
    <row r="8156">
      <c r="A8156" t="n">
        <v>14200427</v>
      </c>
      <c r="B8156" t="n">
        <v>51699</v>
      </c>
      <c r="C8156" t="inlineStr">
        <is>
          <t>1420/04/27</t>
        </is>
      </c>
    </row>
    <row r="8157">
      <c r="A8157" t="n">
        <v>14200428</v>
      </c>
      <c r="B8157" t="n">
        <v>51700</v>
      </c>
      <c r="C8157" t="inlineStr">
        <is>
          <t>1420/04/28</t>
        </is>
      </c>
    </row>
    <row r="8158">
      <c r="A8158" t="n">
        <v>14200429</v>
      </c>
      <c r="B8158" t="n">
        <v>51701</v>
      </c>
      <c r="C8158" t="inlineStr">
        <is>
          <t>1420/04/29</t>
        </is>
      </c>
    </row>
    <row r="8159">
      <c r="A8159" t="n">
        <v>14200430</v>
      </c>
      <c r="B8159" t="n">
        <v>51702</v>
      </c>
      <c r="C8159" t="inlineStr">
        <is>
          <t>1420/04/30</t>
        </is>
      </c>
    </row>
    <row r="8160">
      <c r="A8160" t="n">
        <v>14200431</v>
      </c>
      <c r="B8160" t="n">
        <v>51703</v>
      </c>
      <c r="C8160" t="inlineStr">
        <is>
          <t>1420/04/31</t>
        </is>
      </c>
    </row>
    <row r="8161">
      <c r="A8161" t="n">
        <v>14200501</v>
      </c>
      <c r="B8161" t="n">
        <v>51704</v>
      </c>
      <c r="C8161" t="inlineStr">
        <is>
          <t>1420/05/01</t>
        </is>
      </c>
    </row>
    <row r="8162">
      <c r="A8162" t="n">
        <v>14200502</v>
      </c>
      <c r="B8162" t="n">
        <v>51705</v>
      </c>
      <c r="C8162" t="inlineStr">
        <is>
          <t>1420/05/02</t>
        </is>
      </c>
    </row>
    <row r="8163">
      <c r="A8163" t="n">
        <v>14200503</v>
      </c>
      <c r="B8163" t="n">
        <v>51706</v>
      </c>
      <c r="C8163" t="inlineStr">
        <is>
          <t>1420/05/03</t>
        </is>
      </c>
    </row>
    <row r="8164">
      <c r="A8164" t="n">
        <v>14200504</v>
      </c>
      <c r="B8164" t="n">
        <v>51707</v>
      </c>
      <c r="C8164" t="inlineStr">
        <is>
          <t>1420/05/04</t>
        </is>
      </c>
    </row>
    <row r="8165">
      <c r="A8165" t="n">
        <v>14200505</v>
      </c>
      <c r="B8165" t="n">
        <v>51708</v>
      </c>
      <c r="C8165" t="inlineStr">
        <is>
          <t>1420/05/05</t>
        </is>
      </c>
    </row>
    <row r="8166">
      <c r="A8166" t="n">
        <v>14200506</v>
      </c>
      <c r="B8166" t="n">
        <v>51709</v>
      </c>
      <c r="C8166" t="inlineStr">
        <is>
          <t>1420/05/06</t>
        </is>
      </c>
    </row>
    <row r="8167">
      <c r="A8167" t="n">
        <v>14200507</v>
      </c>
      <c r="B8167" t="n">
        <v>51710</v>
      </c>
      <c r="C8167" t="inlineStr">
        <is>
          <t>1420/05/07</t>
        </is>
      </c>
    </row>
    <row r="8168">
      <c r="A8168" t="n">
        <v>14200508</v>
      </c>
      <c r="B8168" t="n">
        <v>51711</v>
      </c>
      <c r="C8168" t="inlineStr">
        <is>
          <t>1420/05/08</t>
        </is>
      </c>
    </row>
    <row r="8169">
      <c r="A8169" t="n">
        <v>14200509</v>
      </c>
      <c r="B8169" t="n">
        <v>51712</v>
      </c>
      <c r="C8169" t="inlineStr">
        <is>
          <t>1420/05/09</t>
        </is>
      </c>
    </row>
    <row r="8170">
      <c r="A8170" t="n">
        <v>14200510</v>
      </c>
      <c r="B8170" t="n">
        <v>51713</v>
      </c>
      <c r="C8170" t="inlineStr">
        <is>
          <t>1420/05/10</t>
        </is>
      </c>
    </row>
    <row r="8171">
      <c r="A8171" t="n">
        <v>14200511</v>
      </c>
      <c r="B8171" t="n">
        <v>51714</v>
      </c>
      <c r="C8171" t="inlineStr">
        <is>
          <t>1420/05/11</t>
        </is>
      </c>
    </row>
    <row r="8172">
      <c r="A8172" t="n">
        <v>14200512</v>
      </c>
      <c r="B8172" t="n">
        <v>51715</v>
      </c>
      <c r="C8172" t="inlineStr">
        <is>
          <t>1420/05/12</t>
        </is>
      </c>
    </row>
    <row r="8173">
      <c r="A8173" t="n">
        <v>14200513</v>
      </c>
      <c r="B8173" t="n">
        <v>51716</v>
      </c>
      <c r="C8173" t="inlineStr">
        <is>
          <t>1420/05/13</t>
        </is>
      </c>
    </row>
    <row r="8174">
      <c r="A8174" t="n">
        <v>14200514</v>
      </c>
      <c r="B8174" t="n">
        <v>51717</v>
      </c>
      <c r="C8174" t="inlineStr">
        <is>
          <t>1420/05/14</t>
        </is>
      </c>
    </row>
    <row r="8175">
      <c r="A8175" t="n">
        <v>14200515</v>
      </c>
      <c r="B8175" t="n">
        <v>51718</v>
      </c>
      <c r="C8175" t="inlineStr">
        <is>
          <t>1420/05/15</t>
        </is>
      </c>
    </row>
    <row r="8176">
      <c r="A8176" t="n">
        <v>14200516</v>
      </c>
      <c r="B8176" t="n">
        <v>51719</v>
      </c>
      <c r="C8176" t="inlineStr">
        <is>
          <t>1420/05/16</t>
        </is>
      </c>
    </row>
    <row r="8177">
      <c r="A8177" t="n">
        <v>14200517</v>
      </c>
      <c r="B8177" t="n">
        <v>51720</v>
      </c>
      <c r="C8177" t="inlineStr">
        <is>
          <t>1420/05/17</t>
        </is>
      </c>
    </row>
    <row r="8178">
      <c r="A8178" t="n">
        <v>14200518</v>
      </c>
      <c r="B8178" t="n">
        <v>51721</v>
      </c>
      <c r="C8178" t="inlineStr">
        <is>
          <t>1420/05/18</t>
        </is>
      </c>
    </row>
    <row r="8179">
      <c r="A8179" t="n">
        <v>14200519</v>
      </c>
      <c r="B8179" t="n">
        <v>51722</v>
      </c>
      <c r="C8179" t="inlineStr">
        <is>
          <t>1420/05/19</t>
        </is>
      </c>
    </row>
    <row r="8180">
      <c r="A8180" t="n">
        <v>14200520</v>
      </c>
      <c r="B8180" t="n">
        <v>51723</v>
      </c>
      <c r="C8180" t="inlineStr">
        <is>
          <t>1420/05/20</t>
        </is>
      </c>
    </row>
    <row r="8181">
      <c r="A8181" t="n">
        <v>14200521</v>
      </c>
      <c r="B8181" t="n">
        <v>51724</v>
      </c>
      <c r="C8181" t="inlineStr">
        <is>
          <t>1420/05/21</t>
        </is>
      </c>
    </row>
    <row r="8182">
      <c r="A8182" t="n">
        <v>14200522</v>
      </c>
      <c r="B8182" t="n">
        <v>51725</v>
      </c>
      <c r="C8182" t="inlineStr">
        <is>
          <t>1420/05/22</t>
        </is>
      </c>
    </row>
    <row r="8183">
      <c r="A8183" t="n">
        <v>14200523</v>
      </c>
      <c r="B8183" t="n">
        <v>51726</v>
      </c>
      <c r="C8183" t="inlineStr">
        <is>
          <t>1420/05/23</t>
        </is>
      </c>
    </row>
    <row r="8184">
      <c r="A8184" t="n">
        <v>14200524</v>
      </c>
      <c r="B8184" t="n">
        <v>51727</v>
      </c>
      <c r="C8184" t="inlineStr">
        <is>
          <t>1420/05/24</t>
        </is>
      </c>
    </row>
    <row r="8185">
      <c r="A8185" t="n">
        <v>14200525</v>
      </c>
      <c r="B8185" t="n">
        <v>51728</v>
      </c>
      <c r="C8185" t="inlineStr">
        <is>
          <t>1420/05/25</t>
        </is>
      </c>
    </row>
    <row r="8186">
      <c r="A8186" t="n">
        <v>14200526</v>
      </c>
      <c r="B8186" t="n">
        <v>51729</v>
      </c>
      <c r="C8186" t="inlineStr">
        <is>
          <t>1420/05/26</t>
        </is>
      </c>
    </row>
    <row r="8187">
      <c r="A8187" t="n">
        <v>14200527</v>
      </c>
      <c r="B8187" t="n">
        <v>51730</v>
      </c>
      <c r="C8187" t="inlineStr">
        <is>
          <t>1420/05/27</t>
        </is>
      </c>
    </row>
    <row r="8188">
      <c r="A8188" t="n">
        <v>14200528</v>
      </c>
      <c r="B8188" t="n">
        <v>51731</v>
      </c>
      <c r="C8188" t="inlineStr">
        <is>
          <t>1420/05/28</t>
        </is>
      </c>
    </row>
    <row r="8189">
      <c r="A8189" t="n">
        <v>14200529</v>
      </c>
      <c r="B8189" t="n">
        <v>51732</v>
      </c>
      <c r="C8189" t="inlineStr">
        <is>
          <t>1420/05/29</t>
        </is>
      </c>
    </row>
    <row r="8190">
      <c r="A8190" t="n">
        <v>14200530</v>
      </c>
      <c r="B8190" t="n">
        <v>51733</v>
      </c>
      <c r="C8190" t="inlineStr">
        <is>
          <t>1420/05/30</t>
        </is>
      </c>
    </row>
    <row r="8191">
      <c r="A8191" t="n">
        <v>14200531</v>
      </c>
      <c r="B8191" t="n">
        <v>51734</v>
      </c>
      <c r="C8191" t="inlineStr">
        <is>
          <t>1420/05/31</t>
        </is>
      </c>
    </row>
    <row r="8192">
      <c r="A8192" t="n">
        <v>14200601</v>
      </c>
      <c r="B8192" t="n">
        <v>51735</v>
      </c>
      <c r="C8192" t="inlineStr">
        <is>
          <t>1420/06/01</t>
        </is>
      </c>
    </row>
    <row r="8193">
      <c r="A8193" t="n">
        <v>14200602</v>
      </c>
      <c r="B8193" t="n">
        <v>51736</v>
      </c>
      <c r="C8193" t="inlineStr">
        <is>
          <t>1420/06/02</t>
        </is>
      </c>
    </row>
    <row r="8194">
      <c r="A8194" t="n">
        <v>14200603</v>
      </c>
      <c r="B8194" t="n">
        <v>51737</v>
      </c>
      <c r="C8194" t="inlineStr">
        <is>
          <t>1420/06/03</t>
        </is>
      </c>
    </row>
    <row r="8195">
      <c r="A8195" t="n">
        <v>14200604</v>
      </c>
      <c r="B8195" t="n">
        <v>51738</v>
      </c>
      <c r="C8195" t="inlineStr">
        <is>
          <t>1420/06/04</t>
        </is>
      </c>
    </row>
    <row r="8196">
      <c r="A8196" t="n">
        <v>14200605</v>
      </c>
      <c r="B8196" t="n">
        <v>51739</v>
      </c>
      <c r="C8196" t="inlineStr">
        <is>
          <t>1420/06/05</t>
        </is>
      </c>
    </row>
    <row r="8197">
      <c r="A8197" t="n">
        <v>14200606</v>
      </c>
      <c r="B8197" t="n">
        <v>51740</v>
      </c>
      <c r="C8197" t="inlineStr">
        <is>
          <t>1420/06/06</t>
        </is>
      </c>
    </row>
    <row r="8198">
      <c r="A8198" t="n">
        <v>14200607</v>
      </c>
      <c r="B8198" t="n">
        <v>51741</v>
      </c>
      <c r="C8198" t="inlineStr">
        <is>
          <t>1420/06/07</t>
        </is>
      </c>
    </row>
    <row r="8199">
      <c r="A8199" t="n">
        <v>14200608</v>
      </c>
      <c r="B8199" t="n">
        <v>51742</v>
      </c>
      <c r="C8199" t="inlineStr">
        <is>
          <t>1420/06/08</t>
        </is>
      </c>
    </row>
    <row r="8200">
      <c r="A8200" t="n">
        <v>14200609</v>
      </c>
      <c r="B8200" t="n">
        <v>51743</v>
      </c>
      <c r="C8200" t="inlineStr">
        <is>
          <t>1420/06/09</t>
        </is>
      </c>
    </row>
    <row r="8201">
      <c r="A8201" t="n">
        <v>14200610</v>
      </c>
      <c r="B8201" t="n">
        <v>51744</v>
      </c>
      <c r="C8201" t="inlineStr">
        <is>
          <t>1420/06/10</t>
        </is>
      </c>
    </row>
    <row r="8202">
      <c r="A8202" t="n">
        <v>14200611</v>
      </c>
      <c r="B8202" t="n">
        <v>51745</v>
      </c>
      <c r="C8202" t="inlineStr">
        <is>
          <t>1420/06/11</t>
        </is>
      </c>
    </row>
    <row r="8203">
      <c r="A8203" t="n">
        <v>14200612</v>
      </c>
      <c r="B8203" t="n">
        <v>51746</v>
      </c>
      <c r="C8203" t="inlineStr">
        <is>
          <t>1420/06/12</t>
        </is>
      </c>
    </row>
    <row r="8204">
      <c r="A8204" t="n">
        <v>14200613</v>
      </c>
      <c r="B8204" t="n">
        <v>51747</v>
      </c>
      <c r="C8204" t="inlineStr">
        <is>
          <t>1420/06/13</t>
        </is>
      </c>
    </row>
    <row r="8205">
      <c r="A8205" t="n">
        <v>14200614</v>
      </c>
      <c r="B8205" t="n">
        <v>51748</v>
      </c>
      <c r="C8205" t="inlineStr">
        <is>
          <t>1420/06/14</t>
        </is>
      </c>
    </row>
    <row r="8206">
      <c r="A8206" t="n">
        <v>14200615</v>
      </c>
      <c r="B8206" t="n">
        <v>51749</v>
      </c>
      <c r="C8206" t="inlineStr">
        <is>
          <t>1420/06/15</t>
        </is>
      </c>
    </row>
    <row r="8207">
      <c r="A8207" t="n">
        <v>14200616</v>
      </c>
      <c r="B8207" t="n">
        <v>51750</v>
      </c>
      <c r="C8207" t="inlineStr">
        <is>
          <t>1420/06/16</t>
        </is>
      </c>
    </row>
    <row r="8208">
      <c r="A8208" t="n">
        <v>14200617</v>
      </c>
      <c r="B8208" t="n">
        <v>51751</v>
      </c>
      <c r="C8208" t="inlineStr">
        <is>
          <t>1420/06/17</t>
        </is>
      </c>
    </row>
    <row r="8209">
      <c r="A8209" t="n">
        <v>14200618</v>
      </c>
      <c r="B8209" t="n">
        <v>51752</v>
      </c>
      <c r="C8209" t="inlineStr">
        <is>
          <t>1420/06/18</t>
        </is>
      </c>
    </row>
    <row r="8210">
      <c r="A8210" t="n">
        <v>14200619</v>
      </c>
      <c r="B8210" t="n">
        <v>51753</v>
      </c>
      <c r="C8210" t="inlineStr">
        <is>
          <t>1420/06/19</t>
        </is>
      </c>
    </row>
    <row r="8211">
      <c r="A8211" t="n">
        <v>14200620</v>
      </c>
      <c r="B8211" t="n">
        <v>51754</v>
      </c>
      <c r="C8211" t="inlineStr">
        <is>
          <t>1420/06/20</t>
        </is>
      </c>
    </row>
    <row r="8212">
      <c r="A8212" t="n">
        <v>14200621</v>
      </c>
      <c r="B8212" t="n">
        <v>51755</v>
      </c>
      <c r="C8212" t="inlineStr">
        <is>
          <t>1420/06/21</t>
        </is>
      </c>
    </row>
    <row r="8213">
      <c r="A8213" t="n">
        <v>14200622</v>
      </c>
      <c r="B8213" t="n">
        <v>51756</v>
      </c>
      <c r="C8213" t="inlineStr">
        <is>
          <t>1420/06/22</t>
        </is>
      </c>
    </row>
    <row r="8214">
      <c r="A8214" t="n">
        <v>14200623</v>
      </c>
      <c r="B8214" t="n">
        <v>51757</v>
      </c>
      <c r="C8214" t="inlineStr">
        <is>
          <t>1420/06/23</t>
        </is>
      </c>
    </row>
    <row r="8215">
      <c r="A8215" t="n">
        <v>14200624</v>
      </c>
      <c r="B8215" t="n">
        <v>51758</v>
      </c>
      <c r="C8215" t="inlineStr">
        <is>
          <t>1420/06/24</t>
        </is>
      </c>
    </row>
    <row r="8216">
      <c r="A8216" t="n">
        <v>14200625</v>
      </c>
      <c r="B8216" t="n">
        <v>51759</v>
      </c>
      <c r="C8216" t="inlineStr">
        <is>
          <t>1420/06/25</t>
        </is>
      </c>
    </row>
    <row r="8217">
      <c r="A8217" t="n">
        <v>14200626</v>
      </c>
      <c r="B8217" t="n">
        <v>51760</v>
      </c>
      <c r="C8217" t="inlineStr">
        <is>
          <t>1420/06/26</t>
        </is>
      </c>
    </row>
    <row r="8218">
      <c r="A8218" t="n">
        <v>14200627</v>
      </c>
      <c r="B8218" t="n">
        <v>51761</v>
      </c>
      <c r="C8218" t="inlineStr">
        <is>
          <t>1420/06/27</t>
        </is>
      </c>
    </row>
    <row r="8219">
      <c r="A8219" t="n">
        <v>14200628</v>
      </c>
      <c r="B8219" t="n">
        <v>51762</v>
      </c>
      <c r="C8219" t="inlineStr">
        <is>
          <t>1420/06/28</t>
        </is>
      </c>
    </row>
    <row r="8220">
      <c r="A8220" t="n">
        <v>14200629</v>
      </c>
      <c r="B8220" t="n">
        <v>51763</v>
      </c>
      <c r="C8220" t="inlineStr">
        <is>
          <t>1420/06/29</t>
        </is>
      </c>
    </row>
    <row r="8221">
      <c r="A8221" t="n">
        <v>14200630</v>
      </c>
      <c r="B8221" t="n">
        <v>51764</v>
      </c>
      <c r="C8221" t="inlineStr">
        <is>
          <t>1420/06/30</t>
        </is>
      </c>
    </row>
    <row r="8222">
      <c r="A8222" t="n">
        <v>14200631</v>
      </c>
      <c r="B8222" t="n">
        <v>51765</v>
      </c>
      <c r="C8222" t="inlineStr">
        <is>
          <t>1420/06/31</t>
        </is>
      </c>
    </row>
    <row r="8223">
      <c r="A8223" t="n">
        <v>14200701</v>
      </c>
      <c r="B8223" t="n">
        <v>51766</v>
      </c>
      <c r="C8223" t="inlineStr">
        <is>
          <t>1420/07/01</t>
        </is>
      </c>
    </row>
    <row r="8224">
      <c r="A8224" t="n">
        <v>14200702</v>
      </c>
      <c r="B8224" t="n">
        <v>51767</v>
      </c>
      <c r="C8224" t="inlineStr">
        <is>
          <t>1420/07/02</t>
        </is>
      </c>
    </row>
    <row r="8225">
      <c r="A8225" t="n">
        <v>14200703</v>
      </c>
      <c r="B8225" t="n">
        <v>51768</v>
      </c>
      <c r="C8225" t="inlineStr">
        <is>
          <t>1420/07/03</t>
        </is>
      </c>
    </row>
    <row r="8226">
      <c r="A8226" t="n">
        <v>14200704</v>
      </c>
      <c r="B8226" t="n">
        <v>51769</v>
      </c>
      <c r="C8226" t="inlineStr">
        <is>
          <t>1420/07/04</t>
        </is>
      </c>
    </row>
    <row r="8227">
      <c r="A8227" t="n">
        <v>14200705</v>
      </c>
      <c r="B8227" t="n">
        <v>51770</v>
      </c>
      <c r="C8227" t="inlineStr">
        <is>
          <t>1420/07/05</t>
        </is>
      </c>
    </row>
    <row r="8228">
      <c r="A8228" t="n">
        <v>14200706</v>
      </c>
      <c r="B8228" t="n">
        <v>51771</v>
      </c>
      <c r="C8228" t="inlineStr">
        <is>
          <t>1420/07/06</t>
        </is>
      </c>
    </row>
    <row r="8229">
      <c r="A8229" t="n">
        <v>14200707</v>
      </c>
      <c r="B8229" t="n">
        <v>51772</v>
      </c>
      <c r="C8229" t="inlineStr">
        <is>
          <t>1420/07/07</t>
        </is>
      </c>
    </row>
    <row r="8230">
      <c r="A8230" t="n">
        <v>14200708</v>
      </c>
      <c r="B8230" t="n">
        <v>51773</v>
      </c>
      <c r="C8230" t="inlineStr">
        <is>
          <t>1420/07/08</t>
        </is>
      </c>
    </row>
    <row r="8231">
      <c r="A8231" t="n">
        <v>14200709</v>
      </c>
      <c r="B8231" t="n">
        <v>51774</v>
      </c>
      <c r="C8231" t="inlineStr">
        <is>
          <t>1420/07/09</t>
        </is>
      </c>
    </row>
    <row r="8232">
      <c r="A8232" t="n">
        <v>14200710</v>
      </c>
      <c r="B8232" t="n">
        <v>51775</v>
      </c>
      <c r="C8232" t="inlineStr">
        <is>
          <t>1420/07/10</t>
        </is>
      </c>
    </row>
    <row r="8233">
      <c r="A8233" t="n">
        <v>14200711</v>
      </c>
      <c r="B8233" t="n">
        <v>51776</v>
      </c>
      <c r="C8233" t="inlineStr">
        <is>
          <t>1420/07/11</t>
        </is>
      </c>
    </row>
    <row r="8234">
      <c r="A8234" t="n">
        <v>14200712</v>
      </c>
      <c r="B8234" t="n">
        <v>51777</v>
      </c>
      <c r="C8234" t="inlineStr">
        <is>
          <t>1420/07/12</t>
        </is>
      </c>
    </row>
    <row r="8235">
      <c r="A8235" t="n">
        <v>14200713</v>
      </c>
      <c r="B8235" t="n">
        <v>51778</v>
      </c>
      <c r="C8235" t="inlineStr">
        <is>
          <t>1420/07/13</t>
        </is>
      </c>
    </row>
    <row r="8236">
      <c r="A8236" t="n">
        <v>14200714</v>
      </c>
      <c r="B8236" t="n">
        <v>51779</v>
      </c>
      <c r="C8236" t="inlineStr">
        <is>
          <t>1420/07/14</t>
        </is>
      </c>
    </row>
    <row r="8237">
      <c r="A8237" t="n">
        <v>14200715</v>
      </c>
      <c r="B8237" t="n">
        <v>51780</v>
      </c>
      <c r="C8237" t="inlineStr">
        <is>
          <t>1420/07/15</t>
        </is>
      </c>
    </row>
    <row r="8238">
      <c r="A8238" t="n">
        <v>14200716</v>
      </c>
      <c r="B8238" t="n">
        <v>51781</v>
      </c>
      <c r="C8238" t="inlineStr">
        <is>
          <t>1420/07/16</t>
        </is>
      </c>
    </row>
    <row r="8239">
      <c r="A8239" t="n">
        <v>14200717</v>
      </c>
      <c r="B8239" t="n">
        <v>51782</v>
      </c>
      <c r="C8239" t="inlineStr">
        <is>
          <t>1420/07/17</t>
        </is>
      </c>
    </row>
    <row r="8240">
      <c r="A8240" t="n">
        <v>14200718</v>
      </c>
      <c r="B8240" t="n">
        <v>51783</v>
      </c>
      <c r="C8240" t="inlineStr">
        <is>
          <t>1420/07/18</t>
        </is>
      </c>
    </row>
    <row r="8241">
      <c r="A8241" t="n">
        <v>14200719</v>
      </c>
      <c r="B8241" t="n">
        <v>51784</v>
      </c>
      <c r="C8241" t="inlineStr">
        <is>
          <t>1420/07/19</t>
        </is>
      </c>
    </row>
    <row r="8242">
      <c r="A8242" t="n">
        <v>14200720</v>
      </c>
      <c r="B8242" t="n">
        <v>51785</v>
      </c>
      <c r="C8242" t="inlineStr">
        <is>
          <t>1420/07/20</t>
        </is>
      </c>
    </row>
    <row r="8243">
      <c r="A8243" t="n">
        <v>14200721</v>
      </c>
      <c r="B8243" t="n">
        <v>51786</v>
      </c>
      <c r="C8243" t="inlineStr">
        <is>
          <t>1420/07/21</t>
        </is>
      </c>
    </row>
    <row r="8244">
      <c r="A8244" t="n">
        <v>14200722</v>
      </c>
      <c r="B8244" t="n">
        <v>51787</v>
      </c>
      <c r="C8244" t="inlineStr">
        <is>
          <t>1420/07/22</t>
        </is>
      </c>
    </row>
    <row r="8245">
      <c r="A8245" t="n">
        <v>14200723</v>
      </c>
      <c r="B8245" t="n">
        <v>51788</v>
      </c>
      <c r="C8245" t="inlineStr">
        <is>
          <t>1420/07/23</t>
        </is>
      </c>
    </row>
    <row r="8246">
      <c r="A8246" t="n">
        <v>14200724</v>
      </c>
      <c r="B8246" t="n">
        <v>51789</v>
      </c>
      <c r="C8246" t="inlineStr">
        <is>
          <t>1420/07/24</t>
        </is>
      </c>
    </row>
    <row r="8247">
      <c r="A8247" t="n">
        <v>14200725</v>
      </c>
      <c r="B8247" t="n">
        <v>51790</v>
      </c>
      <c r="C8247" t="inlineStr">
        <is>
          <t>1420/07/25</t>
        </is>
      </c>
    </row>
    <row r="8248">
      <c r="A8248" t="n">
        <v>14200726</v>
      </c>
      <c r="B8248" t="n">
        <v>51791</v>
      </c>
      <c r="C8248" t="inlineStr">
        <is>
          <t>1420/07/26</t>
        </is>
      </c>
    </row>
    <row r="8249">
      <c r="A8249" t="n">
        <v>14200727</v>
      </c>
      <c r="B8249" t="n">
        <v>51792</v>
      </c>
      <c r="C8249" t="inlineStr">
        <is>
          <t>1420/07/27</t>
        </is>
      </c>
    </row>
    <row r="8250">
      <c r="A8250" t="n">
        <v>14200728</v>
      </c>
      <c r="B8250" t="n">
        <v>51793</v>
      </c>
      <c r="C8250" t="inlineStr">
        <is>
          <t>1420/07/28</t>
        </is>
      </c>
    </row>
    <row r="8251">
      <c r="A8251" t="n">
        <v>14200729</v>
      </c>
      <c r="B8251" t="n">
        <v>51794</v>
      </c>
      <c r="C8251" t="inlineStr">
        <is>
          <t>1420/07/29</t>
        </is>
      </c>
    </row>
    <row r="8252">
      <c r="A8252" t="n">
        <v>14200730</v>
      </c>
      <c r="B8252" t="n">
        <v>51795</v>
      </c>
      <c r="C8252" t="inlineStr">
        <is>
          <t>1420/07/30</t>
        </is>
      </c>
    </row>
    <row r="8253">
      <c r="A8253" t="n">
        <v>14200801</v>
      </c>
      <c r="B8253" t="n">
        <v>51796</v>
      </c>
      <c r="C8253" t="inlineStr">
        <is>
          <t>1420/08/01</t>
        </is>
      </c>
    </row>
    <row r="8254">
      <c r="A8254" t="n">
        <v>14200802</v>
      </c>
      <c r="B8254" t="n">
        <v>51797</v>
      </c>
      <c r="C8254" t="inlineStr">
        <is>
          <t>1420/08/02</t>
        </is>
      </c>
    </row>
    <row r="8255">
      <c r="A8255" t="n">
        <v>14200803</v>
      </c>
      <c r="B8255" t="n">
        <v>51798</v>
      </c>
      <c r="C8255" t="inlineStr">
        <is>
          <t>1420/08/03</t>
        </is>
      </c>
    </row>
    <row r="8256">
      <c r="A8256" t="n">
        <v>14200804</v>
      </c>
      <c r="B8256" t="n">
        <v>51799</v>
      </c>
      <c r="C8256" t="inlineStr">
        <is>
          <t>1420/08/04</t>
        </is>
      </c>
    </row>
    <row r="8257">
      <c r="A8257" t="n">
        <v>14200805</v>
      </c>
      <c r="B8257" t="n">
        <v>51800</v>
      </c>
      <c r="C8257" t="inlineStr">
        <is>
          <t>1420/08/05</t>
        </is>
      </c>
    </row>
    <row r="8258">
      <c r="A8258" t="n">
        <v>14200806</v>
      </c>
      <c r="B8258" t="n">
        <v>51801</v>
      </c>
      <c r="C8258" t="inlineStr">
        <is>
          <t>1420/08/06</t>
        </is>
      </c>
    </row>
    <row r="8259">
      <c r="A8259" t="n">
        <v>14200807</v>
      </c>
      <c r="B8259" t="n">
        <v>51802</v>
      </c>
      <c r="C8259" t="inlineStr">
        <is>
          <t>1420/08/07</t>
        </is>
      </c>
    </row>
    <row r="8260">
      <c r="A8260" t="n">
        <v>14200808</v>
      </c>
      <c r="B8260" t="n">
        <v>51803</v>
      </c>
      <c r="C8260" t="inlineStr">
        <is>
          <t>1420/08/08</t>
        </is>
      </c>
    </row>
    <row r="8261">
      <c r="A8261" t="n">
        <v>14200809</v>
      </c>
      <c r="B8261" t="n">
        <v>51804</v>
      </c>
      <c r="C8261" t="inlineStr">
        <is>
          <t>1420/08/09</t>
        </is>
      </c>
    </row>
    <row r="8262">
      <c r="A8262" t="n">
        <v>14200810</v>
      </c>
      <c r="B8262" t="n">
        <v>51805</v>
      </c>
      <c r="C8262" t="inlineStr">
        <is>
          <t>1420/08/10</t>
        </is>
      </c>
    </row>
    <row r="8263">
      <c r="A8263" t="n">
        <v>14200811</v>
      </c>
      <c r="B8263" t="n">
        <v>51806</v>
      </c>
      <c r="C8263" t="inlineStr">
        <is>
          <t>1420/08/11</t>
        </is>
      </c>
    </row>
    <row r="8264">
      <c r="A8264" t="n">
        <v>14200812</v>
      </c>
      <c r="B8264" t="n">
        <v>51807</v>
      </c>
      <c r="C8264" t="inlineStr">
        <is>
          <t>1420/08/12</t>
        </is>
      </c>
    </row>
    <row r="8265">
      <c r="A8265" t="n">
        <v>14200813</v>
      </c>
      <c r="B8265" t="n">
        <v>51808</v>
      </c>
      <c r="C8265" t="inlineStr">
        <is>
          <t>1420/08/13</t>
        </is>
      </c>
    </row>
    <row r="8266">
      <c r="A8266" t="n">
        <v>14200814</v>
      </c>
      <c r="B8266" t="n">
        <v>51809</v>
      </c>
      <c r="C8266" t="inlineStr">
        <is>
          <t>1420/08/14</t>
        </is>
      </c>
    </row>
    <row r="8267">
      <c r="A8267" t="n">
        <v>14200815</v>
      </c>
      <c r="B8267" t="n">
        <v>51810</v>
      </c>
      <c r="C8267" t="inlineStr">
        <is>
          <t>1420/08/15</t>
        </is>
      </c>
    </row>
    <row r="8268">
      <c r="A8268" t="n">
        <v>14200816</v>
      </c>
      <c r="B8268" t="n">
        <v>51811</v>
      </c>
      <c r="C8268" t="inlineStr">
        <is>
          <t>1420/08/16</t>
        </is>
      </c>
    </row>
    <row r="8269">
      <c r="A8269" t="n">
        <v>14200817</v>
      </c>
      <c r="B8269" t="n">
        <v>51812</v>
      </c>
      <c r="C8269" t="inlineStr">
        <is>
          <t>1420/08/17</t>
        </is>
      </c>
    </row>
    <row r="8270">
      <c r="A8270" t="n">
        <v>14200818</v>
      </c>
      <c r="B8270" t="n">
        <v>51813</v>
      </c>
      <c r="C8270" t="inlineStr">
        <is>
          <t>1420/08/18</t>
        </is>
      </c>
    </row>
    <row r="8271">
      <c r="A8271" t="n">
        <v>14200819</v>
      </c>
      <c r="B8271" t="n">
        <v>51814</v>
      </c>
      <c r="C8271" t="inlineStr">
        <is>
          <t>1420/08/19</t>
        </is>
      </c>
    </row>
    <row r="8272">
      <c r="A8272" t="n">
        <v>14200820</v>
      </c>
      <c r="B8272" t="n">
        <v>51815</v>
      </c>
      <c r="C8272" t="inlineStr">
        <is>
          <t>1420/08/20</t>
        </is>
      </c>
    </row>
    <row r="8273">
      <c r="A8273" t="n">
        <v>14200821</v>
      </c>
      <c r="B8273" t="n">
        <v>51816</v>
      </c>
      <c r="C8273" t="inlineStr">
        <is>
          <t>1420/08/21</t>
        </is>
      </c>
    </row>
    <row r="8274">
      <c r="A8274" t="n">
        <v>14200822</v>
      </c>
      <c r="B8274" t="n">
        <v>51817</v>
      </c>
      <c r="C8274" t="inlineStr">
        <is>
          <t>1420/08/22</t>
        </is>
      </c>
    </row>
    <row r="8275">
      <c r="A8275" t="n">
        <v>14200823</v>
      </c>
      <c r="B8275" t="n">
        <v>51818</v>
      </c>
      <c r="C8275" t="inlineStr">
        <is>
          <t>1420/08/23</t>
        </is>
      </c>
    </row>
    <row r="8276">
      <c r="A8276" t="n">
        <v>14200824</v>
      </c>
      <c r="B8276" t="n">
        <v>51819</v>
      </c>
      <c r="C8276" t="inlineStr">
        <is>
          <t>1420/08/24</t>
        </is>
      </c>
    </row>
    <row r="8277">
      <c r="A8277" t="n">
        <v>14200825</v>
      </c>
      <c r="B8277" t="n">
        <v>51820</v>
      </c>
      <c r="C8277" t="inlineStr">
        <is>
          <t>1420/08/25</t>
        </is>
      </c>
    </row>
    <row r="8278">
      <c r="A8278" t="n">
        <v>14200826</v>
      </c>
      <c r="B8278" t="n">
        <v>51821</v>
      </c>
      <c r="C8278" t="inlineStr">
        <is>
          <t>1420/08/26</t>
        </is>
      </c>
    </row>
    <row r="8279">
      <c r="A8279" t="n">
        <v>14200827</v>
      </c>
      <c r="B8279" t="n">
        <v>51822</v>
      </c>
      <c r="C8279" t="inlineStr">
        <is>
          <t>1420/08/27</t>
        </is>
      </c>
    </row>
    <row r="8280">
      <c r="A8280" t="n">
        <v>14200828</v>
      </c>
      <c r="B8280" t="n">
        <v>51823</v>
      </c>
      <c r="C8280" t="inlineStr">
        <is>
          <t>1420/08/28</t>
        </is>
      </c>
    </row>
    <row r="8281">
      <c r="A8281" t="n">
        <v>14200829</v>
      </c>
      <c r="B8281" t="n">
        <v>51824</v>
      </c>
      <c r="C8281" t="inlineStr">
        <is>
          <t>1420/08/29</t>
        </is>
      </c>
    </row>
    <row r="8282">
      <c r="A8282" t="n">
        <v>14200830</v>
      </c>
      <c r="B8282" t="n">
        <v>51825</v>
      </c>
      <c r="C8282" t="inlineStr">
        <is>
          <t>1420/08/30</t>
        </is>
      </c>
    </row>
    <row r="8283">
      <c r="A8283" t="n">
        <v>14200901</v>
      </c>
      <c r="B8283" t="n">
        <v>51826</v>
      </c>
      <c r="C8283" t="inlineStr">
        <is>
          <t>1420/09/01</t>
        </is>
      </c>
    </row>
    <row r="8284">
      <c r="A8284" t="n">
        <v>14200902</v>
      </c>
      <c r="B8284" t="n">
        <v>51827</v>
      </c>
      <c r="C8284" t="inlineStr">
        <is>
          <t>1420/09/02</t>
        </is>
      </c>
    </row>
    <row r="8285">
      <c r="A8285" t="n">
        <v>14200903</v>
      </c>
      <c r="B8285" t="n">
        <v>51828</v>
      </c>
      <c r="C8285" t="inlineStr">
        <is>
          <t>1420/09/03</t>
        </is>
      </c>
    </row>
    <row r="8286">
      <c r="A8286" t="n">
        <v>14200904</v>
      </c>
      <c r="B8286" t="n">
        <v>51829</v>
      </c>
      <c r="C8286" t="inlineStr">
        <is>
          <t>1420/09/04</t>
        </is>
      </c>
    </row>
    <row r="8287">
      <c r="A8287" t="n">
        <v>14200905</v>
      </c>
      <c r="B8287" t="n">
        <v>51830</v>
      </c>
      <c r="C8287" t="inlineStr">
        <is>
          <t>1420/09/05</t>
        </is>
      </c>
    </row>
    <row r="8288">
      <c r="A8288" t="n">
        <v>14200906</v>
      </c>
      <c r="B8288" t="n">
        <v>51831</v>
      </c>
      <c r="C8288" t="inlineStr">
        <is>
          <t>1420/09/06</t>
        </is>
      </c>
    </row>
    <row r="8289">
      <c r="A8289" t="n">
        <v>14200907</v>
      </c>
      <c r="B8289" t="n">
        <v>51832</v>
      </c>
      <c r="C8289" t="inlineStr">
        <is>
          <t>1420/09/07</t>
        </is>
      </c>
    </row>
    <row r="8290">
      <c r="A8290" t="n">
        <v>14200908</v>
      </c>
      <c r="B8290" t="n">
        <v>51833</v>
      </c>
      <c r="C8290" t="inlineStr">
        <is>
          <t>1420/09/08</t>
        </is>
      </c>
    </row>
    <row r="8291">
      <c r="A8291" t="n">
        <v>14200909</v>
      </c>
      <c r="B8291" t="n">
        <v>51834</v>
      </c>
      <c r="C8291" t="inlineStr">
        <is>
          <t>1420/09/09</t>
        </is>
      </c>
    </row>
    <row r="8292">
      <c r="A8292" t="n">
        <v>14200910</v>
      </c>
      <c r="B8292" t="n">
        <v>51835</v>
      </c>
      <c r="C8292" t="inlineStr">
        <is>
          <t>1420/09/10</t>
        </is>
      </c>
    </row>
    <row r="8293">
      <c r="A8293" t="n">
        <v>14200911</v>
      </c>
      <c r="B8293" t="n">
        <v>51836</v>
      </c>
      <c r="C8293" t="inlineStr">
        <is>
          <t>1420/09/11</t>
        </is>
      </c>
    </row>
    <row r="8294">
      <c r="A8294" t="n">
        <v>14200912</v>
      </c>
      <c r="B8294" t="n">
        <v>51837</v>
      </c>
      <c r="C8294" t="inlineStr">
        <is>
          <t>1420/09/12</t>
        </is>
      </c>
    </row>
    <row r="8295">
      <c r="A8295" t="n">
        <v>14200913</v>
      </c>
      <c r="B8295" t="n">
        <v>51838</v>
      </c>
      <c r="C8295" t="inlineStr">
        <is>
          <t>1420/09/13</t>
        </is>
      </c>
    </row>
    <row r="8296">
      <c r="A8296" t="n">
        <v>14200914</v>
      </c>
      <c r="B8296" t="n">
        <v>51839</v>
      </c>
      <c r="C8296" t="inlineStr">
        <is>
          <t>1420/09/14</t>
        </is>
      </c>
    </row>
    <row r="8297">
      <c r="A8297" t="n">
        <v>14200915</v>
      </c>
      <c r="B8297" t="n">
        <v>51840</v>
      </c>
      <c r="C8297" t="inlineStr">
        <is>
          <t>1420/09/15</t>
        </is>
      </c>
    </row>
    <row r="8298">
      <c r="A8298" t="n">
        <v>14200916</v>
      </c>
      <c r="B8298" t="n">
        <v>51841</v>
      </c>
      <c r="C8298" t="inlineStr">
        <is>
          <t>1420/09/16</t>
        </is>
      </c>
    </row>
    <row r="8299">
      <c r="A8299" t="n">
        <v>14200917</v>
      </c>
      <c r="B8299" t="n">
        <v>51842</v>
      </c>
      <c r="C8299" t="inlineStr">
        <is>
          <t>1420/09/17</t>
        </is>
      </c>
    </row>
    <row r="8300">
      <c r="A8300" t="n">
        <v>14200918</v>
      </c>
      <c r="B8300" t="n">
        <v>51843</v>
      </c>
      <c r="C8300" t="inlineStr">
        <is>
          <t>1420/09/18</t>
        </is>
      </c>
    </row>
    <row r="8301">
      <c r="A8301" t="n">
        <v>14200919</v>
      </c>
      <c r="B8301" t="n">
        <v>51844</v>
      </c>
      <c r="C8301" t="inlineStr">
        <is>
          <t>1420/09/19</t>
        </is>
      </c>
    </row>
    <row r="8302">
      <c r="A8302" t="n">
        <v>14200920</v>
      </c>
      <c r="B8302" t="n">
        <v>51845</v>
      </c>
      <c r="C8302" t="inlineStr">
        <is>
          <t>1420/09/20</t>
        </is>
      </c>
    </row>
    <row r="8303">
      <c r="A8303" t="n">
        <v>14200921</v>
      </c>
      <c r="B8303" t="n">
        <v>51846</v>
      </c>
      <c r="C8303" t="inlineStr">
        <is>
          <t>1420/09/21</t>
        </is>
      </c>
    </row>
    <row r="8304">
      <c r="A8304" t="n">
        <v>14200922</v>
      </c>
      <c r="B8304" t="n">
        <v>51847</v>
      </c>
      <c r="C8304" t="inlineStr">
        <is>
          <t>1420/09/22</t>
        </is>
      </c>
    </row>
    <row r="8305">
      <c r="A8305" t="n">
        <v>14200923</v>
      </c>
      <c r="B8305" t="n">
        <v>51848</v>
      </c>
      <c r="C8305" t="inlineStr">
        <is>
          <t>1420/09/23</t>
        </is>
      </c>
    </row>
    <row r="8306">
      <c r="A8306" t="n">
        <v>14200924</v>
      </c>
      <c r="B8306" t="n">
        <v>51849</v>
      </c>
      <c r="C8306" t="inlineStr">
        <is>
          <t>1420/09/24</t>
        </is>
      </c>
    </row>
    <row r="8307">
      <c r="A8307" t="n">
        <v>14200925</v>
      </c>
      <c r="B8307" t="n">
        <v>51850</v>
      </c>
      <c r="C8307" t="inlineStr">
        <is>
          <t>1420/09/25</t>
        </is>
      </c>
    </row>
    <row r="8308">
      <c r="A8308" t="n">
        <v>14200926</v>
      </c>
      <c r="B8308" t="n">
        <v>51851</v>
      </c>
      <c r="C8308" t="inlineStr">
        <is>
          <t>1420/09/26</t>
        </is>
      </c>
    </row>
    <row r="8309">
      <c r="A8309" t="n">
        <v>14200927</v>
      </c>
      <c r="B8309" t="n">
        <v>51852</v>
      </c>
      <c r="C8309" t="inlineStr">
        <is>
          <t>1420/09/27</t>
        </is>
      </c>
    </row>
    <row r="8310">
      <c r="A8310" t="n">
        <v>14200928</v>
      </c>
      <c r="B8310" t="n">
        <v>51853</v>
      </c>
      <c r="C8310" t="inlineStr">
        <is>
          <t>1420/09/28</t>
        </is>
      </c>
    </row>
    <row r="8311">
      <c r="A8311" t="n">
        <v>14200929</v>
      </c>
      <c r="B8311" t="n">
        <v>51854</v>
      </c>
      <c r="C8311" t="inlineStr">
        <is>
          <t>1420/09/29</t>
        </is>
      </c>
    </row>
    <row r="8312">
      <c r="A8312" t="n">
        <v>14200930</v>
      </c>
      <c r="B8312" t="n">
        <v>51855</v>
      </c>
      <c r="C8312" t="inlineStr">
        <is>
          <t>1420/09/30</t>
        </is>
      </c>
    </row>
    <row r="8313">
      <c r="A8313" t="n">
        <v>14201001</v>
      </c>
      <c r="B8313" t="n">
        <v>51856</v>
      </c>
      <c r="C8313" t="inlineStr">
        <is>
          <t>1420/10/01</t>
        </is>
      </c>
    </row>
    <row r="8314">
      <c r="A8314" t="n">
        <v>14201002</v>
      </c>
      <c r="B8314" t="n">
        <v>51857</v>
      </c>
      <c r="C8314" t="inlineStr">
        <is>
          <t>1420/10/02</t>
        </is>
      </c>
    </row>
    <row r="8315">
      <c r="A8315" t="n">
        <v>14201003</v>
      </c>
      <c r="B8315" t="n">
        <v>51858</v>
      </c>
      <c r="C8315" t="inlineStr">
        <is>
          <t>1420/10/03</t>
        </is>
      </c>
    </row>
    <row r="8316">
      <c r="A8316" t="n">
        <v>14201004</v>
      </c>
      <c r="B8316" t="n">
        <v>51859</v>
      </c>
      <c r="C8316" t="inlineStr">
        <is>
          <t>1420/10/04</t>
        </is>
      </c>
    </row>
    <row r="8317">
      <c r="A8317" t="n">
        <v>14201005</v>
      </c>
      <c r="B8317" t="n">
        <v>51860</v>
      </c>
      <c r="C8317" t="inlineStr">
        <is>
          <t>1420/10/05</t>
        </is>
      </c>
    </row>
    <row r="8318">
      <c r="A8318" t="n">
        <v>14201006</v>
      </c>
      <c r="B8318" t="n">
        <v>51861</v>
      </c>
      <c r="C8318" t="inlineStr">
        <is>
          <t>1420/10/06</t>
        </is>
      </c>
    </row>
    <row r="8319">
      <c r="A8319" t="n">
        <v>14201007</v>
      </c>
      <c r="B8319" t="n">
        <v>51862</v>
      </c>
      <c r="C8319" t="inlineStr">
        <is>
          <t>1420/10/07</t>
        </is>
      </c>
    </row>
    <row r="8320">
      <c r="A8320" t="n">
        <v>14201008</v>
      </c>
      <c r="B8320" t="n">
        <v>51863</v>
      </c>
      <c r="C8320" t="inlineStr">
        <is>
          <t>1420/10/08</t>
        </is>
      </c>
    </row>
    <row r="8321">
      <c r="A8321" t="n">
        <v>14201009</v>
      </c>
      <c r="B8321" t="n">
        <v>51864</v>
      </c>
      <c r="C8321" t="inlineStr">
        <is>
          <t>1420/10/09</t>
        </is>
      </c>
    </row>
    <row r="8322">
      <c r="A8322" t="n">
        <v>14201010</v>
      </c>
      <c r="B8322" t="n">
        <v>51865</v>
      </c>
      <c r="C8322" t="inlineStr">
        <is>
          <t>1420/10/10</t>
        </is>
      </c>
    </row>
    <row r="8323">
      <c r="A8323" t="n">
        <v>14201011</v>
      </c>
      <c r="B8323" t="n">
        <v>51866</v>
      </c>
      <c r="C8323" t="inlineStr">
        <is>
          <t>1420/10/11</t>
        </is>
      </c>
    </row>
    <row r="8324">
      <c r="A8324" t="n">
        <v>14201012</v>
      </c>
      <c r="B8324" t="n">
        <v>51867</v>
      </c>
      <c r="C8324" t="inlineStr">
        <is>
          <t>1420/10/12</t>
        </is>
      </c>
    </row>
    <row r="8325">
      <c r="A8325" t="n">
        <v>14201013</v>
      </c>
      <c r="B8325" t="n">
        <v>51868</v>
      </c>
      <c r="C8325" t="inlineStr">
        <is>
          <t>1420/10/13</t>
        </is>
      </c>
    </row>
    <row r="8326">
      <c r="A8326" t="n">
        <v>14201014</v>
      </c>
      <c r="B8326" t="n">
        <v>51869</v>
      </c>
      <c r="C8326" t="inlineStr">
        <is>
          <t>1420/10/14</t>
        </is>
      </c>
    </row>
    <row r="8327">
      <c r="A8327" t="n">
        <v>14201015</v>
      </c>
      <c r="B8327" t="n">
        <v>51870</v>
      </c>
      <c r="C8327" t="inlineStr">
        <is>
          <t>1420/10/15</t>
        </is>
      </c>
    </row>
    <row r="8328">
      <c r="A8328" t="n">
        <v>14201016</v>
      </c>
      <c r="B8328" t="n">
        <v>51871</v>
      </c>
      <c r="C8328" t="inlineStr">
        <is>
          <t>1420/10/16</t>
        </is>
      </c>
    </row>
    <row r="8329">
      <c r="A8329" t="n">
        <v>14201017</v>
      </c>
      <c r="B8329" t="n">
        <v>51872</v>
      </c>
      <c r="C8329" t="inlineStr">
        <is>
          <t>1420/10/17</t>
        </is>
      </c>
    </row>
    <row r="8330">
      <c r="A8330" t="n">
        <v>14201018</v>
      </c>
      <c r="B8330" t="n">
        <v>51873</v>
      </c>
      <c r="C8330" t="inlineStr">
        <is>
          <t>1420/10/18</t>
        </is>
      </c>
    </row>
    <row r="8331">
      <c r="A8331" t="n">
        <v>14201019</v>
      </c>
      <c r="B8331" t="n">
        <v>51874</v>
      </c>
      <c r="C8331" t="inlineStr">
        <is>
          <t>1420/10/19</t>
        </is>
      </c>
    </row>
    <row r="8332">
      <c r="A8332" t="n">
        <v>14201020</v>
      </c>
      <c r="B8332" t="n">
        <v>51875</v>
      </c>
      <c r="C8332" t="inlineStr">
        <is>
          <t>1420/10/20</t>
        </is>
      </c>
    </row>
    <row r="8333">
      <c r="A8333" t="n">
        <v>14201021</v>
      </c>
      <c r="B8333" t="n">
        <v>51876</v>
      </c>
      <c r="C8333" t="inlineStr">
        <is>
          <t>1420/10/21</t>
        </is>
      </c>
    </row>
    <row r="8334">
      <c r="A8334" t="n">
        <v>14201022</v>
      </c>
      <c r="B8334" t="n">
        <v>51877</v>
      </c>
      <c r="C8334" t="inlineStr">
        <is>
          <t>1420/10/22</t>
        </is>
      </c>
    </row>
    <row r="8335">
      <c r="A8335" t="n">
        <v>14201023</v>
      </c>
      <c r="B8335" t="n">
        <v>51878</v>
      </c>
      <c r="C8335" t="inlineStr">
        <is>
          <t>1420/10/23</t>
        </is>
      </c>
    </row>
    <row r="8336">
      <c r="A8336" t="n">
        <v>14201024</v>
      </c>
      <c r="B8336" t="n">
        <v>51879</v>
      </c>
      <c r="C8336" t="inlineStr">
        <is>
          <t>1420/10/24</t>
        </is>
      </c>
    </row>
    <row r="8337">
      <c r="A8337" t="n">
        <v>14201025</v>
      </c>
      <c r="B8337" t="n">
        <v>51880</v>
      </c>
      <c r="C8337" t="inlineStr">
        <is>
          <t>1420/10/25</t>
        </is>
      </c>
    </row>
    <row r="8338">
      <c r="A8338" t="n">
        <v>14201026</v>
      </c>
      <c r="B8338" t="n">
        <v>51881</v>
      </c>
      <c r="C8338" t="inlineStr">
        <is>
          <t>1420/10/26</t>
        </is>
      </c>
    </row>
    <row r="8339">
      <c r="A8339" t="n">
        <v>14201027</v>
      </c>
      <c r="B8339" t="n">
        <v>51882</v>
      </c>
      <c r="C8339" t="inlineStr">
        <is>
          <t>1420/10/27</t>
        </is>
      </c>
    </row>
    <row r="8340">
      <c r="A8340" t="n">
        <v>14201028</v>
      </c>
      <c r="B8340" t="n">
        <v>51883</v>
      </c>
      <c r="C8340" t="inlineStr">
        <is>
          <t>1420/10/28</t>
        </is>
      </c>
    </row>
    <row r="8341">
      <c r="A8341" t="n">
        <v>14201029</v>
      </c>
      <c r="B8341" t="n">
        <v>51884</v>
      </c>
      <c r="C8341" t="inlineStr">
        <is>
          <t>1420/10/29</t>
        </is>
      </c>
    </row>
    <row r="8342">
      <c r="A8342" t="n">
        <v>14201030</v>
      </c>
      <c r="B8342" t="n">
        <v>51885</v>
      </c>
      <c r="C8342" t="inlineStr">
        <is>
          <t>1420/10/30</t>
        </is>
      </c>
    </row>
    <row r="8343">
      <c r="A8343" t="n">
        <v>14201101</v>
      </c>
      <c r="B8343" t="n">
        <v>51886</v>
      </c>
      <c r="C8343" t="inlineStr">
        <is>
          <t>1420/11/01</t>
        </is>
      </c>
    </row>
    <row r="8344">
      <c r="A8344" t="n">
        <v>14201102</v>
      </c>
      <c r="B8344" t="n">
        <v>51887</v>
      </c>
      <c r="C8344" t="inlineStr">
        <is>
          <t>1420/11/02</t>
        </is>
      </c>
    </row>
    <row r="8345">
      <c r="A8345" t="n">
        <v>14201103</v>
      </c>
      <c r="B8345" t="n">
        <v>51888</v>
      </c>
      <c r="C8345" t="inlineStr">
        <is>
          <t>1420/11/03</t>
        </is>
      </c>
    </row>
    <row r="8346">
      <c r="A8346" t="n">
        <v>14201104</v>
      </c>
      <c r="B8346" t="n">
        <v>51889</v>
      </c>
      <c r="C8346" t="inlineStr">
        <is>
          <t>1420/11/04</t>
        </is>
      </c>
    </row>
    <row r="8347">
      <c r="A8347" t="n">
        <v>14201105</v>
      </c>
      <c r="B8347" t="n">
        <v>51890</v>
      </c>
      <c r="C8347" t="inlineStr">
        <is>
          <t>1420/11/05</t>
        </is>
      </c>
    </row>
    <row r="8348">
      <c r="A8348" t="n">
        <v>14201106</v>
      </c>
      <c r="B8348" t="n">
        <v>51891</v>
      </c>
      <c r="C8348" t="inlineStr">
        <is>
          <t>1420/11/06</t>
        </is>
      </c>
    </row>
    <row r="8349">
      <c r="A8349" t="n">
        <v>14201107</v>
      </c>
      <c r="B8349" t="n">
        <v>51892</v>
      </c>
      <c r="C8349" t="inlineStr">
        <is>
          <t>1420/11/07</t>
        </is>
      </c>
    </row>
    <row r="8350">
      <c r="A8350" t="n">
        <v>14201108</v>
      </c>
      <c r="B8350" t="n">
        <v>51893</v>
      </c>
      <c r="C8350" t="inlineStr">
        <is>
          <t>1420/11/08</t>
        </is>
      </c>
    </row>
    <row r="8351">
      <c r="A8351" t="n">
        <v>14201109</v>
      </c>
      <c r="B8351" t="n">
        <v>51894</v>
      </c>
      <c r="C8351" t="inlineStr">
        <is>
          <t>1420/11/09</t>
        </is>
      </c>
    </row>
    <row r="8352">
      <c r="A8352" t="n">
        <v>14201110</v>
      </c>
      <c r="B8352" t="n">
        <v>51895</v>
      </c>
      <c r="C8352" t="inlineStr">
        <is>
          <t>1420/11/10</t>
        </is>
      </c>
    </row>
    <row r="8353">
      <c r="A8353" t="n">
        <v>14201111</v>
      </c>
      <c r="B8353" t="n">
        <v>51896</v>
      </c>
      <c r="C8353" t="inlineStr">
        <is>
          <t>1420/11/11</t>
        </is>
      </c>
    </row>
    <row r="8354">
      <c r="A8354" t="n">
        <v>14201112</v>
      </c>
      <c r="B8354" t="n">
        <v>51897</v>
      </c>
      <c r="C8354" t="inlineStr">
        <is>
          <t>1420/11/12</t>
        </is>
      </c>
    </row>
    <row r="8355">
      <c r="A8355" t="n">
        <v>14201113</v>
      </c>
      <c r="B8355" t="n">
        <v>51898</v>
      </c>
      <c r="C8355" t="inlineStr">
        <is>
          <t>1420/11/13</t>
        </is>
      </c>
    </row>
    <row r="8356">
      <c r="A8356" t="n">
        <v>14201114</v>
      </c>
      <c r="B8356" t="n">
        <v>51899</v>
      </c>
      <c r="C8356" t="inlineStr">
        <is>
          <t>1420/11/14</t>
        </is>
      </c>
    </row>
    <row r="8357">
      <c r="A8357" t="n">
        <v>14201115</v>
      </c>
      <c r="B8357" t="n">
        <v>51900</v>
      </c>
      <c r="C8357" t="inlineStr">
        <is>
          <t>1420/11/15</t>
        </is>
      </c>
    </row>
    <row r="8358">
      <c r="A8358" t="n">
        <v>14201116</v>
      </c>
      <c r="B8358" t="n">
        <v>51901</v>
      </c>
      <c r="C8358" t="inlineStr">
        <is>
          <t>1420/11/16</t>
        </is>
      </c>
    </row>
    <row r="8359">
      <c r="A8359" t="n">
        <v>14201117</v>
      </c>
      <c r="B8359" t="n">
        <v>51902</v>
      </c>
      <c r="C8359" t="inlineStr">
        <is>
          <t>1420/11/17</t>
        </is>
      </c>
    </row>
    <row r="8360">
      <c r="A8360" t="n">
        <v>14201118</v>
      </c>
      <c r="B8360" t="n">
        <v>51903</v>
      </c>
      <c r="C8360" t="inlineStr">
        <is>
          <t>1420/11/18</t>
        </is>
      </c>
    </row>
    <row r="8361">
      <c r="A8361" t="n">
        <v>14201119</v>
      </c>
      <c r="B8361" t="n">
        <v>51904</v>
      </c>
      <c r="C8361" t="inlineStr">
        <is>
          <t>1420/11/19</t>
        </is>
      </c>
    </row>
    <row r="8362">
      <c r="A8362" t="n">
        <v>14201120</v>
      </c>
      <c r="B8362" t="n">
        <v>51905</v>
      </c>
      <c r="C8362" t="inlineStr">
        <is>
          <t>1420/11/20</t>
        </is>
      </c>
    </row>
    <row r="8363">
      <c r="A8363" t="n">
        <v>14201121</v>
      </c>
      <c r="B8363" t="n">
        <v>51906</v>
      </c>
      <c r="C8363" t="inlineStr">
        <is>
          <t>1420/11/21</t>
        </is>
      </c>
    </row>
    <row r="8364">
      <c r="A8364" t="n">
        <v>14201122</v>
      </c>
      <c r="B8364" t="n">
        <v>51907</v>
      </c>
      <c r="C8364" t="inlineStr">
        <is>
          <t>1420/11/22</t>
        </is>
      </c>
    </row>
    <row r="8365">
      <c r="A8365" t="n">
        <v>14201123</v>
      </c>
      <c r="B8365" t="n">
        <v>51908</v>
      </c>
      <c r="C8365" t="inlineStr">
        <is>
          <t>1420/11/23</t>
        </is>
      </c>
    </row>
    <row r="8366">
      <c r="A8366" t="n">
        <v>14201124</v>
      </c>
      <c r="B8366" t="n">
        <v>51909</v>
      </c>
      <c r="C8366" t="inlineStr">
        <is>
          <t>1420/11/24</t>
        </is>
      </c>
    </row>
    <row r="8367">
      <c r="A8367" t="n">
        <v>14201125</v>
      </c>
      <c r="B8367" t="n">
        <v>51910</v>
      </c>
      <c r="C8367" t="inlineStr">
        <is>
          <t>1420/11/25</t>
        </is>
      </c>
    </row>
    <row r="8368">
      <c r="A8368" t="n">
        <v>14201126</v>
      </c>
      <c r="B8368" t="n">
        <v>51911</v>
      </c>
      <c r="C8368" t="inlineStr">
        <is>
          <t>1420/11/26</t>
        </is>
      </c>
    </row>
    <row r="8369">
      <c r="A8369" t="n">
        <v>14201127</v>
      </c>
      <c r="B8369" t="n">
        <v>51912</v>
      </c>
      <c r="C8369" t="inlineStr">
        <is>
          <t>1420/11/27</t>
        </is>
      </c>
    </row>
    <row r="8370">
      <c r="A8370" t="n">
        <v>14201128</v>
      </c>
      <c r="B8370" t="n">
        <v>51913</v>
      </c>
      <c r="C8370" t="inlineStr">
        <is>
          <t>1420/11/28</t>
        </is>
      </c>
    </row>
    <row r="8371">
      <c r="A8371" t="n">
        <v>14201129</v>
      </c>
      <c r="B8371" t="n">
        <v>51914</v>
      </c>
      <c r="C8371" t="inlineStr">
        <is>
          <t>1420/11/29</t>
        </is>
      </c>
    </row>
    <row r="8372">
      <c r="A8372" t="n">
        <v>14201130</v>
      </c>
      <c r="B8372" t="n">
        <v>51915</v>
      </c>
      <c r="C8372" t="inlineStr">
        <is>
          <t>1420/11/30</t>
        </is>
      </c>
    </row>
    <row r="8373">
      <c r="A8373" t="n">
        <v>14201201</v>
      </c>
      <c r="B8373" t="n">
        <v>51916</v>
      </c>
      <c r="C8373" t="inlineStr">
        <is>
          <t>1420/12/01</t>
        </is>
      </c>
    </row>
    <row r="8374">
      <c r="A8374" t="n">
        <v>14201202</v>
      </c>
      <c r="B8374" t="n">
        <v>51917</v>
      </c>
      <c r="C8374" t="inlineStr">
        <is>
          <t>1420/12/02</t>
        </is>
      </c>
    </row>
    <row r="8375">
      <c r="A8375" t="n">
        <v>14201203</v>
      </c>
      <c r="B8375" t="n">
        <v>51918</v>
      </c>
      <c r="C8375" t="inlineStr">
        <is>
          <t>1420/12/03</t>
        </is>
      </c>
    </row>
    <row r="8376">
      <c r="A8376" t="n">
        <v>14201204</v>
      </c>
      <c r="B8376" t="n">
        <v>51919</v>
      </c>
      <c r="C8376" t="inlineStr">
        <is>
          <t>1420/12/04</t>
        </is>
      </c>
    </row>
    <row r="8377">
      <c r="A8377" t="n">
        <v>14201205</v>
      </c>
      <c r="B8377" t="n">
        <v>51920</v>
      </c>
      <c r="C8377" t="inlineStr">
        <is>
          <t>1420/12/05</t>
        </is>
      </c>
    </row>
    <row r="8378">
      <c r="A8378" t="n">
        <v>14201206</v>
      </c>
      <c r="B8378" t="n">
        <v>51921</v>
      </c>
      <c r="C8378" t="inlineStr">
        <is>
          <t>1420/12/06</t>
        </is>
      </c>
    </row>
    <row r="8379">
      <c r="A8379" t="n">
        <v>14201207</v>
      </c>
      <c r="B8379" t="n">
        <v>51922</v>
      </c>
      <c r="C8379" t="inlineStr">
        <is>
          <t>1420/12/07</t>
        </is>
      </c>
    </row>
    <row r="8380">
      <c r="A8380" t="n">
        <v>14201208</v>
      </c>
      <c r="B8380" t="n">
        <v>51923</v>
      </c>
      <c r="C8380" t="inlineStr">
        <is>
          <t>1420/12/08</t>
        </is>
      </c>
    </row>
    <row r="8381">
      <c r="A8381" t="n">
        <v>14201209</v>
      </c>
      <c r="B8381" t="n">
        <v>51924</v>
      </c>
      <c r="C8381" t="inlineStr">
        <is>
          <t>1420/12/09</t>
        </is>
      </c>
    </row>
    <row r="8382">
      <c r="A8382" t="n">
        <v>14201210</v>
      </c>
      <c r="B8382" t="n">
        <v>51925</v>
      </c>
      <c r="C8382" t="inlineStr">
        <is>
          <t>1420/12/10</t>
        </is>
      </c>
    </row>
    <row r="8383">
      <c r="A8383" t="n">
        <v>14201211</v>
      </c>
      <c r="B8383" t="n">
        <v>51926</v>
      </c>
      <c r="C8383" t="inlineStr">
        <is>
          <t>1420/12/11</t>
        </is>
      </c>
    </row>
    <row r="8384">
      <c r="A8384" t="n">
        <v>14201212</v>
      </c>
      <c r="B8384" t="n">
        <v>51927</v>
      </c>
      <c r="C8384" t="inlineStr">
        <is>
          <t>1420/12/12</t>
        </is>
      </c>
    </row>
    <row r="8385">
      <c r="A8385" t="n">
        <v>14201213</v>
      </c>
      <c r="B8385" t="n">
        <v>51928</v>
      </c>
      <c r="C8385" t="inlineStr">
        <is>
          <t>1420/12/13</t>
        </is>
      </c>
    </row>
    <row r="8386">
      <c r="A8386" t="n">
        <v>14201214</v>
      </c>
      <c r="B8386" t="n">
        <v>51929</v>
      </c>
      <c r="C8386" t="inlineStr">
        <is>
          <t>1420/12/14</t>
        </is>
      </c>
    </row>
    <row r="8387">
      <c r="A8387" t="n">
        <v>14201215</v>
      </c>
      <c r="B8387" t="n">
        <v>51930</v>
      </c>
      <c r="C8387" t="inlineStr">
        <is>
          <t>1420/12/15</t>
        </is>
      </c>
    </row>
    <row r="8388">
      <c r="A8388" t="n">
        <v>14201216</v>
      </c>
      <c r="B8388" t="n">
        <v>51931</v>
      </c>
      <c r="C8388" t="inlineStr">
        <is>
          <t>1420/12/16</t>
        </is>
      </c>
    </row>
    <row r="8389">
      <c r="A8389" t="n">
        <v>14201217</v>
      </c>
      <c r="B8389" t="n">
        <v>51932</v>
      </c>
      <c r="C8389" t="inlineStr">
        <is>
          <t>1420/12/17</t>
        </is>
      </c>
    </row>
    <row r="8390">
      <c r="A8390" t="n">
        <v>14201218</v>
      </c>
      <c r="B8390" t="n">
        <v>51933</v>
      </c>
      <c r="C8390" t="inlineStr">
        <is>
          <t>1420/12/18</t>
        </is>
      </c>
    </row>
    <row r="8391">
      <c r="A8391" t="n">
        <v>14201219</v>
      </c>
      <c r="B8391" t="n">
        <v>51934</v>
      </c>
      <c r="C8391" t="inlineStr">
        <is>
          <t>1420/12/19</t>
        </is>
      </c>
    </row>
    <row r="8392">
      <c r="A8392" t="n">
        <v>14201220</v>
      </c>
      <c r="B8392" t="n">
        <v>51935</v>
      </c>
      <c r="C8392" t="inlineStr">
        <is>
          <t>1420/12/20</t>
        </is>
      </c>
    </row>
    <row r="8393">
      <c r="A8393" t="n">
        <v>14201221</v>
      </c>
      <c r="B8393" t="n">
        <v>51936</v>
      </c>
      <c r="C8393" t="inlineStr">
        <is>
          <t>1420/12/21</t>
        </is>
      </c>
    </row>
    <row r="8394">
      <c r="A8394" t="n">
        <v>14201222</v>
      </c>
      <c r="B8394" t="n">
        <v>51937</v>
      </c>
      <c r="C8394" t="inlineStr">
        <is>
          <t>1420/12/22</t>
        </is>
      </c>
    </row>
    <row r="8395">
      <c r="A8395" t="n">
        <v>14201223</v>
      </c>
      <c r="B8395" t="n">
        <v>51938</v>
      </c>
      <c r="C8395" t="inlineStr">
        <is>
          <t>1420/12/23</t>
        </is>
      </c>
    </row>
    <row r="8396">
      <c r="A8396" t="n">
        <v>14201224</v>
      </c>
      <c r="B8396" t="n">
        <v>51939</v>
      </c>
      <c r="C8396" t="inlineStr">
        <is>
          <t>1420/12/24</t>
        </is>
      </c>
    </row>
    <row r="8397">
      <c r="A8397" t="n">
        <v>14201225</v>
      </c>
      <c r="B8397" t="n">
        <v>51940</v>
      </c>
      <c r="C8397" t="inlineStr">
        <is>
          <t>1420/12/25</t>
        </is>
      </c>
    </row>
    <row r="8398">
      <c r="A8398" t="n">
        <v>14201226</v>
      </c>
      <c r="B8398" t="n">
        <v>51941</v>
      </c>
      <c r="C8398" t="inlineStr">
        <is>
          <t>1420/12/26</t>
        </is>
      </c>
    </row>
    <row r="8399">
      <c r="A8399" t="n">
        <v>14201227</v>
      </c>
      <c r="B8399" t="n">
        <v>51942</v>
      </c>
      <c r="C8399" t="inlineStr">
        <is>
          <t>1420/12/27</t>
        </is>
      </c>
    </row>
    <row r="8400">
      <c r="A8400" t="n">
        <v>14201228</v>
      </c>
      <c r="B8400" t="n">
        <v>51943</v>
      </c>
      <c r="C8400" t="inlineStr">
        <is>
          <t>1420/12/28</t>
        </is>
      </c>
    </row>
    <row r="8401">
      <c r="A8401" t="n">
        <v>14201229</v>
      </c>
      <c r="B8401" t="n">
        <v>51944</v>
      </c>
      <c r="C8401" t="inlineStr">
        <is>
          <t>1420/12/29</t>
        </is>
      </c>
    </row>
    <row r="8402">
      <c r="A8402" t="n">
        <v>14201230</v>
      </c>
      <c r="B8402" t="n">
        <v>51945</v>
      </c>
      <c r="C8402" t="inlineStr">
        <is>
          <t>1420/12/30</t>
        </is>
      </c>
    </row>
    <row r="8403">
      <c r="A8403" t="n">
        <v>14210101</v>
      </c>
      <c r="B8403" t="n">
        <v>51946</v>
      </c>
      <c r="C8403" t="inlineStr">
        <is>
          <t>1421/01/01</t>
        </is>
      </c>
    </row>
    <row r="8404">
      <c r="A8404" t="n">
        <v>14210102</v>
      </c>
      <c r="B8404" t="n">
        <v>51947</v>
      </c>
      <c r="C8404" t="inlineStr">
        <is>
          <t>1421/01/02</t>
        </is>
      </c>
    </row>
    <row r="8405">
      <c r="A8405" t="n">
        <v>14210103</v>
      </c>
      <c r="B8405" t="n">
        <v>51948</v>
      </c>
      <c r="C8405" t="inlineStr">
        <is>
          <t>1421/01/03</t>
        </is>
      </c>
    </row>
    <row r="8406">
      <c r="A8406" t="n">
        <v>14210104</v>
      </c>
      <c r="B8406" t="n">
        <v>51949</v>
      </c>
      <c r="C8406" t="inlineStr">
        <is>
          <t>1421/01/04</t>
        </is>
      </c>
    </row>
    <row r="8407">
      <c r="A8407" t="n">
        <v>14210105</v>
      </c>
      <c r="B8407" t="n">
        <v>51950</v>
      </c>
      <c r="C8407" t="inlineStr">
        <is>
          <t>1421/01/05</t>
        </is>
      </c>
    </row>
    <row r="8408">
      <c r="A8408" t="n">
        <v>14210106</v>
      </c>
      <c r="B8408" t="n">
        <v>51951</v>
      </c>
      <c r="C8408" t="inlineStr">
        <is>
          <t>1421/01/06</t>
        </is>
      </c>
    </row>
    <row r="8409">
      <c r="A8409" t="n">
        <v>14210107</v>
      </c>
      <c r="B8409" t="n">
        <v>51952</v>
      </c>
      <c r="C8409" t="inlineStr">
        <is>
          <t>1421/01/07</t>
        </is>
      </c>
    </row>
    <row r="8410">
      <c r="A8410" t="n">
        <v>14210108</v>
      </c>
      <c r="B8410" t="n">
        <v>51953</v>
      </c>
      <c r="C8410" t="inlineStr">
        <is>
          <t>1421/01/08</t>
        </is>
      </c>
    </row>
    <row r="8411">
      <c r="A8411" t="n">
        <v>14210109</v>
      </c>
      <c r="B8411" t="n">
        <v>51954</v>
      </c>
      <c r="C8411" t="inlineStr">
        <is>
          <t>1421/01/09</t>
        </is>
      </c>
    </row>
    <row r="8412">
      <c r="A8412" t="n">
        <v>14210110</v>
      </c>
      <c r="B8412" t="n">
        <v>51955</v>
      </c>
      <c r="C8412" t="inlineStr">
        <is>
          <t>1421/01/10</t>
        </is>
      </c>
    </row>
    <row r="8413">
      <c r="A8413" t="n">
        <v>14210111</v>
      </c>
      <c r="B8413" t="n">
        <v>51956</v>
      </c>
      <c r="C8413" t="inlineStr">
        <is>
          <t>1421/01/11</t>
        </is>
      </c>
    </row>
    <row r="8414">
      <c r="A8414" t="n">
        <v>14210112</v>
      </c>
      <c r="B8414" t="n">
        <v>51957</v>
      </c>
      <c r="C8414" t="inlineStr">
        <is>
          <t>1421/01/12</t>
        </is>
      </c>
    </row>
    <row r="8415">
      <c r="A8415" t="n">
        <v>14210113</v>
      </c>
      <c r="B8415" t="n">
        <v>51958</v>
      </c>
      <c r="C8415" t="inlineStr">
        <is>
          <t>1421/01/13</t>
        </is>
      </c>
    </row>
    <row r="8416">
      <c r="A8416" t="n">
        <v>14210114</v>
      </c>
      <c r="B8416" t="n">
        <v>51959</v>
      </c>
      <c r="C8416" t="inlineStr">
        <is>
          <t>1421/01/14</t>
        </is>
      </c>
    </row>
    <row r="8417">
      <c r="A8417" t="n">
        <v>14210115</v>
      </c>
      <c r="B8417" t="n">
        <v>51960</v>
      </c>
      <c r="C8417" t="inlineStr">
        <is>
          <t>1421/01/15</t>
        </is>
      </c>
    </row>
    <row r="8418">
      <c r="A8418" t="n">
        <v>14210116</v>
      </c>
      <c r="B8418" t="n">
        <v>51961</v>
      </c>
      <c r="C8418" t="inlineStr">
        <is>
          <t>1421/01/16</t>
        </is>
      </c>
    </row>
    <row r="8419">
      <c r="A8419" t="n">
        <v>14210117</v>
      </c>
      <c r="B8419" t="n">
        <v>51962</v>
      </c>
      <c r="C8419" t="inlineStr">
        <is>
          <t>1421/01/17</t>
        </is>
      </c>
    </row>
    <row r="8420">
      <c r="A8420" t="n">
        <v>14210118</v>
      </c>
      <c r="B8420" t="n">
        <v>51963</v>
      </c>
      <c r="C8420" t="inlineStr">
        <is>
          <t>1421/01/18</t>
        </is>
      </c>
    </row>
    <row r="8421">
      <c r="A8421" t="n">
        <v>14210119</v>
      </c>
      <c r="B8421" t="n">
        <v>51964</v>
      </c>
      <c r="C8421" t="inlineStr">
        <is>
          <t>1421/01/19</t>
        </is>
      </c>
    </row>
    <row r="8422">
      <c r="A8422" t="n">
        <v>14210120</v>
      </c>
      <c r="B8422" t="n">
        <v>51965</v>
      </c>
      <c r="C8422" t="inlineStr">
        <is>
          <t>1421/01/20</t>
        </is>
      </c>
    </row>
    <row r="8423">
      <c r="A8423" t="n">
        <v>14210121</v>
      </c>
      <c r="B8423" t="n">
        <v>51966</v>
      </c>
      <c r="C8423" t="inlineStr">
        <is>
          <t>1421/01/21</t>
        </is>
      </c>
    </row>
    <row r="8424">
      <c r="A8424" t="n">
        <v>14210122</v>
      </c>
      <c r="B8424" t="n">
        <v>51967</v>
      </c>
      <c r="C8424" t="inlineStr">
        <is>
          <t>1421/01/22</t>
        </is>
      </c>
    </row>
    <row r="8425">
      <c r="A8425" t="n">
        <v>14210123</v>
      </c>
      <c r="B8425" t="n">
        <v>51968</v>
      </c>
      <c r="C8425" t="inlineStr">
        <is>
          <t>1421/01/23</t>
        </is>
      </c>
    </row>
    <row r="8426">
      <c r="A8426" t="n">
        <v>14210124</v>
      </c>
      <c r="B8426" t="n">
        <v>51969</v>
      </c>
      <c r="C8426" t="inlineStr">
        <is>
          <t>1421/01/24</t>
        </is>
      </c>
    </row>
    <row r="8427">
      <c r="A8427" t="n">
        <v>14210125</v>
      </c>
      <c r="B8427" t="n">
        <v>51970</v>
      </c>
      <c r="C8427" t="inlineStr">
        <is>
          <t>1421/01/25</t>
        </is>
      </c>
    </row>
    <row r="8428">
      <c r="A8428" t="n">
        <v>14210126</v>
      </c>
      <c r="B8428" t="n">
        <v>51971</v>
      </c>
      <c r="C8428" t="inlineStr">
        <is>
          <t>1421/01/26</t>
        </is>
      </c>
    </row>
    <row r="8429">
      <c r="A8429" t="n">
        <v>14210127</v>
      </c>
      <c r="B8429" t="n">
        <v>51972</v>
      </c>
      <c r="C8429" t="inlineStr">
        <is>
          <t>1421/01/27</t>
        </is>
      </c>
    </row>
    <row r="8430">
      <c r="A8430" t="n">
        <v>14210128</v>
      </c>
      <c r="B8430" t="n">
        <v>51973</v>
      </c>
      <c r="C8430" t="inlineStr">
        <is>
          <t>1421/01/28</t>
        </is>
      </c>
    </row>
    <row r="8431">
      <c r="A8431" t="n">
        <v>14210129</v>
      </c>
      <c r="B8431" t="n">
        <v>51974</v>
      </c>
      <c r="C8431" t="inlineStr">
        <is>
          <t>1421/01/29</t>
        </is>
      </c>
    </row>
    <row r="8432">
      <c r="A8432" t="n">
        <v>14210130</v>
      </c>
      <c r="B8432" t="n">
        <v>51975</v>
      </c>
      <c r="C8432" t="inlineStr">
        <is>
          <t>1421/01/30</t>
        </is>
      </c>
    </row>
    <row r="8433">
      <c r="A8433" t="n">
        <v>14210131</v>
      </c>
      <c r="B8433" t="n">
        <v>51976</v>
      </c>
      <c r="C8433" t="inlineStr">
        <is>
          <t>1421/01/31</t>
        </is>
      </c>
    </row>
    <row r="8434">
      <c r="A8434" t="n">
        <v>14210201</v>
      </c>
      <c r="B8434" t="n">
        <v>51977</v>
      </c>
      <c r="C8434" t="inlineStr">
        <is>
          <t>1421/02/01</t>
        </is>
      </c>
    </row>
    <row r="8435">
      <c r="A8435" t="n">
        <v>14210202</v>
      </c>
      <c r="B8435" t="n">
        <v>51978</v>
      </c>
      <c r="C8435" t="inlineStr">
        <is>
          <t>1421/02/02</t>
        </is>
      </c>
    </row>
    <row r="8436">
      <c r="A8436" t="n">
        <v>14210203</v>
      </c>
      <c r="B8436" t="n">
        <v>51979</v>
      </c>
      <c r="C8436" t="inlineStr">
        <is>
          <t>1421/02/03</t>
        </is>
      </c>
    </row>
    <row r="8437">
      <c r="A8437" t="n">
        <v>14210204</v>
      </c>
      <c r="B8437" t="n">
        <v>51980</v>
      </c>
      <c r="C8437" t="inlineStr">
        <is>
          <t>1421/02/04</t>
        </is>
      </c>
    </row>
    <row r="8438">
      <c r="A8438" t="n">
        <v>14210205</v>
      </c>
      <c r="B8438" t="n">
        <v>51981</v>
      </c>
      <c r="C8438" t="inlineStr">
        <is>
          <t>1421/02/05</t>
        </is>
      </c>
    </row>
    <row r="8439">
      <c r="A8439" t="n">
        <v>14210206</v>
      </c>
      <c r="B8439" t="n">
        <v>51982</v>
      </c>
      <c r="C8439" t="inlineStr">
        <is>
          <t>1421/02/06</t>
        </is>
      </c>
    </row>
    <row r="8440">
      <c r="A8440" t="n">
        <v>14210207</v>
      </c>
      <c r="B8440" t="n">
        <v>51983</v>
      </c>
      <c r="C8440" t="inlineStr">
        <is>
          <t>1421/02/07</t>
        </is>
      </c>
    </row>
    <row r="8441">
      <c r="A8441" t="n">
        <v>14210208</v>
      </c>
      <c r="B8441" t="n">
        <v>51984</v>
      </c>
      <c r="C8441" t="inlineStr">
        <is>
          <t>1421/02/08</t>
        </is>
      </c>
    </row>
    <row r="8442">
      <c r="A8442" t="n">
        <v>14210209</v>
      </c>
      <c r="B8442" t="n">
        <v>51985</v>
      </c>
      <c r="C8442" t="inlineStr">
        <is>
          <t>1421/02/09</t>
        </is>
      </c>
    </row>
    <row r="8443">
      <c r="A8443" t="n">
        <v>14210210</v>
      </c>
      <c r="B8443" t="n">
        <v>51986</v>
      </c>
      <c r="C8443" t="inlineStr">
        <is>
          <t>1421/02/10</t>
        </is>
      </c>
    </row>
    <row r="8444">
      <c r="A8444" t="n">
        <v>14210211</v>
      </c>
      <c r="B8444" t="n">
        <v>51987</v>
      </c>
      <c r="C8444" t="inlineStr">
        <is>
          <t>1421/02/11</t>
        </is>
      </c>
    </row>
    <row r="8445">
      <c r="A8445" t="n">
        <v>14210212</v>
      </c>
      <c r="B8445" t="n">
        <v>51988</v>
      </c>
      <c r="C8445" t="inlineStr">
        <is>
          <t>1421/02/12</t>
        </is>
      </c>
    </row>
    <row r="8446">
      <c r="A8446" t="n">
        <v>14210213</v>
      </c>
      <c r="B8446" t="n">
        <v>51989</v>
      </c>
      <c r="C8446" t="inlineStr">
        <is>
          <t>1421/02/13</t>
        </is>
      </c>
    </row>
    <row r="8447">
      <c r="A8447" t="n">
        <v>14210214</v>
      </c>
      <c r="B8447" t="n">
        <v>51990</v>
      </c>
      <c r="C8447" t="inlineStr">
        <is>
          <t>1421/02/14</t>
        </is>
      </c>
    </row>
    <row r="8448">
      <c r="A8448" t="n">
        <v>14210215</v>
      </c>
      <c r="B8448" t="n">
        <v>51991</v>
      </c>
      <c r="C8448" t="inlineStr">
        <is>
          <t>1421/02/15</t>
        </is>
      </c>
    </row>
    <row r="8449">
      <c r="A8449" t="n">
        <v>14210216</v>
      </c>
      <c r="B8449" t="n">
        <v>51992</v>
      </c>
      <c r="C8449" t="inlineStr">
        <is>
          <t>1421/02/16</t>
        </is>
      </c>
    </row>
    <row r="8450">
      <c r="A8450" t="n">
        <v>14210217</v>
      </c>
      <c r="B8450" t="n">
        <v>51993</v>
      </c>
      <c r="C8450" t="inlineStr">
        <is>
          <t>1421/02/17</t>
        </is>
      </c>
    </row>
    <row r="8451">
      <c r="A8451" t="n">
        <v>14210218</v>
      </c>
      <c r="B8451" t="n">
        <v>51994</v>
      </c>
      <c r="C8451" t="inlineStr">
        <is>
          <t>1421/02/18</t>
        </is>
      </c>
    </row>
    <row r="8452">
      <c r="A8452" t="n">
        <v>14210219</v>
      </c>
      <c r="B8452" t="n">
        <v>51995</v>
      </c>
      <c r="C8452" t="inlineStr">
        <is>
          <t>1421/02/19</t>
        </is>
      </c>
    </row>
    <row r="8453">
      <c r="A8453" t="n">
        <v>14210220</v>
      </c>
      <c r="B8453" t="n">
        <v>51996</v>
      </c>
      <c r="C8453" t="inlineStr">
        <is>
          <t>1421/02/20</t>
        </is>
      </c>
    </row>
    <row r="8454">
      <c r="A8454" t="n">
        <v>14210221</v>
      </c>
      <c r="B8454" t="n">
        <v>51997</v>
      </c>
      <c r="C8454" t="inlineStr">
        <is>
          <t>1421/02/21</t>
        </is>
      </c>
    </row>
    <row r="8455">
      <c r="A8455" t="n">
        <v>14210222</v>
      </c>
      <c r="B8455" t="n">
        <v>51998</v>
      </c>
      <c r="C8455" t="inlineStr">
        <is>
          <t>1421/02/22</t>
        </is>
      </c>
    </row>
    <row r="8456">
      <c r="A8456" t="n">
        <v>14210223</v>
      </c>
      <c r="B8456" t="n">
        <v>51999</v>
      </c>
      <c r="C8456" t="inlineStr">
        <is>
          <t>1421/02/23</t>
        </is>
      </c>
    </row>
    <row r="8457">
      <c r="A8457" t="n">
        <v>14210224</v>
      </c>
      <c r="B8457" t="n">
        <v>52000</v>
      </c>
      <c r="C8457" t="inlineStr">
        <is>
          <t>1421/02/24</t>
        </is>
      </c>
    </row>
    <row r="8458">
      <c r="A8458" t="n">
        <v>14210225</v>
      </c>
      <c r="B8458" t="n">
        <v>52001</v>
      </c>
      <c r="C8458" t="inlineStr">
        <is>
          <t>1421/02/25</t>
        </is>
      </c>
    </row>
    <row r="8459">
      <c r="A8459" t="n">
        <v>14210226</v>
      </c>
      <c r="B8459" t="n">
        <v>52002</v>
      </c>
      <c r="C8459" t="inlineStr">
        <is>
          <t>1421/02/26</t>
        </is>
      </c>
    </row>
    <row r="8460">
      <c r="A8460" t="n">
        <v>14210227</v>
      </c>
      <c r="B8460" t="n">
        <v>52003</v>
      </c>
      <c r="C8460" t="inlineStr">
        <is>
          <t>1421/02/27</t>
        </is>
      </c>
    </row>
    <row r="8461">
      <c r="A8461" t="n">
        <v>14210228</v>
      </c>
      <c r="B8461" t="n">
        <v>52004</v>
      </c>
      <c r="C8461" t="inlineStr">
        <is>
          <t>1421/02/28</t>
        </is>
      </c>
    </row>
    <row r="8462">
      <c r="A8462" t="n">
        <v>14210229</v>
      </c>
      <c r="B8462" t="n">
        <v>52005</v>
      </c>
      <c r="C8462" t="inlineStr">
        <is>
          <t>1421/02/29</t>
        </is>
      </c>
    </row>
    <row r="8463">
      <c r="A8463" t="n">
        <v>14210230</v>
      </c>
      <c r="B8463" t="n">
        <v>52006</v>
      </c>
      <c r="C8463" t="inlineStr">
        <is>
          <t>1421/02/30</t>
        </is>
      </c>
    </row>
    <row r="8464">
      <c r="A8464" t="n">
        <v>14210231</v>
      </c>
      <c r="B8464" t="n">
        <v>52007</v>
      </c>
      <c r="C8464" t="inlineStr">
        <is>
          <t>1421/02/31</t>
        </is>
      </c>
    </row>
    <row r="8465">
      <c r="A8465" t="n">
        <v>14210301</v>
      </c>
      <c r="B8465" t="n">
        <v>52008</v>
      </c>
      <c r="C8465" t="inlineStr">
        <is>
          <t>1421/03/01</t>
        </is>
      </c>
    </row>
    <row r="8466">
      <c r="A8466" t="n">
        <v>14210302</v>
      </c>
      <c r="B8466" t="n">
        <v>52009</v>
      </c>
      <c r="C8466" t="inlineStr">
        <is>
          <t>1421/03/02</t>
        </is>
      </c>
    </row>
    <row r="8467">
      <c r="A8467" t="n">
        <v>14210303</v>
      </c>
      <c r="B8467" t="n">
        <v>52010</v>
      </c>
      <c r="C8467" t="inlineStr">
        <is>
          <t>1421/03/03</t>
        </is>
      </c>
    </row>
    <row r="8468">
      <c r="A8468" t="n">
        <v>14210304</v>
      </c>
      <c r="B8468" t="n">
        <v>52011</v>
      </c>
      <c r="C8468" t="inlineStr">
        <is>
          <t>1421/03/04</t>
        </is>
      </c>
    </row>
    <row r="8469">
      <c r="A8469" t="n">
        <v>14210305</v>
      </c>
      <c r="B8469" t="n">
        <v>52012</v>
      </c>
      <c r="C8469" t="inlineStr">
        <is>
          <t>1421/03/05</t>
        </is>
      </c>
    </row>
    <row r="8470">
      <c r="A8470" t="n">
        <v>14210306</v>
      </c>
      <c r="B8470" t="n">
        <v>52013</v>
      </c>
      <c r="C8470" t="inlineStr">
        <is>
          <t>1421/03/06</t>
        </is>
      </c>
    </row>
    <row r="8471">
      <c r="A8471" t="n">
        <v>14210307</v>
      </c>
      <c r="B8471" t="n">
        <v>52014</v>
      </c>
      <c r="C8471" t="inlineStr">
        <is>
          <t>1421/03/07</t>
        </is>
      </c>
    </row>
    <row r="8472">
      <c r="A8472" t="n">
        <v>14210308</v>
      </c>
      <c r="B8472" t="n">
        <v>52015</v>
      </c>
      <c r="C8472" t="inlineStr">
        <is>
          <t>1421/03/08</t>
        </is>
      </c>
    </row>
    <row r="8473">
      <c r="A8473" t="n">
        <v>14210309</v>
      </c>
      <c r="B8473" t="n">
        <v>52016</v>
      </c>
      <c r="C8473" t="inlineStr">
        <is>
          <t>1421/03/09</t>
        </is>
      </c>
    </row>
    <row r="8474">
      <c r="A8474" t="n">
        <v>14210310</v>
      </c>
      <c r="B8474" t="n">
        <v>52017</v>
      </c>
      <c r="C8474" t="inlineStr">
        <is>
          <t>1421/03/10</t>
        </is>
      </c>
    </row>
    <row r="8475">
      <c r="A8475" t="n">
        <v>14210311</v>
      </c>
      <c r="B8475" t="n">
        <v>52018</v>
      </c>
      <c r="C8475" t="inlineStr">
        <is>
          <t>1421/03/11</t>
        </is>
      </c>
    </row>
    <row r="8476">
      <c r="A8476" t="n">
        <v>14210312</v>
      </c>
      <c r="B8476" t="n">
        <v>52019</v>
      </c>
      <c r="C8476" t="inlineStr">
        <is>
          <t>1421/03/12</t>
        </is>
      </c>
    </row>
    <row r="8477">
      <c r="A8477" t="n">
        <v>14210313</v>
      </c>
      <c r="B8477" t="n">
        <v>52020</v>
      </c>
      <c r="C8477" t="inlineStr">
        <is>
          <t>1421/03/13</t>
        </is>
      </c>
    </row>
    <row r="8478">
      <c r="A8478" t="n">
        <v>14210314</v>
      </c>
      <c r="B8478" t="n">
        <v>52021</v>
      </c>
      <c r="C8478" t="inlineStr">
        <is>
          <t>1421/03/14</t>
        </is>
      </c>
    </row>
    <row r="8479">
      <c r="A8479" t="n">
        <v>14210315</v>
      </c>
      <c r="B8479" t="n">
        <v>52022</v>
      </c>
      <c r="C8479" t="inlineStr">
        <is>
          <t>1421/03/15</t>
        </is>
      </c>
    </row>
    <row r="8480">
      <c r="A8480" t="n">
        <v>14210316</v>
      </c>
      <c r="B8480" t="n">
        <v>52023</v>
      </c>
      <c r="C8480" t="inlineStr">
        <is>
          <t>1421/03/16</t>
        </is>
      </c>
    </row>
    <row r="8481">
      <c r="A8481" t="n">
        <v>14210317</v>
      </c>
      <c r="B8481" t="n">
        <v>52024</v>
      </c>
      <c r="C8481" t="inlineStr">
        <is>
          <t>1421/03/17</t>
        </is>
      </c>
    </row>
    <row r="8482">
      <c r="A8482" t="n">
        <v>14210318</v>
      </c>
      <c r="B8482" t="n">
        <v>52025</v>
      </c>
      <c r="C8482" t="inlineStr">
        <is>
          <t>1421/03/18</t>
        </is>
      </c>
    </row>
    <row r="8483">
      <c r="A8483" t="n">
        <v>14210319</v>
      </c>
      <c r="B8483" t="n">
        <v>52026</v>
      </c>
      <c r="C8483" t="inlineStr">
        <is>
          <t>1421/03/19</t>
        </is>
      </c>
    </row>
    <row r="8484">
      <c r="A8484" t="n">
        <v>14210320</v>
      </c>
      <c r="B8484" t="n">
        <v>52027</v>
      </c>
      <c r="C8484" t="inlineStr">
        <is>
          <t>1421/03/20</t>
        </is>
      </c>
    </row>
    <row r="8485">
      <c r="A8485" t="n">
        <v>14210321</v>
      </c>
      <c r="B8485" t="n">
        <v>52028</v>
      </c>
      <c r="C8485" t="inlineStr">
        <is>
          <t>1421/03/21</t>
        </is>
      </c>
    </row>
    <row r="8486">
      <c r="A8486" t="n">
        <v>14210322</v>
      </c>
      <c r="B8486" t="n">
        <v>52029</v>
      </c>
      <c r="C8486" t="inlineStr">
        <is>
          <t>1421/03/22</t>
        </is>
      </c>
    </row>
    <row r="8487">
      <c r="A8487" t="n">
        <v>14210323</v>
      </c>
      <c r="B8487" t="n">
        <v>52030</v>
      </c>
      <c r="C8487" t="inlineStr">
        <is>
          <t>1421/03/23</t>
        </is>
      </c>
    </row>
    <row r="8488">
      <c r="A8488" t="n">
        <v>14210324</v>
      </c>
      <c r="B8488" t="n">
        <v>52031</v>
      </c>
      <c r="C8488" t="inlineStr">
        <is>
          <t>1421/03/24</t>
        </is>
      </c>
    </row>
    <row r="8489">
      <c r="A8489" t="n">
        <v>14210325</v>
      </c>
      <c r="B8489" t="n">
        <v>52032</v>
      </c>
      <c r="C8489" t="inlineStr">
        <is>
          <t>1421/03/25</t>
        </is>
      </c>
    </row>
    <row r="8490">
      <c r="A8490" t="n">
        <v>14210326</v>
      </c>
      <c r="B8490" t="n">
        <v>52033</v>
      </c>
      <c r="C8490" t="inlineStr">
        <is>
          <t>1421/03/26</t>
        </is>
      </c>
    </row>
    <row r="8491">
      <c r="A8491" t="n">
        <v>14210327</v>
      </c>
      <c r="B8491" t="n">
        <v>52034</v>
      </c>
      <c r="C8491" t="inlineStr">
        <is>
          <t>1421/03/27</t>
        </is>
      </c>
    </row>
    <row r="8492">
      <c r="A8492" t="n">
        <v>14210328</v>
      </c>
      <c r="B8492" t="n">
        <v>52035</v>
      </c>
      <c r="C8492" t="inlineStr">
        <is>
          <t>1421/03/28</t>
        </is>
      </c>
    </row>
    <row r="8493">
      <c r="A8493" t="n">
        <v>14210329</v>
      </c>
      <c r="B8493" t="n">
        <v>52036</v>
      </c>
      <c r="C8493" t="inlineStr">
        <is>
          <t>1421/03/29</t>
        </is>
      </c>
    </row>
    <row r="8494">
      <c r="A8494" t="n">
        <v>14210330</v>
      </c>
      <c r="B8494" t="n">
        <v>52037</v>
      </c>
      <c r="C8494" t="inlineStr">
        <is>
          <t>1421/03/30</t>
        </is>
      </c>
    </row>
    <row r="8495">
      <c r="A8495" t="n">
        <v>14210331</v>
      </c>
      <c r="B8495" t="n">
        <v>52038</v>
      </c>
      <c r="C8495" t="inlineStr">
        <is>
          <t>1421/03/31</t>
        </is>
      </c>
    </row>
    <row r="8496">
      <c r="A8496" t="n">
        <v>14210401</v>
      </c>
      <c r="B8496" t="n">
        <v>52039</v>
      </c>
      <c r="C8496" t="inlineStr">
        <is>
          <t>1421/04/01</t>
        </is>
      </c>
    </row>
    <row r="8497">
      <c r="A8497" t="n">
        <v>14210402</v>
      </c>
      <c r="B8497" t="n">
        <v>52040</v>
      </c>
      <c r="C8497" t="inlineStr">
        <is>
          <t>1421/04/02</t>
        </is>
      </c>
    </row>
    <row r="8498">
      <c r="A8498" t="n">
        <v>14210403</v>
      </c>
      <c r="B8498" t="n">
        <v>52041</v>
      </c>
      <c r="C8498" t="inlineStr">
        <is>
          <t>1421/04/03</t>
        </is>
      </c>
    </row>
    <row r="8499">
      <c r="A8499" t="n">
        <v>14210404</v>
      </c>
      <c r="B8499" t="n">
        <v>52042</v>
      </c>
      <c r="C8499" t="inlineStr">
        <is>
          <t>1421/04/04</t>
        </is>
      </c>
    </row>
    <row r="8500">
      <c r="A8500" t="n">
        <v>14210405</v>
      </c>
      <c r="B8500" t="n">
        <v>52043</v>
      </c>
      <c r="C8500" t="inlineStr">
        <is>
          <t>1421/04/05</t>
        </is>
      </c>
    </row>
    <row r="8501">
      <c r="A8501" t="n">
        <v>14210406</v>
      </c>
      <c r="B8501" t="n">
        <v>52044</v>
      </c>
      <c r="C8501" t="inlineStr">
        <is>
          <t>1421/04/06</t>
        </is>
      </c>
    </row>
    <row r="8502">
      <c r="A8502" t="n">
        <v>14210407</v>
      </c>
      <c r="B8502" t="n">
        <v>52045</v>
      </c>
      <c r="C8502" t="inlineStr">
        <is>
          <t>1421/04/07</t>
        </is>
      </c>
    </row>
    <row r="8503">
      <c r="A8503" t="n">
        <v>14210408</v>
      </c>
      <c r="B8503" t="n">
        <v>52046</v>
      </c>
      <c r="C8503" t="inlineStr">
        <is>
          <t>1421/04/08</t>
        </is>
      </c>
    </row>
    <row r="8504">
      <c r="A8504" t="n">
        <v>14210409</v>
      </c>
      <c r="B8504" t="n">
        <v>52047</v>
      </c>
      <c r="C8504" t="inlineStr">
        <is>
          <t>1421/04/09</t>
        </is>
      </c>
    </row>
    <row r="8505">
      <c r="A8505" t="n">
        <v>14210410</v>
      </c>
      <c r="B8505" t="n">
        <v>52048</v>
      </c>
      <c r="C8505" t="inlineStr">
        <is>
          <t>1421/04/10</t>
        </is>
      </c>
    </row>
    <row r="8506">
      <c r="A8506" t="n">
        <v>14210411</v>
      </c>
      <c r="B8506" t="n">
        <v>52049</v>
      </c>
      <c r="C8506" t="inlineStr">
        <is>
          <t>1421/04/11</t>
        </is>
      </c>
    </row>
    <row r="8507">
      <c r="A8507" t="n">
        <v>14210412</v>
      </c>
      <c r="B8507" t="n">
        <v>52050</v>
      </c>
      <c r="C8507" t="inlineStr">
        <is>
          <t>1421/04/12</t>
        </is>
      </c>
    </row>
    <row r="8508">
      <c r="A8508" t="n">
        <v>14210413</v>
      </c>
      <c r="B8508" t="n">
        <v>52051</v>
      </c>
      <c r="C8508" t="inlineStr">
        <is>
          <t>1421/04/13</t>
        </is>
      </c>
    </row>
    <row r="8509">
      <c r="A8509" t="n">
        <v>14210414</v>
      </c>
      <c r="B8509" t="n">
        <v>52052</v>
      </c>
      <c r="C8509" t="inlineStr">
        <is>
          <t>1421/04/14</t>
        </is>
      </c>
    </row>
    <row r="8510">
      <c r="A8510" t="n">
        <v>14210415</v>
      </c>
      <c r="B8510" t="n">
        <v>52053</v>
      </c>
      <c r="C8510" t="inlineStr">
        <is>
          <t>1421/04/15</t>
        </is>
      </c>
    </row>
    <row r="8511">
      <c r="A8511" t="n">
        <v>14210416</v>
      </c>
      <c r="B8511" t="n">
        <v>52054</v>
      </c>
      <c r="C8511" t="inlineStr">
        <is>
          <t>1421/04/16</t>
        </is>
      </c>
    </row>
    <row r="8512">
      <c r="A8512" t="n">
        <v>14210417</v>
      </c>
      <c r="B8512" t="n">
        <v>52055</v>
      </c>
      <c r="C8512" t="inlineStr">
        <is>
          <t>1421/04/17</t>
        </is>
      </c>
    </row>
    <row r="8513">
      <c r="A8513" t="n">
        <v>14210418</v>
      </c>
      <c r="B8513" t="n">
        <v>52056</v>
      </c>
      <c r="C8513" t="inlineStr">
        <is>
          <t>1421/04/18</t>
        </is>
      </c>
    </row>
    <row r="8514">
      <c r="A8514" t="n">
        <v>14210419</v>
      </c>
      <c r="B8514" t="n">
        <v>52057</v>
      </c>
      <c r="C8514" t="inlineStr">
        <is>
          <t>1421/04/19</t>
        </is>
      </c>
    </row>
    <row r="8515">
      <c r="A8515" t="n">
        <v>14210420</v>
      </c>
      <c r="B8515" t="n">
        <v>52058</v>
      </c>
      <c r="C8515" t="inlineStr">
        <is>
          <t>1421/04/20</t>
        </is>
      </c>
    </row>
    <row r="8516">
      <c r="A8516" t="n">
        <v>14210421</v>
      </c>
      <c r="B8516" t="n">
        <v>52059</v>
      </c>
      <c r="C8516" t="inlineStr">
        <is>
          <t>1421/04/21</t>
        </is>
      </c>
    </row>
    <row r="8517">
      <c r="A8517" t="n">
        <v>14210422</v>
      </c>
      <c r="B8517" t="n">
        <v>52060</v>
      </c>
      <c r="C8517" t="inlineStr">
        <is>
          <t>1421/04/22</t>
        </is>
      </c>
    </row>
    <row r="8518">
      <c r="A8518" t="n">
        <v>14210423</v>
      </c>
      <c r="B8518" t="n">
        <v>52061</v>
      </c>
      <c r="C8518" t="inlineStr">
        <is>
          <t>1421/04/23</t>
        </is>
      </c>
    </row>
    <row r="8519">
      <c r="A8519" t="n">
        <v>14210424</v>
      </c>
      <c r="B8519" t="n">
        <v>52062</v>
      </c>
      <c r="C8519" t="inlineStr">
        <is>
          <t>1421/04/24</t>
        </is>
      </c>
    </row>
    <row r="8520">
      <c r="A8520" t="n">
        <v>14210425</v>
      </c>
      <c r="B8520" t="n">
        <v>52063</v>
      </c>
      <c r="C8520" t="inlineStr">
        <is>
          <t>1421/04/25</t>
        </is>
      </c>
    </row>
    <row r="8521">
      <c r="A8521" t="n">
        <v>14210426</v>
      </c>
      <c r="B8521" t="n">
        <v>52064</v>
      </c>
      <c r="C8521" t="inlineStr">
        <is>
          <t>1421/04/26</t>
        </is>
      </c>
    </row>
    <row r="8522">
      <c r="A8522" t="n">
        <v>14210427</v>
      </c>
      <c r="B8522" t="n">
        <v>52065</v>
      </c>
      <c r="C8522" t="inlineStr">
        <is>
          <t>1421/04/27</t>
        </is>
      </c>
    </row>
    <row r="8523">
      <c r="A8523" t="n">
        <v>14210428</v>
      </c>
      <c r="B8523" t="n">
        <v>52066</v>
      </c>
      <c r="C8523" t="inlineStr">
        <is>
          <t>1421/04/28</t>
        </is>
      </c>
    </row>
    <row r="8524">
      <c r="A8524" t="n">
        <v>14210429</v>
      </c>
      <c r="B8524" t="n">
        <v>52067</v>
      </c>
      <c r="C8524" t="inlineStr">
        <is>
          <t>1421/04/29</t>
        </is>
      </c>
    </row>
    <row r="8525">
      <c r="A8525" t="n">
        <v>14210430</v>
      </c>
      <c r="B8525" t="n">
        <v>52068</v>
      </c>
      <c r="C8525" t="inlineStr">
        <is>
          <t>1421/04/30</t>
        </is>
      </c>
    </row>
    <row r="8526">
      <c r="A8526" t="n">
        <v>14210431</v>
      </c>
      <c r="B8526" t="n">
        <v>52069</v>
      </c>
      <c r="C8526" t="inlineStr">
        <is>
          <t>1421/04/31</t>
        </is>
      </c>
    </row>
    <row r="8527">
      <c r="A8527" t="n">
        <v>14210501</v>
      </c>
      <c r="B8527" t="n">
        <v>52070</v>
      </c>
      <c r="C8527" t="inlineStr">
        <is>
          <t>1421/05/01</t>
        </is>
      </c>
    </row>
    <row r="8528">
      <c r="A8528" t="n">
        <v>14210502</v>
      </c>
      <c r="B8528" t="n">
        <v>52071</v>
      </c>
      <c r="C8528" t="inlineStr">
        <is>
          <t>1421/05/02</t>
        </is>
      </c>
    </row>
    <row r="8529">
      <c r="A8529" t="n">
        <v>14210503</v>
      </c>
      <c r="B8529" t="n">
        <v>52072</v>
      </c>
      <c r="C8529" t="inlineStr">
        <is>
          <t>1421/05/03</t>
        </is>
      </c>
    </row>
    <row r="8530">
      <c r="A8530" t="n">
        <v>14210504</v>
      </c>
      <c r="B8530" t="n">
        <v>52073</v>
      </c>
      <c r="C8530" t="inlineStr">
        <is>
          <t>1421/05/04</t>
        </is>
      </c>
    </row>
    <row r="8531">
      <c r="A8531" t="n">
        <v>14210505</v>
      </c>
      <c r="B8531" t="n">
        <v>52074</v>
      </c>
      <c r="C8531" t="inlineStr">
        <is>
          <t>1421/05/05</t>
        </is>
      </c>
    </row>
    <row r="8532">
      <c r="A8532" t="n">
        <v>14210506</v>
      </c>
      <c r="B8532" t="n">
        <v>52075</v>
      </c>
      <c r="C8532" t="inlineStr">
        <is>
          <t>1421/05/06</t>
        </is>
      </c>
    </row>
    <row r="8533">
      <c r="A8533" t="n">
        <v>14210507</v>
      </c>
      <c r="B8533" t="n">
        <v>52076</v>
      </c>
      <c r="C8533" t="inlineStr">
        <is>
          <t>1421/05/07</t>
        </is>
      </c>
    </row>
    <row r="8534">
      <c r="A8534" t="n">
        <v>14210508</v>
      </c>
      <c r="B8534" t="n">
        <v>52077</v>
      </c>
      <c r="C8534" t="inlineStr">
        <is>
          <t>1421/05/08</t>
        </is>
      </c>
    </row>
    <row r="8535">
      <c r="A8535" t="n">
        <v>14210509</v>
      </c>
      <c r="B8535" t="n">
        <v>52078</v>
      </c>
      <c r="C8535" t="inlineStr">
        <is>
          <t>1421/05/09</t>
        </is>
      </c>
    </row>
    <row r="8536">
      <c r="A8536" t="n">
        <v>14210510</v>
      </c>
      <c r="B8536" t="n">
        <v>52079</v>
      </c>
      <c r="C8536" t="inlineStr">
        <is>
          <t>1421/05/10</t>
        </is>
      </c>
    </row>
    <row r="8537">
      <c r="A8537" t="n">
        <v>14210511</v>
      </c>
      <c r="B8537" t="n">
        <v>52080</v>
      </c>
      <c r="C8537" t="inlineStr">
        <is>
          <t>1421/05/11</t>
        </is>
      </c>
    </row>
    <row r="8538">
      <c r="A8538" t="n">
        <v>14210512</v>
      </c>
      <c r="B8538" t="n">
        <v>52081</v>
      </c>
      <c r="C8538" t="inlineStr">
        <is>
          <t>1421/05/12</t>
        </is>
      </c>
    </row>
    <row r="8539">
      <c r="A8539" t="n">
        <v>14210513</v>
      </c>
      <c r="B8539" t="n">
        <v>52082</v>
      </c>
      <c r="C8539" t="inlineStr">
        <is>
          <t>1421/05/13</t>
        </is>
      </c>
    </row>
    <row r="8540">
      <c r="A8540" t="n">
        <v>14210514</v>
      </c>
      <c r="B8540" t="n">
        <v>52083</v>
      </c>
      <c r="C8540" t="inlineStr">
        <is>
          <t>1421/05/14</t>
        </is>
      </c>
    </row>
    <row r="8541">
      <c r="A8541" t="n">
        <v>14210515</v>
      </c>
      <c r="B8541" t="n">
        <v>52084</v>
      </c>
      <c r="C8541" t="inlineStr">
        <is>
          <t>1421/05/15</t>
        </is>
      </c>
    </row>
    <row r="8542">
      <c r="A8542" t="n">
        <v>14210516</v>
      </c>
      <c r="B8542" t="n">
        <v>52085</v>
      </c>
      <c r="C8542" t="inlineStr">
        <is>
          <t>1421/05/16</t>
        </is>
      </c>
    </row>
    <row r="8543">
      <c r="A8543" t="n">
        <v>14210517</v>
      </c>
      <c r="B8543" t="n">
        <v>52086</v>
      </c>
      <c r="C8543" t="inlineStr">
        <is>
          <t>1421/05/17</t>
        </is>
      </c>
    </row>
    <row r="8544">
      <c r="A8544" t="n">
        <v>14210518</v>
      </c>
      <c r="B8544" t="n">
        <v>52087</v>
      </c>
      <c r="C8544" t="inlineStr">
        <is>
          <t>1421/05/18</t>
        </is>
      </c>
    </row>
    <row r="8545">
      <c r="A8545" t="n">
        <v>14210519</v>
      </c>
      <c r="B8545" t="n">
        <v>52088</v>
      </c>
      <c r="C8545" t="inlineStr">
        <is>
          <t>1421/05/19</t>
        </is>
      </c>
    </row>
    <row r="8546">
      <c r="A8546" t="n">
        <v>14210520</v>
      </c>
      <c r="B8546" t="n">
        <v>52089</v>
      </c>
      <c r="C8546" t="inlineStr">
        <is>
          <t>1421/05/20</t>
        </is>
      </c>
    </row>
    <row r="8547">
      <c r="A8547" t="n">
        <v>14210521</v>
      </c>
      <c r="B8547" t="n">
        <v>52090</v>
      </c>
      <c r="C8547" t="inlineStr">
        <is>
          <t>1421/05/21</t>
        </is>
      </c>
    </row>
    <row r="8548">
      <c r="A8548" t="n">
        <v>14210522</v>
      </c>
      <c r="B8548" t="n">
        <v>52091</v>
      </c>
      <c r="C8548" t="inlineStr">
        <is>
          <t>1421/05/22</t>
        </is>
      </c>
    </row>
    <row r="8549">
      <c r="A8549" t="n">
        <v>14210523</v>
      </c>
      <c r="B8549" t="n">
        <v>52092</v>
      </c>
      <c r="C8549" t="inlineStr">
        <is>
          <t>1421/05/23</t>
        </is>
      </c>
    </row>
    <row r="8550">
      <c r="A8550" t="n">
        <v>14210524</v>
      </c>
      <c r="B8550" t="n">
        <v>52093</v>
      </c>
      <c r="C8550" t="inlineStr">
        <is>
          <t>1421/05/24</t>
        </is>
      </c>
    </row>
    <row r="8551">
      <c r="A8551" t="n">
        <v>14210525</v>
      </c>
      <c r="B8551" t="n">
        <v>52094</v>
      </c>
      <c r="C8551" t="inlineStr">
        <is>
          <t>1421/05/25</t>
        </is>
      </c>
    </row>
    <row r="8552">
      <c r="A8552" t="n">
        <v>14210526</v>
      </c>
      <c r="B8552" t="n">
        <v>52095</v>
      </c>
      <c r="C8552" t="inlineStr">
        <is>
          <t>1421/05/26</t>
        </is>
      </c>
    </row>
    <row r="8553">
      <c r="A8553" t="n">
        <v>14210527</v>
      </c>
      <c r="B8553" t="n">
        <v>52096</v>
      </c>
      <c r="C8553" t="inlineStr">
        <is>
          <t>1421/05/27</t>
        </is>
      </c>
    </row>
    <row r="8554">
      <c r="A8554" t="n">
        <v>14210528</v>
      </c>
      <c r="B8554" t="n">
        <v>52097</v>
      </c>
      <c r="C8554" t="inlineStr">
        <is>
          <t>1421/05/28</t>
        </is>
      </c>
    </row>
    <row r="8555">
      <c r="A8555" t="n">
        <v>14210529</v>
      </c>
      <c r="B8555" t="n">
        <v>52098</v>
      </c>
      <c r="C8555" t="inlineStr">
        <is>
          <t>1421/05/29</t>
        </is>
      </c>
    </row>
    <row r="8556">
      <c r="A8556" t="n">
        <v>14210530</v>
      </c>
      <c r="B8556" t="n">
        <v>52099</v>
      </c>
      <c r="C8556" t="inlineStr">
        <is>
          <t>1421/05/30</t>
        </is>
      </c>
    </row>
    <row r="8557">
      <c r="A8557" t="n">
        <v>14210531</v>
      </c>
      <c r="B8557" t="n">
        <v>52100</v>
      </c>
      <c r="C8557" t="inlineStr">
        <is>
          <t>1421/05/31</t>
        </is>
      </c>
    </row>
    <row r="8558">
      <c r="A8558" t="n">
        <v>14210601</v>
      </c>
      <c r="B8558" t="n">
        <v>52101</v>
      </c>
      <c r="C8558" t="inlineStr">
        <is>
          <t>1421/06/01</t>
        </is>
      </c>
    </row>
    <row r="8559">
      <c r="A8559" t="n">
        <v>14210602</v>
      </c>
      <c r="B8559" t="n">
        <v>52102</v>
      </c>
      <c r="C8559" t="inlineStr">
        <is>
          <t>1421/06/02</t>
        </is>
      </c>
    </row>
    <row r="8560">
      <c r="A8560" t="n">
        <v>14210603</v>
      </c>
      <c r="B8560" t="n">
        <v>52103</v>
      </c>
      <c r="C8560" t="inlineStr">
        <is>
          <t>1421/06/03</t>
        </is>
      </c>
    </row>
    <row r="8561">
      <c r="A8561" t="n">
        <v>14210604</v>
      </c>
      <c r="B8561" t="n">
        <v>52104</v>
      </c>
      <c r="C8561" t="inlineStr">
        <is>
          <t>1421/06/04</t>
        </is>
      </c>
    </row>
    <row r="8562">
      <c r="A8562" t="n">
        <v>14210605</v>
      </c>
      <c r="B8562" t="n">
        <v>52105</v>
      </c>
      <c r="C8562" t="inlineStr">
        <is>
          <t>1421/06/05</t>
        </is>
      </c>
    </row>
    <row r="8563">
      <c r="A8563" t="n">
        <v>14210606</v>
      </c>
      <c r="B8563" t="n">
        <v>52106</v>
      </c>
      <c r="C8563" t="inlineStr">
        <is>
          <t>1421/06/06</t>
        </is>
      </c>
    </row>
    <row r="8564">
      <c r="A8564" t="n">
        <v>14210607</v>
      </c>
      <c r="B8564" t="n">
        <v>52107</v>
      </c>
      <c r="C8564" t="inlineStr">
        <is>
          <t>1421/06/07</t>
        </is>
      </c>
    </row>
    <row r="8565">
      <c r="A8565" t="n">
        <v>14210608</v>
      </c>
      <c r="B8565" t="n">
        <v>52108</v>
      </c>
      <c r="C8565" t="inlineStr">
        <is>
          <t>1421/06/08</t>
        </is>
      </c>
    </row>
    <row r="8566">
      <c r="A8566" t="n">
        <v>14210609</v>
      </c>
      <c r="B8566" t="n">
        <v>52109</v>
      </c>
      <c r="C8566" t="inlineStr">
        <is>
          <t>1421/06/09</t>
        </is>
      </c>
    </row>
    <row r="8567">
      <c r="A8567" t="n">
        <v>14210610</v>
      </c>
      <c r="B8567" t="n">
        <v>52110</v>
      </c>
      <c r="C8567" t="inlineStr">
        <is>
          <t>1421/06/10</t>
        </is>
      </c>
    </row>
    <row r="8568">
      <c r="A8568" t="n">
        <v>14210611</v>
      </c>
      <c r="B8568" t="n">
        <v>52111</v>
      </c>
      <c r="C8568" t="inlineStr">
        <is>
          <t>1421/06/11</t>
        </is>
      </c>
    </row>
    <row r="8569">
      <c r="A8569" t="n">
        <v>14210612</v>
      </c>
      <c r="B8569" t="n">
        <v>52112</v>
      </c>
      <c r="C8569" t="inlineStr">
        <is>
          <t>1421/06/12</t>
        </is>
      </c>
    </row>
    <row r="8570">
      <c r="A8570" t="n">
        <v>14210613</v>
      </c>
      <c r="B8570" t="n">
        <v>52113</v>
      </c>
      <c r="C8570" t="inlineStr">
        <is>
          <t>1421/06/13</t>
        </is>
      </c>
    </row>
    <row r="8571">
      <c r="A8571" t="n">
        <v>14210614</v>
      </c>
      <c r="B8571" t="n">
        <v>52114</v>
      </c>
      <c r="C8571" t="inlineStr">
        <is>
          <t>1421/06/14</t>
        </is>
      </c>
    </row>
    <row r="8572">
      <c r="A8572" t="n">
        <v>14210615</v>
      </c>
      <c r="B8572" t="n">
        <v>52115</v>
      </c>
      <c r="C8572" t="inlineStr">
        <is>
          <t>1421/06/15</t>
        </is>
      </c>
    </row>
    <row r="8573">
      <c r="A8573" t="n">
        <v>14210616</v>
      </c>
      <c r="B8573" t="n">
        <v>52116</v>
      </c>
      <c r="C8573" t="inlineStr">
        <is>
          <t>1421/06/16</t>
        </is>
      </c>
    </row>
    <row r="8574">
      <c r="A8574" t="n">
        <v>14210617</v>
      </c>
      <c r="B8574" t="n">
        <v>52117</v>
      </c>
      <c r="C8574" t="inlineStr">
        <is>
          <t>1421/06/17</t>
        </is>
      </c>
    </row>
    <row r="8575">
      <c r="A8575" t="n">
        <v>14210618</v>
      </c>
      <c r="B8575" t="n">
        <v>52118</v>
      </c>
      <c r="C8575" t="inlineStr">
        <is>
          <t>1421/06/18</t>
        </is>
      </c>
    </row>
    <row r="8576">
      <c r="A8576" t="n">
        <v>14210619</v>
      </c>
      <c r="B8576" t="n">
        <v>52119</v>
      </c>
      <c r="C8576" t="inlineStr">
        <is>
          <t>1421/06/19</t>
        </is>
      </c>
    </row>
    <row r="8577">
      <c r="A8577" t="n">
        <v>14210620</v>
      </c>
      <c r="B8577" t="n">
        <v>52120</v>
      </c>
      <c r="C8577" t="inlineStr">
        <is>
          <t>1421/06/20</t>
        </is>
      </c>
    </row>
    <row r="8578">
      <c r="A8578" t="n">
        <v>14210621</v>
      </c>
      <c r="B8578" t="n">
        <v>52121</v>
      </c>
      <c r="C8578" t="inlineStr">
        <is>
          <t>1421/06/21</t>
        </is>
      </c>
    </row>
    <row r="8579">
      <c r="A8579" t="n">
        <v>14210622</v>
      </c>
      <c r="B8579" t="n">
        <v>52122</v>
      </c>
      <c r="C8579" t="inlineStr">
        <is>
          <t>1421/06/22</t>
        </is>
      </c>
    </row>
    <row r="8580">
      <c r="A8580" t="n">
        <v>14210623</v>
      </c>
      <c r="B8580" t="n">
        <v>52123</v>
      </c>
      <c r="C8580" t="inlineStr">
        <is>
          <t>1421/06/23</t>
        </is>
      </c>
    </row>
    <row r="8581">
      <c r="A8581" t="n">
        <v>14210624</v>
      </c>
      <c r="B8581" t="n">
        <v>52124</v>
      </c>
      <c r="C8581" t="inlineStr">
        <is>
          <t>1421/06/24</t>
        </is>
      </c>
    </row>
    <row r="8582">
      <c r="A8582" t="n">
        <v>14210625</v>
      </c>
      <c r="B8582" t="n">
        <v>52125</v>
      </c>
      <c r="C8582" t="inlineStr">
        <is>
          <t>1421/06/25</t>
        </is>
      </c>
    </row>
    <row r="8583">
      <c r="A8583" t="n">
        <v>14210626</v>
      </c>
      <c r="B8583" t="n">
        <v>52126</v>
      </c>
      <c r="C8583" t="inlineStr">
        <is>
          <t>1421/06/26</t>
        </is>
      </c>
    </row>
    <row r="8584">
      <c r="A8584" t="n">
        <v>14210627</v>
      </c>
      <c r="B8584" t="n">
        <v>52127</v>
      </c>
      <c r="C8584" t="inlineStr">
        <is>
          <t>1421/06/27</t>
        </is>
      </c>
    </row>
    <row r="8585">
      <c r="A8585" t="n">
        <v>14210628</v>
      </c>
      <c r="B8585" t="n">
        <v>52128</v>
      </c>
      <c r="C8585" t="inlineStr">
        <is>
          <t>1421/06/28</t>
        </is>
      </c>
    </row>
    <row r="8586">
      <c r="A8586" t="n">
        <v>14210629</v>
      </c>
      <c r="B8586" t="n">
        <v>52129</v>
      </c>
      <c r="C8586" t="inlineStr">
        <is>
          <t>1421/06/29</t>
        </is>
      </c>
    </row>
    <row r="8587">
      <c r="A8587" t="n">
        <v>14210630</v>
      </c>
      <c r="B8587" t="n">
        <v>52130</v>
      </c>
      <c r="C8587" t="inlineStr">
        <is>
          <t>1421/06/30</t>
        </is>
      </c>
    </row>
    <row r="8588">
      <c r="A8588" t="n">
        <v>14210631</v>
      </c>
      <c r="B8588" t="n">
        <v>52131</v>
      </c>
      <c r="C8588" t="inlineStr">
        <is>
          <t>1421/06/31</t>
        </is>
      </c>
    </row>
    <row r="8589">
      <c r="A8589" t="n">
        <v>14210701</v>
      </c>
      <c r="B8589" t="n">
        <v>52132</v>
      </c>
      <c r="C8589" t="inlineStr">
        <is>
          <t>1421/07/01</t>
        </is>
      </c>
    </row>
    <row r="8590">
      <c r="A8590" t="n">
        <v>14210702</v>
      </c>
      <c r="B8590" t="n">
        <v>52133</v>
      </c>
      <c r="C8590" t="inlineStr">
        <is>
          <t>1421/07/02</t>
        </is>
      </c>
    </row>
    <row r="8591">
      <c r="A8591" t="n">
        <v>14210703</v>
      </c>
      <c r="B8591" t="n">
        <v>52134</v>
      </c>
      <c r="C8591" t="inlineStr">
        <is>
          <t>1421/07/03</t>
        </is>
      </c>
    </row>
    <row r="8592">
      <c r="A8592" t="n">
        <v>14210704</v>
      </c>
      <c r="B8592" t="n">
        <v>52135</v>
      </c>
      <c r="C8592" t="inlineStr">
        <is>
          <t>1421/07/04</t>
        </is>
      </c>
    </row>
    <row r="8593">
      <c r="A8593" t="n">
        <v>14210705</v>
      </c>
      <c r="B8593" t="n">
        <v>52136</v>
      </c>
      <c r="C8593" t="inlineStr">
        <is>
          <t>1421/07/05</t>
        </is>
      </c>
    </row>
    <row r="8594">
      <c r="A8594" t="n">
        <v>14210706</v>
      </c>
      <c r="B8594" t="n">
        <v>52137</v>
      </c>
      <c r="C8594" t="inlineStr">
        <is>
          <t>1421/07/06</t>
        </is>
      </c>
    </row>
    <row r="8595">
      <c r="A8595" t="n">
        <v>14210707</v>
      </c>
      <c r="B8595" t="n">
        <v>52138</v>
      </c>
      <c r="C8595" t="inlineStr">
        <is>
          <t>1421/07/07</t>
        </is>
      </c>
    </row>
    <row r="8596">
      <c r="A8596" t="n">
        <v>14210708</v>
      </c>
      <c r="B8596" t="n">
        <v>52139</v>
      </c>
      <c r="C8596" t="inlineStr">
        <is>
          <t>1421/07/08</t>
        </is>
      </c>
    </row>
    <row r="8597">
      <c r="A8597" t="n">
        <v>14210709</v>
      </c>
      <c r="B8597" t="n">
        <v>52140</v>
      </c>
      <c r="C8597" t="inlineStr">
        <is>
          <t>1421/07/09</t>
        </is>
      </c>
    </row>
    <row r="8598">
      <c r="A8598" t="n">
        <v>14210710</v>
      </c>
      <c r="B8598" t="n">
        <v>52141</v>
      </c>
      <c r="C8598" t="inlineStr">
        <is>
          <t>1421/07/10</t>
        </is>
      </c>
    </row>
    <row r="8599">
      <c r="A8599" t="n">
        <v>14210711</v>
      </c>
      <c r="B8599" t="n">
        <v>52142</v>
      </c>
      <c r="C8599" t="inlineStr">
        <is>
          <t>1421/07/11</t>
        </is>
      </c>
    </row>
    <row r="8600">
      <c r="A8600" t="n">
        <v>14210712</v>
      </c>
      <c r="B8600" t="n">
        <v>52143</v>
      </c>
      <c r="C8600" t="inlineStr">
        <is>
          <t>1421/07/12</t>
        </is>
      </c>
    </row>
    <row r="8601">
      <c r="A8601" t="n">
        <v>14210713</v>
      </c>
      <c r="B8601" t="n">
        <v>52144</v>
      </c>
      <c r="C8601" t="inlineStr">
        <is>
          <t>1421/07/13</t>
        </is>
      </c>
    </row>
    <row r="8602">
      <c r="A8602" t="n">
        <v>14210714</v>
      </c>
      <c r="B8602" t="n">
        <v>52145</v>
      </c>
      <c r="C8602" t="inlineStr">
        <is>
          <t>1421/07/14</t>
        </is>
      </c>
    </row>
    <row r="8603">
      <c r="A8603" t="n">
        <v>14210715</v>
      </c>
      <c r="B8603" t="n">
        <v>52146</v>
      </c>
      <c r="C8603" t="inlineStr">
        <is>
          <t>1421/07/15</t>
        </is>
      </c>
    </row>
    <row r="8604">
      <c r="A8604" t="n">
        <v>14210716</v>
      </c>
      <c r="B8604" t="n">
        <v>52147</v>
      </c>
      <c r="C8604" t="inlineStr">
        <is>
          <t>1421/07/16</t>
        </is>
      </c>
    </row>
    <row r="8605">
      <c r="A8605" t="n">
        <v>14210717</v>
      </c>
      <c r="B8605" t="n">
        <v>52148</v>
      </c>
      <c r="C8605" t="inlineStr">
        <is>
          <t>1421/07/17</t>
        </is>
      </c>
    </row>
    <row r="8606">
      <c r="A8606" t="n">
        <v>14210718</v>
      </c>
      <c r="B8606" t="n">
        <v>52149</v>
      </c>
      <c r="C8606" t="inlineStr">
        <is>
          <t>1421/07/18</t>
        </is>
      </c>
    </row>
    <row r="8607">
      <c r="A8607" t="n">
        <v>14210719</v>
      </c>
      <c r="B8607" t="n">
        <v>52150</v>
      </c>
      <c r="C8607" t="inlineStr">
        <is>
          <t>1421/07/19</t>
        </is>
      </c>
    </row>
    <row r="8608">
      <c r="A8608" t="n">
        <v>14210720</v>
      </c>
      <c r="B8608" t="n">
        <v>52151</v>
      </c>
      <c r="C8608" t="inlineStr">
        <is>
          <t>1421/07/20</t>
        </is>
      </c>
    </row>
    <row r="8609">
      <c r="A8609" t="n">
        <v>14210721</v>
      </c>
      <c r="B8609" t="n">
        <v>52152</v>
      </c>
      <c r="C8609" t="inlineStr">
        <is>
          <t>1421/07/21</t>
        </is>
      </c>
    </row>
    <row r="8610">
      <c r="A8610" t="n">
        <v>14210722</v>
      </c>
      <c r="B8610" t="n">
        <v>52153</v>
      </c>
      <c r="C8610" t="inlineStr">
        <is>
          <t>1421/07/22</t>
        </is>
      </c>
    </row>
    <row r="8611">
      <c r="A8611" t="n">
        <v>14210723</v>
      </c>
      <c r="B8611" t="n">
        <v>52154</v>
      </c>
      <c r="C8611" t="inlineStr">
        <is>
          <t>1421/07/23</t>
        </is>
      </c>
    </row>
    <row r="8612">
      <c r="A8612" t="n">
        <v>14210724</v>
      </c>
      <c r="B8612" t="n">
        <v>52155</v>
      </c>
      <c r="C8612" t="inlineStr">
        <is>
          <t>1421/07/24</t>
        </is>
      </c>
    </row>
    <row r="8613">
      <c r="A8613" t="n">
        <v>14210725</v>
      </c>
      <c r="B8613" t="n">
        <v>52156</v>
      </c>
      <c r="C8613" t="inlineStr">
        <is>
          <t>1421/07/25</t>
        </is>
      </c>
    </row>
    <row r="8614">
      <c r="A8614" t="n">
        <v>14210726</v>
      </c>
      <c r="B8614" t="n">
        <v>52157</v>
      </c>
      <c r="C8614" t="inlineStr">
        <is>
          <t>1421/07/26</t>
        </is>
      </c>
    </row>
    <row r="8615">
      <c r="A8615" t="n">
        <v>14210727</v>
      </c>
      <c r="B8615" t="n">
        <v>52158</v>
      </c>
      <c r="C8615" t="inlineStr">
        <is>
          <t>1421/07/27</t>
        </is>
      </c>
    </row>
    <row r="8616">
      <c r="A8616" t="n">
        <v>14210728</v>
      </c>
      <c r="B8616" t="n">
        <v>52159</v>
      </c>
      <c r="C8616" t="inlineStr">
        <is>
          <t>1421/07/28</t>
        </is>
      </c>
    </row>
    <row r="8617">
      <c r="A8617" t="n">
        <v>14210729</v>
      </c>
      <c r="B8617" t="n">
        <v>52160</v>
      </c>
      <c r="C8617" t="inlineStr">
        <is>
          <t>1421/07/29</t>
        </is>
      </c>
    </row>
    <row r="8618">
      <c r="A8618" t="n">
        <v>14210730</v>
      </c>
      <c r="B8618" t="n">
        <v>52161</v>
      </c>
      <c r="C8618" t="inlineStr">
        <is>
          <t>1421/07/30</t>
        </is>
      </c>
    </row>
    <row r="8619">
      <c r="A8619" t="n">
        <v>14210801</v>
      </c>
      <c r="B8619" t="n">
        <v>52162</v>
      </c>
      <c r="C8619" t="inlineStr">
        <is>
          <t>1421/08/01</t>
        </is>
      </c>
    </row>
    <row r="8620">
      <c r="A8620" t="n">
        <v>14210802</v>
      </c>
      <c r="B8620" t="n">
        <v>52163</v>
      </c>
      <c r="C8620" t="inlineStr">
        <is>
          <t>1421/08/02</t>
        </is>
      </c>
    </row>
    <row r="8621">
      <c r="A8621" t="n">
        <v>14210803</v>
      </c>
      <c r="B8621" t="n">
        <v>52164</v>
      </c>
      <c r="C8621" t="inlineStr">
        <is>
          <t>1421/08/03</t>
        </is>
      </c>
    </row>
    <row r="8622">
      <c r="A8622" t="n">
        <v>14210804</v>
      </c>
      <c r="B8622" t="n">
        <v>52165</v>
      </c>
      <c r="C8622" t="inlineStr">
        <is>
          <t>1421/08/04</t>
        </is>
      </c>
    </row>
    <row r="8623">
      <c r="A8623" t="n">
        <v>14210805</v>
      </c>
      <c r="B8623" t="n">
        <v>52166</v>
      </c>
      <c r="C8623" t="inlineStr">
        <is>
          <t>1421/08/05</t>
        </is>
      </c>
    </row>
    <row r="8624">
      <c r="A8624" t="n">
        <v>14210806</v>
      </c>
      <c r="B8624" t="n">
        <v>52167</v>
      </c>
      <c r="C8624" t="inlineStr">
        <is>
          <t>1421/08/06</t>
        </is>
      </c>
    </row>
    <row r="8625">
      <c r="A8625" t="n">
        <v>14210807</v>
      </c>
      <c r="B8625" t="n">
        <v>52168</v>
      </c>
      <c r="C8625" t="inlineStr">
        <is>
          <t>1421/08/07</t>
        </is>
      </c>
    </row>
    <row r="8626">
      <c r="A8626" t="n">
        <v>14210808</v>
      </c>
      <c r="B8626" t="n">
        <v>52169</v>
      </c>
      <c r="C8626" t="inlineStr">
        <is>
          <t>1421/08/08</t>
        </is>
      </c>
    </row>
    <row r="8627">
      <c r="A8627" t="n">
        <v>14210809</v>
      </c>
      <c r="B8627" t="n">
        <v>52170</v>
      </c>
      <c r="C8627" t="inlineStr">
        <is>
          <t>1421/08/09</t>
        </is>
      </c>
    </row>
    <row r="8628">
      <c r="A8628" t="n">
        <v>14210810</v>
      </c>
      <c r="B8628" t="n">
        <v>52171</v>
      </c>
      <c r="C8628" t="inlineStr">
        <is>
          <t>1421/08/10</t>
        </is>
      </c>
    </row>
    <row r="8629">
      <c r="A8629" t="n">
        <v>14210811</v>
      </c>
      <c r="B8629" t="n">
        <v>52172</v>
      </c>
      <c r="C8629" t="inlineStr">
        <is>
          <t>1421/08/11</t>
        </is>
      </c>
    </row>
    <row r="8630">
      <c r="A8630" t="n">
        <v>14210812</v>
      </c>
      <c r="B8630" t="n">
        <v>52173</v>
      </c>
      <c r="C8630" t="inlineStr">
        <is>
          <t>1421/08/12</t>
        </is>
      </c>
    </row>
    <row r="8631">
      <c r="A8631" t="n">
        <v>14210813</v>
      </c>
      <c r="B8631" t="n">
        <v>52174</v>
      </c>
      <c r="C8631" t="inlineStr">
        <is>
          <t>1421/08/13</t>
        </is>
      </c>
    </row>
    <row r="8632">
      <c r="A8632" t="n">
        <v>14210814</v>
      </c>
      <c r="B8632" t="n">
        <v>52175</v>
      </c>
      <c r="C8632" t="inlineStr">
        <is>
          <t>1421/08/14</t>
        </is>
      </c>
    </row>
    <row r="8633">
      <c r="A8633" t="n">
        <v>14210815</v>
      </c>
      <c r="B8633" t="n">
        <v>52176</v>
      </c>
      <c r="C8633" t="inlineStr">
        <is>
          <t>1421/08/15</t>
        </is>
      </c>
    </row>
    <row r="8634">
      <c r="A8634" t="n">
        <v>14210816</v>
      </c>
      <c r="B8634" t="n">
        <v>52177</v>
      </c>
      <c r="C8634" t="inlineStr">
        <is>
          <t>1421/08/16</t>
        </is>
      </c>
    </row>
    <row r="8635">
      <c r="A8635" t="n">
        <v>14210817</v>
      </c>
      <c r="B8635" t="n">
        <v>52178</v>
      </c>
      <c r="C8635" t="inlineStr">
        <is>
          <t>1421/08/17</t>
        </is>
      </c>
    </row>
    <row r="8636">
      <c r="A8636" t="n">
        <v>14210818</v>
      </c>
      <c r="B8636" t="n">
        <v>52179</v>
      </c>
      <c r="C8636" t="inlineStr">
        <is>
          <t>1421/08/18</t>
        </is>
      </c>
    </row>
    <row r="8637">
      <c r="A8637" t="n">
        <v>14210819</v>
      </c>
      <c r="B8637" t="n">
        <v>52180</v>
      </c>
      <c r="C8637" t="inlineStr">
        <is>
          <t>1421/08/19</t>
        </is>
      </c>
    </row>
    <row r="8638">
      <c r="A8638" t="n">
        <v>14210820</v>
      </c>
      <c r="B8638" t="n">
        <v>52181</v>
      </c>
      <c r="C8638" t="inlineStr">
        <is>
          <t>1421/08/20</t>
        </is>
      </c>
    </row>
    <row r="8639">
      <c r="A8639" t="n">
        <v>14210821</v>
      </c>
      <c r="B8639" t="n">
        <v>52182</v>
      </c>
      <c r="C8639" t="inlineStr">
        <is>
          <t>1421/08/21</t>
        </is>
      </c>
    </row>
    <row r="8640">
      <c r="A8640" t="n">
        <v>14210822</v>
      </c>
      <c r="B8640" t="n">
        <v>52183</v>
      </c>
      <c r="C8640" t="inlineStr">
        <is>
          <t>1421/08/22</t>
        </is>
      </c>
    </row>
    <row r="8641">
      <c r="A8641" t="n">
        <v>14210823</v>
      </c>
      <c r="B8641" t="n">
        <v>52184</v>
      </c>
      <c r="C8641" t="inlineStr">
        <is>
          <t>1421/08/23</t>
        </is>
      </c>
    </row>
    <row r="8642">
      <c r="A8642" t="n">
        <v>14210824</v>
      </c>
      <c r="B8642" t="n">
        <v>52185</v>
      </c>
      <c r="C8642" t="inlineStr">
        <is>
          <t>1421/08/24</t>
        </is>
      </c>
    </row>
    <row r="8643">
      <c r="A8643" t="n">
        <v>14210825</v>
      </c>
      <c r="B8643" t="n">
        <v>52186</v>
      </c>
      <c r="C8643" t="inlineStr">
        <is>
          <t>1421/08/25</t>
        </is>
      </c>
    </row>
    <row r="8644">
      <c r="A8644" t="n">
        <v>14210826</v>
      </c>
      <c r="B8644" t="n">
        <v>52187</v>
      </c>
      <c r="C8644" t="inlineStr">
        <is>
          <t>1421/08/26</t>
        </is>
      </c>
    </row>
    <row r="8645">
      <c r="A8645" t="n">
        <v>14210827</v>
      </c>
      <c r="B8645" t="n">
        <v>52188</v>
      </c>
      <c r="C8645" t="inlineStr">
        <is>
          <t>1421/08/27</t>
        </is>
      </c>
    </row>
    <row r="8646">
      <c r="A8646" t="n">
        <v>14210828</v>
      </c>
      <c r="B8646" t="n">
        <v>52189</v>
      </c>
      <c r="C8646" t="inlineStr">
        <is>
          <t>1421/08/28</t>
        </is>
      </c>
    </row>
    <row r="8647">
      <c r="A8647" t="n">
        <v>14210829</v>
      </c>
      <c r="B8647" t="n">
        <v>52190</v>
      </c>
      <c r="C8647" t="inlineStr">
        <is>
          <t>1421/08/29</t>
        </is>
      </c>
    </row>
    <row r="8648">
      <c r="A8648" t="n">
        <v>14210830</v>
      </c>
      <c r="B8648" t="n">
        <v>52191</v>
      </c>
      <c r="C8648" t="inlineStr">
        <is>
          <t>1421/08/30</t>
        </is>
      </c>
    </row>
    <row r="8649">
      <c r="A8649" t="n">
        <v>14210901</v>
      </c>
      <c r="B8649" t="n">
        <v>52192</v>
      </c>
      <c r="C8649" t="inlineStr">
        <is>
          <t>1421/09/01</t>
        </is>
      </c>
    </row>
    <row r="8650">
      <c r="A8650" t="n">
        <v>14210902</v>
      </c>
      <c r="B8650" t="n">
        <v>52193</v>
      </c>
      <c r="C8650" t="inlineStr">
        <is>
          <t>1421/09/02</t>
        </is>
      </c>
    </row>
    <row r="8651">
      <c r="A8651" t="n">
        <v>14210903</v>
      </c>
      <c r="B8651" t="n">
        <v>52194</v>
      </c>
      <c r="C8651" t="inlineStr">
        <is>
          <t>1421/09/03</t>
        </is>
      </c>
    </row>
    <row r="8652">
      <c r="A8652" t="n">
        <v>14210904</v>
      </c>
      <c r="B8652" t="n">
        <v>52195</v>
      </c>
      <c r="C8652" t="inlineStr">
        <is>
          <t>1421/09/04</t>
        </is>
      </c>
    </row>
    <row r="8653">
      <c r="A8653" t="n">
        <v>14210905</v>
      </c>
      <c r="B8653" t="n">
        <v>52196</v>
      </c>
      <c r="C8653" t="inlineStr">
        <is>
          <t>1421/09/05</t>
        </is>
      </c>
    </row>
    <row r="8654">
      <c r="A8654" t="n">
        <v>14210906</v>
      </c>
      <c r="B8654" t="n">
        <v>52197</v>
      </c>
      <c r="C8654" t="inlineStr">
        <is>
          <t>1421/09/06</t>
        </is>
      </c>
    </row>
    <row r="8655">
      <c r="A8655" t="n">
        <v>14210907</v>
      </c>
      <c r="B8655" t="n">
        <v>52198</v>
      </c>
      <c r="C8655" t="inlineStr">
        <is>
          <t>1421/09/07</t>
        </is>
      </c>
    </row>
    <row r="8656">
      <c r="A8656" t="n">
        <v>14210908</v>
      </c>
      <c r="B8656" t="n">
        <v>52199</v>
      </c>
      <c r="C8656" t="inlineStr">
        <is>
          <t>1421/09/08</t>
        </is>
      </c>
    </row>
    <row r="8657">
      <c r="A8657" t="n">
        <v>14210909</v>
      </c>
      <c r="B8657" t="n">
        <v>52200</v>
      </c>
      <c r="C8657" t="inlineStr">
        <is>
          <t>1421/09/09</t>
        </is>
      </c>
    </row>
    <row r="8658">
      <c r="A8658" t="n">
        <v>14210910</v>
      </c>
      <c r="B8658" t="n">
        <v>52201</v>
      </c>
      <c r="C8658" t="inlineStr">
        <is>
          <t>1421/09/10</t>
        </is>
      </c>
    </row>
    <row r="8659">
      <c r="A8659" t="n">
        <v>14210911</v>
      </c>
      <c r="B8659" t="n">
        <v>52202</v>
      </c>
      <c r="C8659" t="inlineStr">
        <is>
          <t>1421/09/11</t>
        </is>
      </c>
    </row>
    <row r="8660">
      <c r="A8660" t="n">
        <v>14210912</v>
      </c>
      <c r="B8660" t="n">
        <v>52203</v>
      </c>
      <c r="C8660" t="inlineStr">
        <is>
          <t>1421/09/12</t>
        </is>
      </c>
    </row>
    <row r="8661">
      <c r="A8661" t="n">
        <v>14210913</v>
      </c>
      <c r="B8661" t="n">
        <v>52204</v>
      </c>
      <c r="C8661" t="inlineStr">
        <is>
          <t>1421/09/13</t>
        </is>
      </c>
    </row>
    <row r="8662">
      <c r="A8662" t="n">
        <v>14210914</v>
      </c>
      <c r="B8662" t="n">
        <v>52205</v>
      </c>
      <c r="C8662" t="inlineStr">
        <is>
          <t>1421/09/14</t>
        </is>
      </c>
    </row>
    <row r="8663">
      <c r="A8663" t="n">
        <v>14210915</v>
      </c>
      <c r="B8663" t="n">
        <v>52206</v>
      </c>
      <c r="C8663" t="inlineStr">
        <is>
          <t>1421/09/15</t>
        </is>
      </c>
    </row>
    <row r="8664">
      <c r="A8664" t="n">
        <v>14210916</v>
      </c>
      <c r="B8664" t="n">
        <v>52207</v>
      </c>
      <c r="C8664" t="inlineStr">
        <is>
          <t>1421/09/16</t>
        </is>
      </c>
    </row>
    <row r="8665">
      <c r="A8665" t="n">
        <v>14210917</v>
      </c>
      <c r="B8665" t="n">
        <v>52208</v>
      </c>
      <c r="C8665" t="inlineStr">
        <is>
          <t>1421/09/17</t>
        </is>
      </c>
    </row>
    <row r="8666">
      <c r="A8666" t="n">
        <v>14210918</v>
      </c>
      <c r="B8666" t="n">
        <v>52209</v>
      </c>
      <c r="C8666" t="inlineStr">
        <is>
          <t>1421/09/18</t>
        </is>
      </c>
    </row>
    <row r="8667">
      <c r="A8667" t="n">
        <v>14210919</v>
      </c>
      <c r="B8667" t="n">
        <v>52210</v>
      </c>
      <c r="C8667" t="inlineStr">
        <is>
          <t>1421/09/19</t>
        </is>
      </c>
    </row>
    <row r="8668">
      <c r="A8668" t="n">
        <v>14210920</v>
      </c>
      <c r="B8668" t="n">
        <v>52211</v>
      </c>
      <c r="C8668" t="inlineStr">
        <is>
          <t>1421/09/20</t>
        </is>
      </c>
    </row>
    <row r="8669">
      <c r="A8669" t="n">
        <v>14210921</v>
      </c>
      <c r="B8669" t="n">
        <v>52212</v>
      </c>
      <c r="C8669" t="inlineStr">
        <is>
          <t>1421/09/21</t>
        </is>
      </c>
    </row>
    <row r="8670">
      <c r="A8670" t="n">
        <v>14210922</v>
      </c>
      <c r="B8670" t="n">
        <v>52213</v>
      </c>
      <c r="C8670" t="inlineStr">
        <is>
          <t>1421/09/22</t>
        </is>
      </c>
    </row>
    <row r="8671">
      <c r="A8671" t="n">
        <v>14210923</v>
      </c>
      <c r="B8671" t="n">
        <v>52214</v>
      </c>
      <c r="C8671" t="inlineStr">
        <is>
          <t>1421/09/23</t>
        </is>
      </c>
    </row>
    <row r="8672">
      <c r="A8672" t="n">
        <v>14210924</v>
      </c>
      <c r="B8672" t="n">
        <v>52215</v>
      </c>
      <c r="C8672" t="inlineStr">
        <is>
          <t>1421/09/24</t>
        </is>
      </c>
    </row>
    <row r="8673">
      <c r="A8673" t="n">
        <v>14210925</v>
      </c>
      <c r="B8673" t="n">
        <v>52216</v>
      </c>
      <c r="C8673" t="inlineStr">
        <is>
          <t>1421/09/25</t>
        </is>
      </c>
    </row>
    <row r="8674">
      <c r="A8674" t="n">
        <v>14210926</v>
      </c>
      <c r="B8674" t="n">
        <v>52217</v>
      </c>
      <c r="C8674" t="inlineStr">
        <is>
          <t>1421/09/26</t>
        </is>
      </c>
    </row>
    <row r="8675">
      <c r="A8675" t="n">
        <v>14210927</v>
      </c>
      <c r="B8675" t="n">
        <v>52218</v>
      </c>
      <c r="C8675" t="inlineStr">
        <is>
          <t>1421/09/27</t>
        </is>
      </c>
    </row>
    <row r="8676">
      <c r="A8676" t="n">
        <v>14210928</v>
      </c>
      <c r="B8676" t="n">
        <v>52219</v>
      </c>
      <c r="C8676" t="inlineStr">
        <is>
          <t>1421/09/28</t>
        </is>
      </c>
    </row>
    <row r="8677">
      <c r="A8677" t="n">
        <v>14210929</v>
      </c>
      <c r="B8677" t="n">
        <v>52220</v>
      </c>
      <c r="C8677" t="inlineStr">
        <is>
          <t>1421/09/29</t>
        </is>
      </c>
    </row>
    <row r="8678">
      <c r="A8678" t="n">
        <v>14210930</v>
      </c>
      <c r="B8678" t="n">
        <v>52221</v>
      </c>
      <c r="C8678" t="inlineStr">
        <is>
          <t>1421/09/30</t>
        </is>
      </c>
    </row>
    <row r="8679">
      <c r="A8679" t="n">
        <v>14211001</v>
      </c>
      <c r="B8679" t="n">
        <v>52222</v>
      </c>
      <c r="C8679" t="inlineStr">
        <is>
          <t>1421/10/01</t>
        </is>
      </c>
    </row>
    <row r="8680">
      <c r="A8680" t="n">
        <v>14211002</v>
      </c>
      <c r="B8680" t="n">
        <v>52223</v>
      </c>
      <c r="C8680" t="inlineStr">
        <is>
          <t>1421/10/02</t>
        </is>
      </c>
    </row>
    <row r="8681">
      <c r="A8681" t="n">
        <v>14211003</v>
      </c>
      <c r="B8681" t="n">
        <v>52224</v>
      </c>
      <c r="C8681" t="inlineStr">
        <is>
          <t>1421/10/03</t>
        </is>
      </c>
    </row>
    <row r="8682">
      <c r="A8682" t="n">
        <v>14211004</v>
      </c>
      <c r="B8682" t="n">
        <v>52225</v>
      </c>
      <c r="C8682" t="inlineStr">
        <is>
          <t>1421/10/04</t>
        </is>
      </c>
    </row>
    <row r="8683">
      <c r="A8683" t="n">
        <v>14211005</v>
      </c>
      <c r="B8683" t="n">
        <v>52226</v>
      </c>
      <c r="C8683" t="inlineStr">
        <is>
          <t>1421/10/05</t>
        </is>
      </c>
    </row>
    <row r="8684">
      <c r="A8684" t="n">
        <v>14211006</v>
      </c>
      <c r="B8684" t="n">
        <v>52227</v>
      </c>
      <c r="C8684" t="inlineStr">
        <is>
          <t>1421/10/06</t>
        </is>
      </c>
    </row>
    <row r="8685">
      <c r="A8685" t="n">
        <v>14211007</v>
      </c>
      <c r="B8685" t="n">
        <v>52228</v>
      </c>
      <c r="C8685" t="inlineStr">
        <is>
          <t>1421/10/07</t>
        </is>
      </c>
    </row>
    <row r="8686">
      <c r="A8686" t="n">
        <v>14211008</v>
      </c>
      <c r="B8686" t="n">
        <v>52229</v>
      </c>
      <c r="C8686" t="inlineStr">
        <is>
          <t>1421/10/08</t>
        </is>
      </c>
    </row>
    <row r="8687">
      <c r="A8687" t="n">
        <v>14211009</v>
      </c>
      <c r="B8687" t="n">
        <v>52230</v>
      </c>
      <c r="C8687" t="inlineStr">
        <is>
          <t>1421/10/09</t>
        </is>
      </c>
    </row>
    <row r="8688">
      <c r="A8688" t="n">
        <v>14211010</v>
      </c>
      <c r="B8688" t="n">
        <v>52231</v>
      </c>
      <c r="C8688" t="inlineStr">
        <is>
          <t>1421/10/10</t>
        </is>
      </c>
    </row>
    <row r="8689">
      <c r="A8689" t="n">
        <v>14211011</v>
      </c>
      <c r="B8689" t="n">
        <v>52232</v>
      </c>
      <c r="C8689" t="inlineStr">
        <is>
          <t>1421/10/11</t>
        </is>
      </c>
    </row>
    <row r="8690">
      <c r="A8690" t="n">
        <v>14211012</v>
      </c>
      <c r="B8690" t="n">
        <v>52233</v>
      </c>
      <c r="C8690" t="inlineStr">
        <is>
          <t>1421/10/12</t>
        </is>
      </c>
    </row>
    <row r="8691">
      <c r="A8691" t="n">
        <v>14211013</v>
      </c>
      <c r="B8691" t="n">
        <v>52234</v>
      </c>
      <c r="C8691" t="inlineStr">
        <is>
          <t>1421/10/13</t>
        </is>
      </c>
    </row>
    <row r="8692">
      <c r="A8692" t="n">
        <v>14211014</v>
      </c>
      <c r="B8692" t="n">
        <v>52235</v>
      </c>
      <c r="C8692" t="inlineStr">
        <is>
          <t>1421/10/14</t>
        </is>
      </c>
    </row>
    <row r="8693">
      <c r="A8693" t="n">
        <v>14211015</v>
      </c>
      <c r="B8693" t="n">
        <v>52236</v>
      </c>
      <c r="C8693" t="inlineStr">
        <is>
          <t>1421/10/15</t>
        </is>
      </c>
    </row>
    <row r="8694">
      <c r="A8694" t="n">
        <v>14211016</v>
      </c>
      <c r="B8694" t="n">
        <v>52237</v>
      </c>
      <c r="C8694" t="inlineStr">
        <is>
          <t>1421/10/16</t>
        </is>
      </c>
    </row>
    <row r="8695">
      <c r="A8695" t="n">
        <v>14211017</v>
      </c>
      <c r="B8695" t="n">
        <v>52238</v>
      </c>
      <c r="C8695" t="inlineStr">
        <is>
          <t>1421/10/17</t>
        </is>
      </c>
    </row>
    <row r="8696">
      <c r="A8696" t="n">
        <v>14211018</v>
      </c>
      <c r="B8696" t="n">
        <v>52239</v>
      </c>
      <c r="C8696" t="inlineStr">
        <is>
          <t>1421/10/18</t>
        </is>
      </c>
    </row>
    <row r="8697">
      <c r="A8697" t="n">
        <v>14211019</v>
      </c>
      <c r="B8697" t="n">
        <v>52240</v>
      </c>
      <c r="C8697" t="inlineStr">
        <is>
          <t>1421/10/19</t>
        </is>
      </c>
    </row>
    <row r="8698">
      <c r="A8698" t="n">
        <v>14211020</v>
      </c>
      <c r="B8698" t="n">
        <v>52241</v>
      </c>
      <c r="C8698" t="inlineStr">
        <is>
          <t>1421/10/20</t>
        </is>
      </c>
    </row>
    <row r="8699">
      <c r="A8699" t="n">
        <v>14211021</v>
      </c>
      <c r="B8699" t="n">
        <v>52242</v>
      </c>
      <c r="C8699" t="inlineStr">
        <is>
          <t>1421/10/21</t>
        </is>
      </c>
    </row>
    <row r="8700">
      <c r="A8700" t="n">
        <v>14211022</v>
      </c>
      <c r="B8700" t="n">
        <v>52243</v>
      </c>
      <c r="C8700" t="inlineStr">
        <is>
          <t>1421/10/22</t>
        </is>
      </c>
    </row>
    <row r="8701">
      <c r="A8701" t="n">
        <v>14211023</v>
      </c>
      <c r="B8701" t="n">
        <v>52244</v>
      </c>
      <c r="C8701" t="inlineStr">
        <is>
          <t>1421/10/23</t>
        </is>
      </c>
    </row>
    <row r="8702">
      <c r="A8702" t="n">
        <v>14211024</v>
      </c>
      <c r="B8702" t="n">
        <v>52245</v>
      </c>
      <c r="C8702" t="inlineStr">
        <is>
          <t>1421/10/24</t>
        </is>
      </c>
    </row>
    <row r="8703">
      <c r="A8703" t="n">
        <v>14211025</v>
      </c>
      <c r="B8703" t="n">
        <v>52246</v>
      </c>
      <c r="C8703" t="inlineStr">
        <is>
          <t>1421/10/25</t>
        </is>
      </c>
    </row>
    <row r="8704">
      <c r="A8704" t="n">
        <v>14211026</v>
      </c>
      <c r="B8704" t="n">
        <v>52247</v>
      </c>
      <c r="C8704" t="inlineStr">
        <is>
          <t>1421/10/26</t>
        </is>
      </c>
    </row>
    <row r="8705">
      <c r="A8705" t="n">
        <v>14211027</v>
      </c>
      <c r="B8705" t="n">
        <v>52248</v>
      </c>
      <c r="C8705" t="inlineStr">
        <is>
          <t>1421/10/27</t>
        </is>
      </c>
    </row>
    <row r="8706">
      <c r="A8706" t="n">
        <v>14211028</v>
      </c>
      <c r="B8706" t="n">
        <v>52249</v>
      </c>
      <c r="C8706" t="inlineStr">
        <is>
          <t>1421/10/28</t>
        </is>
      </c>
    </row>
    <row r="8707">
      <c r="A8707" t="n">
        <v>14211029</v>
      </c>
      <c r="B8707" t="n">
        <v>52250</v>
      </c>
      <c r="C8707" t="inlineStr">
        <is>
          <t>1421/10/29</t>
        </is>
      </c>
    </row>
    <row r="8708">
      <c r="A8708" t="n">
        <v>14211030</v>
      </c>
      <c r="B8708" t="n">
        <v>52251</v>
      </c>
      <c r="C8708" t="inlineStr">
        <is>
          <t>1421/10/30</t>
        </is>
      </c>
    </row>
    <row r="8709">
      <c r="A8709" t="n">
        <v>14211101</v>
      </c>
      <c r="B8709" t="n">
        <v>52252</v>
      </c>
      <c r="C8709" t="inlineStr">
        <is>
          <t>1421/11/01</t>
        </is>
      </c>
    </row>
    <row r="8710">
      <c r="A8710" t="n">
        <v>14211102</v>
      </c>
      <c r="B8710" t="n">
        <v>52253</v>
      </c>
      <c r="C8710" t="inlineStr">
        <is>
          <t>1421/11/02</t>
        </is>
      </c>
    </row>
    <row r="8711">
      <c r="A8711" t="n">
        <v>14211103</v>
      </c>
      <c r="B8711" t="n">
        <v>52254</v>
      </c>
      <c r="C8711" t="inlineStr">
        <is>
          <t>1421/11/03</t>
        </is>
      </c>
    </row>
    <row r="8712">
      <c r="A8712" t="n">
        <v>14211104</v>
      </c>
      <c r="B8712" t="n">
        <v>52255</v>
      </c>
      <c r="C8712" t="inlineStr">
        <is>
          <t>1421/11/04</t>
        </is>
      </c>
    </row>
    <row r="8713">
      <c r="A8713" t="n">
        <v>14211105</v>
      </c>
      <c r="B8713" t="n">
        <v>52256</v>
      </c>
      <c r="C8713" t="inlineStr">
        <is>
          <t>1421/11/05</t>
        </is>
      </c>
    </row>
    <row r="8714">
      <c r="A8714" t="n">
        <v>14211106</v>
      </c>
      <c r="B8714" t="n">
        <v>52257</v>
      </c>
      <c r="C8714" t="inlineStr">
        <is>
          <t>1421/11/06</t>
        </is>
      </c>
    </row>
    <row r="8715">
      <c r="A8715" t="n">
        <v>14211107</v>
      </c>
      <c r="B8715" t="n">
        <v>52258</v>
      </c>
      <c r="C8715" t="inlineStr">
        <is>
          <t>1421/11/07</t>
        </is>
      </c>
    </row>
    <row r="8716">
      <c r="A8716" t="n">
        <v>14211108</v>
      </c>
      <c r="B8716" t="n">
        <v>52259</v>
      </c>
      <c r="C8716" t="inlineStr">
        <is>
          <t>1421/11/08</t>
        </is>
      </c>
    </row>
    <row r="8717">
      <c r="A8717" t="n">
        <v>14211109</v>
      </c>
      <c r="B8717" t="n">
        <v>52260</v>
      </c>
      <c r="C8717" t="inlineStr">
        <is>
          <t>1421/11/09</t>
        </is>
      </c>
    </row>
    <row r="8718">
      <c r="A8718" t="n">
        <v>14211110</v>
      </c>
      <c r="B8718" t="n">
        <v>52261</v>
      </c>
      <c r="C8718" t="inlineStr">
        <is>
          <t>1421/11/10</t>
        </is>
      </c>
    </row>
    <row r="8719">
      <c r="A8719" t="n">
        <v>14211111</v>
      </c>
      <c r="B8719" t="n">
        <v>52262</v>
      </c>
      <c r="C8719" t="inlineStr">
        <is>
          <t>1421/11/11</t>
        </is>
      </c>
    </row>
    <row r="8720">
      <c r="A8720" t="n">
        <v>14211112</v>
      </c>
      <c r="B8720" t="n">
        <v>52263</v>
      </c>
      <c r="C8720" t="inlineStr">
        <is>
          <t>1421/11/12</t>
        </is>
      </c>
    </row>
    <row r="8721">
      <c r="A8721" t="n">
        <v>14211113</v>
      </c>
      <c r="B8721" t="n">
        <v>52264</v>
      </c>
      <c r="C8721" t="inlineStr">
        <is>
          <t>1421/11/13</t>
        </is>
      </c>
    </row>
    <row r="8722">
      <c r="A8722" t="n">
        <v>14211114</v>
      </c>
      <c r="B8722" t="n">
        <v>52265</v>
      </c>
      <c r="C8722" t="inlineStr">
        <is>
          <t>1421/11/14</t>
        </is>
      </c>
    </row>
    <row r="8723">
      <c r="A8723" t="n">
        <v>14211115</v>
      </c>
      <c r="B8723" t="n">
        <v>52266</v>
      </c>
      <c r="C8723" t="inlineStr">
        <is>
          <t>1421/11/15</t>
        </is>
      </c>
    </row>
    <row r="8724">
      <c r="A8724" t="n">
        <v>14211116</v>
      </c>
      <c r="B8724" t="n">
        <v>52267</v>
      </c>
      <c r="C8724" t="inlineStr">
        <is>
          <t>1421/11/16</t>
        </is>
      </c>
    </row>
    <row r="8725">
      <c r="A8725" t="n">
        <v>14211117</v>
      </c>
      <c r="B8725" t="n">
        <v>52268</v>
      </c>
      <c r="C8725" t="inlineStr">
        <is>
          <t>1421/11/17</t>
        </is>
      </c>
    </row>
    <row r="8726">
      <c r="A8726" t="n">
        <v>14211118</v>
      </c>
      <c r="B8726" t="n">
        <v>52269</v>
      </c>
      <c r="C8726" t="inlineStr">
        <is>
          <t>1421/11/18</t>
        </is>
      </c>
    </row>
    <row r="8727">
      <c r="A8727" t="n">
        <v>14211119</v>
      </c>
      <c r="B8727" t="n">
        <v>52270</v>
      </c>
      <c r="C8727" t="inlineStr">
        <is>
          <t>1421/11/19</t>
        </is>
      </c>
    </row>
    <row r="8728">
      <c r="A8728" t="n">
        <v>14211120</v>
      </c>
      <c r="B8728" t="n">
        <v>52271</v>
      </c>
      <c r="C8728" t="inlineStr">
        <is>
          <t>1421/11/20</t>
        </is>
      </c>
    </row>
    <row r="8729">
      <c r="A8729" t="n">
        <v>14211121</v>
      </c>
      <c r="B8729" t="n">
        <v>52272</v>
      </c>
      <c r="C8729" t="inlineStr">
        <is>
          <t>1421/11/21</t>
        </is>
      </c>
    </row>
    <row r="8730">
      <c r="A8730" t="n">
        <v>14211122</v>
      </c>
      <c r="B8730" t="n">
        <v>52273</v>
      </c>
      <c r="C8730" t="inlineStr">
        <is>
          <t>1421/11/22</t>
        </is>
      </c>
    </row>
    <row r="8731">
      <c r="A8731" t="n">
        <v>14211123</v>
      </c>
      <c r="B8731" t="n">
        <v>52274</v>
      </c>
      <c r="C8731" t="inlineStr">
        <is>
          <t>1421/11/23</t>
        </is>
      </c>
    </row>
    <row r="8732">
      <c r="A8732" t="n">
        <v>14211124</v>
      </c>
      <c r="B8732" t="n">
        <v>52275</v>
      </c>
      <c r="C8732" t="inlineStr">
        <is>
          <t>1421/11/24</t>
        </is>
      </c>
    </row>
    <row r="8733">
      <c r="A8733" t="n">
        <v>14211125</v>
      </c>
      <c r="B8733" t="n">
        <v>52276</v>
      </c>
      <c r="C8733" t="inlineStr">
        <is>
          <t>1421/11/25</t>
        </is>
      </c>
    </row>
    <row r="8734">
      <c r="A8734" t="n">
        <v>14211126</v>
      </c>
      <c r="B8734" t="n">
        <v>52277</v>
      </c>
      <c r="C8734" t="inlineStr">
        <is>
          <t>1421/11/26</t>
        </is>
      </c>
    </row>
    <row r="8735">
      <c r="A8735" t="n">
        <v>14211127</v>
      </c>
      <c r="B8735" t="n">
        <v>52278</v>
      </c>
      <c r="C8735" t="inlineStr">
        <is>
          <t>1421/11/27</t>
        </is>
      </c>
    </row>
    <row r="8736">
      <c r="A8736" t="n">
        <v>14211128</v>
      </c>
      <c r="B8736" t="n">
        <v>52279</v>
      </c>
      <c r="C8736" t="inlineStr">
        <is>
          <t>1421/11/28</t>
        </is>
      </c>
    </row>
    <row r="8737">
      <c r="A8737" t="n">
        <v>14211129</v>
      </c>
      <c r="B8737" t="n">
        <v>52280</v>
      </c>
      <c r="C8737" t="inlineStr">
        <is>
          <t>1421/11/29</t>
        </is>
      </c>
    </row>
    <row r="8738">
      <c r="A8738" t="n">
        <v>14211130</v>
      </c>
      <c r="B8738" t="n">
        <v>52281</v>
      </c>
      <c r="C8738" t="inlineStr">
        <is>
          <t>1421/11/30</t>
        </is>
      </c>
    </row>
    <row r="8739">
      <c r="A8739" t="n">
        <v>14211201</v>
      </c>
      <c r="B8739" t="n">
        <v>52282</v>
      </c>
      <c r="C8739" t="inlineStr">
        <is>
          <t>1421/12/01</t>
        </is>
      </c>
    </row>
    <row r="8740">
      <c r="A8740" t="n">
        <v>14211202</v>
      </c>
      <c r="B8740" t="n">
        <v>52283</v>
      </c>
      <c r="C8740" t="inlineStr">
        <is>
          <t>1421/12/02</t>
        </is>
      </c>
    </row>
    <row r="8741">
      <c r="A8741" t="n">
        <v>14211203</v>
      </c>
      <c r="B8741" t="n">
        <v>52284</v>
      </c>
      <c r="C8741" t="inlineStr">
        <is>
          <t>1421/12/03</t>
        </is>
      </c>
    </row>
    <row r="8742">
      <c r="A8742" t="n">
        <v>14211204</v>
      </c>
      <c r="B8742" t="n">
        <v>52285</v>
      </c>
      <c r="C8742" t="inlineStr">
        <is>
          <t>1421/12/04</t>
        </is>
      </c>
    </row>
    <row r="8743">
      <c r="A8743" t="n">
        <v>14211205</v>
      </c>
      <c r="B8743" t="n">
        <v>52286</v>
      </c>
      <c r="C8743" t="inlineStr">
        <is>
          <t>1421/12/05</t>
        </is>
      </c>
    </row>
    <row r="8744">
      <c r="A8744" t="n">
        <v>14211206</v>
      </c>
      <c r="B8744" t="n">
        <v>52287</v>
      </c>
      <c r="C8744" t="inlineStr">
        <is>
          <t>1421/12/06</t>
        </is>
      </c>
    </row>
    <row r="8745">
      <c r="A8745" t="n">
        <v>14211207</v>
      </c>
      <c r="B8745" t="n">
        <v>52288</v>
      </c>
      <c r="C8745" t="inlineStr">
        <is>
          <t>1421/12/07</t>
        </is>
      </c>
    </row>
    <row r="8746">
      <c r="A8746" t="n">
        <v>14211208</v>
      </c>
      <c r="B8746" t="n">
        <v>52289</v>
      </c>
      <c r="C8746" t="inlineStr">
        <is>
          <t>1421/12/08</t>
        </is>
      </c>
    </row>
    <row r="8747">
      <c r="A8747" t="n">
        <v>14211209</v>
      </c>
      <c r="B8747" t="n">
        <v>52290</v>
      </c>
      <c r="C8747" t="inlineStr">
        <is>
          <t>1421/12/09</t>
        </is>
      </c>
    </row>
    <row r="8748">
      <c r="A8748" t="n">
        <v>14211210</v>
      </c>
      <c r="B8748" t="n">
        <v>52291</v>
      </c>
      <c r="C8748" t="inlineStr">
        <is>
          <t>1421/12/10</t>
        </is>
      </c>
    </row>
    <row r="8749">
      <c r="A8749" t="n">
        <v>14211211</v>
      </c>
      <c r="B8749" t="n">
        <v>52292</v>
      </c>
      <c r="C8749" t="inlineStr">
        <is>
          <t>1421/12/11</t>
        </is>
      </c>
    </row>
    <row r="8750">
      <c r="A8750" t="n">
        <v>14211212</v>
      </c>
      <c r="B8750" t="n">
        <v>52293</v>
      </c>
      <c r="C8750" t="inlineStr">
        <is>
          <t>1421/12/12</t>
        </is>
      </c>
    </row>
    <row r="8751">
      <c r="A8751" t="n">
        <v>14211213</v>
      </c>
      <c r="B8751" t="n">
        <v>52294</v>
      </c>
      <c r="C8751" t="inlineStr">
        <is>
          <t>1421/12/13</t>
        </is>
      </c>
    </row>
    <row r="8752">
      <c r="A8752" t="n">
        <v>14211214</v>
      </c>
      <c r="B8752" t="n">
        <v>52295</v>
      </c>
      <c r="C8752" t="inlineStr">
        <is>
          <t>1421/12/14</t>
        </is>
      </c>
    </row>
    <row r="8753">
      <c r="A8753" t="n">
        <v>14211215</v>
      </c>
      <c r="B8753" t="n">
        <v>52296</v>
      </c>
      <c r="C8753" t="inlineStr">
        <is>
          <t>1421/12/15</t>
        </is>
      </c>
    </row>
    <row r="8754">
      <c r="A8754" t="n">
        <v>14211216</v>
      </c>
      <c r="B8754" t="n">
        <v>52297</v>
      </c>
      <c r="C8754" t="inlineStr">
        <is>
          <t>1421/12/16</t>
        </is>
      </c>
    </row>
    <row r="8755">
      <c r="A8755" t="n">
        <v>14211217</v>
      </c>
      <c r="B8755" t="n">
        <v>52298</v>
      </c>
      <c r="C8755" t="inlineStr">
        <is>
          <t>1421/12/17</t>
        </is>
      </c>
    </row>
    <row r="8756">
      <c r="A8756" t="n">
        <v>14211218</v>
      </c>
      <c r="B8756" t="n">
        <v>52299</v>
      </c>
      <c r="C8756" t="inlineStr">
        <is>
          <t>1421/12/18</t>
        </is>
      </c>
    </row>
    <row r="8757">
      <c r="A8757" t="n">
        <v>14211219</v>
      </c>
      <c r="B8757" t="n">
        <v>52300</v>
      </c>
      <c r="C8757" t="inlineStr">
        <is>
          <t>1421/12/19</t>
        </is>
      </c>
    </row>
    <row r="8758">
      <c r="A8758" t="n">
        <v>14211220</v>
      </c>
      <c r="B8758" t="n">
        <v>52301</v>
      </c>
      <c r="C8758" t="inlineStr">
        <is>
          <t>1421/12/20</t>
        </is>
      </c>
    </row>
    <row r="8759">
      <c r="A8759" t="n">
        <v>14211221</v>
      </c>
      <c r="B8759" t="n">
        <v>52302</v>
      </c>
      <c r="C8759" t="inlineStr">
        <is>
          <t>1421/12/21</t>
        </is>
      </c>
    </row>
    <row r="8760">
      <c r="A8760" t="n">
        <v>14211222</v>
      </c>
      <c r="B8760" t="n">
        <v>52303</v>
      </c>
      <c r="C8760" t="inlineStr">
        <is>
          <t>1421/12/22</t>
        </is>
      </c>
    </row>
    <row r="8761">
      <c r="A8761" t="n">
        <v>14211223</v>
      </c>
      <c r="B8761" t="n">
        <v>52304</v>
      </c>
      <c r="C8761" t="inlineStr">
        <is>
          <t>1421/12/23</t>
        </is>
      </c>
    </row>
    <row r="8762">
      <c r="A8762" t="n">
        <v>14211224</v>
      </c>
      <c r="B8762" t="n">
        <v>52305</v>
      </c>
      <c r="C8762" t="inlineStr">
        <is>
          <t>1421/12/24</t>
        </is>
      </c>
    </row>
    <row r="8763">
      <c r="A8763" t="n">
        <v>14211225</v>
      </c>
      <c r="B8763" t="n">
        <v>52306</v>
      </c>
      <c r="C8763" t="inlineStr">
        <is>
          <t>1421/12/25</t>
        </is>
      </c>
    </row>
    <row r="8764">
      <c r="A8764" t="n">
        <v>14211226</v>
      </c>
      <c r="B8764" t="n">
        <v>52307</v>
      </c>
      <c r="C8764" t="inlineStr">
        <is>
          <t>1421/12/26</t>
        </is>
      </c>
    </row>
    <row r="8765">
      <c r="A8765" t="n">
        <v>14211227</v>
      </c>
      <c r="B8765" t="n">
        <v>52308</v>
      </c>
      <c r="C8765" t="inlineStr">
        <is>
          <t>1421/12/27</t>
        </is>
      </c>
    </row>
    <row r="8766">
      <c r="A8766" t="n">
        <v>14211228</v>
      </c>
      <c r="B8766" t="n">
        <v>52309</v>
      </c>
      <c r="C8766" t="inlineStr">
        <is>
          <t>1421/12/28</t>
        </is>
      </c>
    </row>
    <row r="8767">
      <c r="A8767" t="n">
        <v>14211229</v>
      </c>
      <c r="B8767" t="n">
        <v>52310</v>
      </c>
      <c r="C8767" t="inlineStr">
        <is>
          <t>1421/12/29</t>
        </is>
      </c>
    </row>
    <row r="8768">
      <c r="A8768" t="n">
        <v>14220101</v>
      </c>
      <c r="B8768" t="n">
        <v>52311</v>
      </c>
      <c r="C8768" t="inlineStr">
        <is>
          <t>1422/01/01</t>
        </is>
      </c>
    </row>
    <row r="8769">
      <c r="A8769" t="n">
        <v>14220102</v>
      </c>
      <c r="B8769" t="n">
        <v>52312</v>
      </c>
      <c r="C8769" t="inlineStr">
        <is>
          <t>1422/01/02</t>
        </is>
      </c>
    </row>
    <row r="8770">
      <c r="A8770" t="n">
        <v>14220103</v>
      </c>
      <c r="B8770" t="n">
        <v>52313</v>
      </c>
      <c r="C8770" t="inlineStr">
        <is>
          <t>1422/01/03</t>
        </is>
      </c>
    </row>
    <row r="8771">
      <c r="A8771" t="n">
        <v>14220104</v>
      </c>
      <c r="B8771" t="n">
        <v>52314</v>
      </c>
      <c r="C8771" t="inlineStr">
        <is>
          <t>1422/01/04</t>
        </is>
      </c>
    </row>
    <row r="8772">
      <c r="A8772" t="n">
        <v>14220105</v>
      </c>
      <c r="B8772" t="n">
        <v>52315</v>
      </c>
      <c r="C8772" t="inlineStr">
        <is>
          <t>1422/01/05</t>
        </is>
      </c>
    </row>
    <row r="8773">
      <c r="A8773" t="n">
        <v>14220106</v>
      </c>
      <c r="B8773" t="n">
        <v>52316</v>
      </c>
      <c r="C8773" t="inlineStr">
        <is>
          <t>1422/01/06</t>
        </is>
      </c>
    </row>
    <row r="8774">
      <c r="A8774" t="n">
        <v>14220107</v>
      </c>
      <c r="B8774" t="n">
        <v>52317</v>
      </c>
      <c r="C8774" t="inlineStr">
        <is>
          <t>1422/01/07</t>
        </is>
      </c>
    </row>
    <row r="8775">
      <c r="A8775" t="n">
        <v>14220108</v>
      </c>
      <c r="B8775" t="n">
        <v>52318</v>
      </c>
      <c r="C8775" t="inlineStr">
        <is>
          <t>1422/01/08</t>
        </is>
      </c>
    </row>
    <row r="8776">
      <c r="A8776" t="n">
        <v>14220109</v>
      </c>
      <c r="B8776" t="n">
        <v>52319</v>
      </c>
      <c r="C8776" t="inlineStr">
        <is>
          <t>1422/01/09</t>
        </is>
      </c>
    </row>
    <row r="8777">
      <c r="A8777" t="n">
        <v>14220110</v>
      </c>
      <c r="B8777" t="n">
        <v>52320</v>
      </c>
      <c r="C8777" t="inlineStr">
        <is>
          <t>1422/01/10</t>
        </is>
      </c>
    </row>
    <row r="8778">
      <c r="A8778" t="n">
        <v>14220111</v>
      </c>
      <c r="B8778" t="n">
        <v>52321</v>
      </c>
      <c r="C8778" t="inlineStr">
        <is>
          <t>1422/01/11</t>
        </is>
      </c>
    </row>
    <row r="8779">
      <c r="A8779" t="n">
        <v>14220112</v>
      </c>
      <c r="B8779" t="n">
        <v>52322</v>
      </c>
      <c r="C8779" t="inlineStr">
        <is>
          <t>1422/01/12</t>
        </is>
      </c>
    </row>
    <row r="8780">
      <c r="A8780" t="n">
        <v>14220113</v>
      </c>
      <c r="B8780" t="n">
        <v>52323</v>
      </c>
      <c r="C8780" t="inlineStr">
        <is>
          <t>1422/01/13</t>
        </is>
      </c>
    </row>
    <row r="8781">
      <c r="A8781" t="n">
        <v>14220114</v>
      </c>
      <c r="B8781" t="n">
        <v>52324</v>
      </c>
      <c r="C8781" t="inlineStr">
        <is>
          <t>1422/01/14</t>
        </is>
      </c>
    </row>
    <row r="8782">
      <c r="A8782" t="n">
        <v>14220115</v>
      </c>
      <c r="B8782" t="n">
        <v>52325</v>
      </c>
      <c r="C8782" t="inlineStr">
        <is>
          <t>1422/01/15</t>
        </is>
      </c>
    </row>
    <row r="8783">
      <c r="A8783" t="n">
        <v>14220116</v>
      </c>
      <c r="B8783" t="n">
        <v>52326</v>
      </c>
      <c r="C8783" t="inlineStr">
        <is>
          <t>1422/01/16</t>
        </is>
      </c>
    </row>
    <row r="8784">
      <c r="A8784" t="n">
        <v>14220117</v>
      </c>
      <c r="B8784" t="n">
        <v>52327</v>
      </c>
      <c r="C8784" t="inlineStr">
        <is>
          <t>1422/01/17</t>
        </is>
      </c>
    </row>
    <row r="8785">
      <c r="A8785" t="n">
        <v>14220118</v>
      </c>
      <c r="B8785" t="n">
        <v>52328</v>
      </c>
      <c r="C8785" t="inlineStr">
        <is>
          <t>1422/01/18</t>
        </is>
      </c>
    </row>
    <row r="8786">
      <c r="A8786" t="n">
        <v>14220119</v>
      </c>
      <c r="B8786" t="n">
        <v>52329</v>
      </c>
      <c r="C8786" t="inlineStr">
        <is>
          <t>1422/01/19</t>
        </is>
      </c>
    </row>
    <row r="8787">
      <c r="A8787" t="n">
        <v>14220120</v>
      </c>
      <c r="B8787" t="n">
        <v>52330</v>
      </c>
      <c r="C8787" t="inlineStr">
        <is>
          <t>1422/01/20</t>
        </is>
      </c>
    </row>
    <row r="8788">
      <c r="A8788" t="n">
        <v>14220121</v>
      </c>
      <c r="B8788" t="n">
        <v>52331</v>
      </c>
      <c r="C8788" t="inlineStr">
        <is>
          <t>1422/01/21</t>
        </is>
      </c>
    </row>
    <row r="8789">
      <c r="A8789" t="n">
        <v>14220122</v>
      </c>
      <c r="B8789" t="n">
        <v>52332</v>
      </c>
      <c r="C8789" t="inlineStr">
        <is>
          <t>1422/01/22</t>
        </is>
      </c>
    </row>
    <row r="8790">
      <c r="A8790" t="n">
        <v>14220123</v>
      </c>
      <c r="B8790" t="n">
        <v>52333</v>
      </c>
      <c r="C8790" t="inlineStr">
        <is>
          <t>1422/01/23</t>
        </is>
      </c>
    </row>
    <row r="8791">
      <c r="A8791" t="n">
        <v>14220124</v>
      </c>
      <c r="B8791" t="n">
        <v>52334</v>
      </c>
      <c r="C8791" t="inlineStr">
        <is>
          <t>1422/01/24</t>
        </is>
      </c>
    </row>
    <row r="8792">
      <c r="A8792" t="n">
        <v>14220125</v>
      </c>
      <c r="B8792" t="n">
        <v>52335</v>
      </c>
      <c r="C8792" t="inlineStr">
        <is>
          <t>1422/01/25</t>
        </is>
      </c>
    </row>
    <row r="8793">
      <c r="A8793" t="n">
        <v>14220126</v>
      </c>
      <c r="B8793" t="n">
        <v>52336</v>
      </c>
      <c r="C8793" t="inlineStr">
        <is>
          <t>1422/01/26</t>
        </is>
      </c>
    </row>
    <row r="8794">
      <c r="A8794" t="n">
        <v>14220127</v>
      </c>
      <c r="B8794" t="n">
        <v>52337</v>
      </c>
      <c r="C8794" t="inlineStr">
        <is>
          <t>1422/01/27</t>
        </is>
      </c>
    </row>
    <row r="8795">
      <c r="A8795" t="n">
        <v>14220128</v>
      </c>
      <c r="B8795" t="n">
        <v>52338</v>
      </c>
      <c r="C8795" t="inlineStr">
        <is>
          <t>1422/01/28</t>
        </is>
      </c>
    </row>
    <row r="8796">
      <c r="A8796" t="n">
        <v>14220129</v>
      </c>
      <c r="B8796" t="n">
        <v>52339</v>
      </c>
      <c r="C8796" t="inlineStr">
        <is>
          <t>1422/01/29</t>
        </is>
      </c>
    </row>
    <row r="8797">
      <c r="A8797" t="n">
        <v>14220130</v>
      </c>
      <c r="B8797" t="n">
        <v>52340</v>
      </c>
      <c r="C8797" t="inlineStr">
        <is>
          <t>1422/01/30</t>
        </is>
      </c>
    </row>
    <row r="8798">
      <c r="A8798" t="n">
        <v>14220131</v>
      </c>
      <c r="B8798" t="n">
        <v>52341</v>
      </c>
      <c r="C8798" t="inlineStr">
        <is>
          <t>1422/01/31</t>
        </is>
      </c>
    </row>
    <row r="8799">
      <c r="A8799" t="n">
        <v>14220201</v>
      </c>
      <c r="B8799" t="n">
        <v>52342</v>
      </c>
      <c r="C8799" t="inlineStr">
        <is>
          <t>1422/02/01</t>
        </is>
      </c>
    </row>
    <row r="8800">
      <c r="A8800" t="n">
        <v>14220202</v>
      </c>
      <c r="B8800" t="n">
        <v>52343</v>
      </c>
      <c r="C8800" t="inlineStr">
        <is>
          <t>1422/02/02</t>
        </is>
      </c>
    </row>
    <row r="8801">
      <c r="A8801" t="n">
        <v>14220203</v>
      </c>
      <c r="B8801" t="n">
        <v>52344</v>
      </c>
      <c r="C8801" t="inlineStr">
        <is>
          <t>1422/02/03</t>
        </is>
      </c>
    </row>
    <row r="8802">
      <c r="A8802" t="n">
        <v>14220204</v>
      </c>
      <c r="B8802" t="n">
        <v>52345</v>
      </c>
      <c r="C8802" t="inlineStr">
        <is>
          <t>1422/02/04</t>
        </is>
      </c>
    </row>
    <row r="8803">
      <c r="A8803" t="n">
        <v>14220205</v>
      </c>
      <c r="B8803" t="n">
        <v>52346</v>
      </c>
      <c r="C8803" t="inlineStr">
        <is>
          <t>1422/02/05</t>
        </is>
      </c>
    </row>
    <row r="8804">
      <c r="A8804" t="n">
        <v>14220206</v>
      </c>
      <c r="B8804" t="n">
        <v>52347</v>
      </c>
      <c r="C8804" t="inlineStr">
        <is>
          <t>1422/02/06</t>
        </is>
      </c>
    </row>
    <row r="8805">
      <c r="A8805" t="n">
        <v>14220207</v>
      </c>
      <c r="B8805" t="n">
        <v>52348</v>
      </c>
      <c r="C8805" t="inlineStr">
        <is>
          <t>1422/02/07</t>
        </is>
      </c>
    </row>
    <row r="8806">
      <c r="A8806" t="n">
        <v>14220208</v>
      </c>
      <c r="B8806" t="n">
        <v>52349</v>
      </c>
      <c r="C8806" t="inlineStr">
        <is>
          <t>1422/02/08</t>
        </is>
      </c>
    </row>
    <row r="8807">
      <c r="A8807" t="n">
        <v>14220209</v>
      </c>
      <c r="B8807" t="n">
        <v>52350</v>
      </c>
      <c r="C8807" t="inlineStr">
        <is>
          <t>1422/02/09</t>
        </is>
      </c>
    </row>
    <row r="8808">
      <c r="A8808" t="n">
        <v>14220210</v>
      </c>
      <c r="B8808" t="n">
        <v>52351</v>
      </c>
      <c r="C8808" t="inlineStr">
        <is>
          <t>1422/02/10</t>
        </is>
      </c>
    </row>
    <row r="8809">
      <c r="A8809" t="n">
        <v>14220211</v>
      </c>
      <c r="B8809" t="n">
        <v>52352</v>
      </c>
      <c r="C8809" t="inlineStr">
        <is>
          <t>1422/02/11</t>
        </is>
      </c>
    </row>
    <row r="8810">
      <c r="A8810" t="n">
        <v>14220212</v>
      </c>
      <c r="B8810" t="n">
        <v>52353</v>
      </c>
      <c r="C8810" t="inlineStr">
        <is>
          <t>1422/02/12</t>
        </is>
      </c>
    </row>
    <row r="8811">
      <c r="A8811" t="n">
        <v>14220213</v>
      </c>
      <c r="B8811" t="n">
        <v>52354</v>
      </c>
      <c r="C8811" t="inlineStr">
        <is>
          <t>1422/02/13</t>
        </is>
      </c>
    </row>
    <row r="8812">
      <c r="A8812" t="n">
        <v>14220214</v>
      </c>
      <c r="B8812" t="n">
        <v>52355</v>
      </c>
      <c r="C8812" t="inlineStr">
        <is>
          <t>1422/02/14</t>
        </is>
      </c>
    </row>
    <row r="8813">
      <c r="A8813" t="n">
        <v>14220215</v>
      </c>
      <c r="B8813" t="n">
        <v>52356</v>
      </c>
      <c r="C8813" t="inlineStr">
        <is>
          <t>1422/02/15</t>
        </is>
      </c>
    </row>
    <row r="8814">
      <c r="A8814" t="n">
        <v>14220216</v>
      </c>
      <c r="B8814" t="n">
        <v>52357</v>
      </c>
      <c r="C8814" t="inlineStr">
        <is>
          <t>1422/02/16</t>
        </is>
      </c>
    </row>
    <row r="8815">
      <c r="A8815" t="n">
        <v>14220217</v>
      </c>
      <c r="B8815" t="n">
        <v>52358</v>
      </c>
      <c r="C8815" t="inlineStr">
        <is>
          <t>1422/02/17</t>
        </is>
      </c>
    </row>
    <row r="8816">
      <c r="A8816" t="n">
        <v>14220218</v>
      </c>
      <c r="B8816" t="n">
        <v>52359</v>
      </c>
      <c r="C8816" t="inlineStr">
        <is>
          <t>1422/02/18</t>
        </is>
      </c>
    </row>
    <row r="8817">
      <c r="A8817" t="n">
        <v>14220219</v>
      </c>
      <c r="B8817" t="n">
        <v>52360</v>
      </c>
      <c r="C8817" t="inlineStr">
        <is>
          <t>1422/02/19</t>
        </is>
      </c>
    </row>
    <row r="8818">
      <c r="A8818" t="n">
        <v>14220220</v>
      </c>
      <c r="B8818" t="n">
        <v>52361</v>
      </c>
      <c r="C8818" t="inlineStr">
        <is>
          <t>1422/02/20</t>
        </is>
      </c>
    </row>
    <row r="8819">
      <c r="A8819" t="n">
        <v>14220221</v>
      </c>
      <c r="B8819" t="n">
        <v>52362</v>
      </c>
      <c r="C8819" t="inlineStr">
        <is>
          <t>1422/02/21</t>
        </is>
      </c>
    </row>
    <row r="8820">
      <c r="A8820" t="n">
        <v>14220222</v>
      </c>
      <c r="B8820" t="n">
        <v>52363</v>
      </c>
      <c r="C8820" t="inlineStr">
        <is>
          <t>1422/02/22</t>
        </is>
      </c>
    </row>
    <row r="8821">
      <c r="A8821" t="n">
        <v>14220223</v>
      </c>
      <c r="B8821" t="n">
        <v>52364</v>
      </c>
      <c r="C8821" t="inlineStr">
        <is>
          <t>1422/02/23</t>
        </is>
      </c>
    </row>
    <row r="8822">
      <c r="A8822" t="n">
        <v>14220224</v>
      </c>
      <c r="B8822" t="n">
        <v>52365</v>
      </c>
      <c r="C8822" t="inlineStr">
        <is>
          <t>1422/02/24</t>
        </is>
      </c>
    </row>
    <row r="8823">
      <c r="A8823" t="n">
        <v>14220225</v>
      </c>
      <c r="B8823" t="n">
        <v>52366</v>
      </c>
      <c r="C8823" t="inlineStr">
        <is>
          <t>1422/02/25</t>
        </is>
      </c>
    </row>
    <row r="8824">
      <c r="A8824" t="n">
        <v>14220226</v>
      </c>
      <c r="B8824" t="n">
        <v>52367</v>
      </c>
      <c r="C8824" t="inlineStr">
        <is>
          <t>1422/02/26</t>
        </is>
      </c>
    </row>
    <row r="8825">
      <c r="A8825" t="n">
        <v>14220227</v>
      </c>
      <c r="B8825" t="n">
        <v>52368</v>
      </c>
      <c r="C8825" t="inlineStr">
        <is>
          <t>1422/02/27</t>
        </is>
      </c>
    </row>
    <row r="8826">
      <c r="A8826" t="n">
        <v>14220228</v>
      </c>
      <c r="B8826" t="n">
        <v>52369</v>
      </c>
      <c r="C8826" t="inlineStr">
        <is>
          <t>1422/02/28</t>
        </is>
      </c>
    </row>
    <row r="8827">
      <c r="A8827" t="n">
        <v>14220229</v>
      </c>
      <c r="B8827" t="n">
        <v>52370</v>
      </c>
      <c r="C8827" t="inlineStr">
        <is>
          <t>1422/02/29</t>
        </is>
      </c>
    </row>
    <row r="8828">
      <c r="A8828" t="n">
        <v>14220230</v>
      </c>
      <c r="B8828" t="n">
        <v>52371</v>
      </c>
      <c r="C8828" t="inlineStr">
        <is>
          <t>1422/02/30</t>
        </is>
      </c>
    </row>
    <row r="8829">
      <c r="A8829" t="n">
        <v>14220231</v>
      </c>
      <c r="B8829" t="n">
        <v>52372</v>
      </c>
      <c r="C8829" t="inlineStr">
        <is>
          <t>1422/02/31</t>
        </is>
      </c>
    </row>
    <row r="8830">
      <c r="A8830" t="n">
        <v>14220301</v>
      </c>
      <c r="B8830" t="n">
        <v>52373</v>
      </c>
      <c r="C8830" t="inlineStr">
        <is>
          <t>1422/03/01</t>
        </is>
      </c>
    </row>
    <row r="8831">
      <c r="A8831" t="n">
        <v>14220302</v>
      </c>
      <c r="B8831" t="n">
        <v>52374</v>
      </c>
      <c r="C8831" t="inlineStr">
        <is>
          <t>1422/03/02</t>
        </is>
      </c>
    </row>
    <row r="8832">
      <c r="A8832" t="n">
        <v>14220303</v>
      </c>
      <c r="B8832" t="n">
        <v>52375</v>
      </c>
      <c r="C8832" t="inlineStr">
        <is>
          <t>1422/03/03</t>
        </is>
      </c>
    </row>
    <row r="8833">
      <c r="A8833" t="n">
        <v>14220304</v>
      </c>
      <c r="B8833" t="n">
        <v>52376</v>
      </c>
      <c r="C8833" t="inlineStr">
        <is>
          <t>1422/03/04</t>
        </is>
      </c>
    </row>
    <row r="8834">
      <c r="A8834" t="n">
        <v>14220305</v>
      </c>
      <c r="B8834" t="n">
        <v>52377</v>
      </c>
      <c r="C8834" t="inlineStr">
        <is>
          <t>1422/03/05</t>
        </is>
      </c>
    </row>
    <row r="8835">
      <c r="A8835" t="n">
        <v>14220306</v>
      </c>
      <c r="B8835" t="n">
        <v>52378</v>
      </c>
      <c r="C8835" t="inlineStr">
        <is>
          <t>1422/03/06</t>
        </is>
      </c>
    </row>
    <row r="8836">
      <c r="A8836" t="n">
        <v>14220307</v>
      </c>
      <c r="B8836" t="n">
        <v>52379</v>
      </c>
      <c r="C8836" t="inlineStr">
        <is>
          <t>1422/03/07</t>
        </is>
      </c>
    </row>
    <row r="8837">
      <c r="A8837" t="n">
        <v>14220308</v>
      </c>
      <c r="B8837" t="n">
        <v>52380</v>
      </c>
      <c r="C8837" t="inlineStr">
        <is>
          <t>1422/03/08</t>
        </is>
      </c>
    </row>
    <row r="8838">
      <c r="A8838" t="n">
        <v>14220309</v>
      </c>
      <c r="B8838" t="n">
        <v>52381</v>
      </c>
      <c r="C8838" t="inlineStr">
        <is>
          <t>1422/03/09</t>
        </is>
      </c>
    </row>
    <row r="8839">
      <c r="A8839" t="n">
        <v>14220310</v>
      </c>
      <c r="B8839" t="n">
        <v>52382</v>
      </c>
      <c r="C8839" t="inlineStr">
        <is>
          <t>1422/03/10</t>
        </is>
      </c>
    </row>
    <row r="8840">
      <c r="A8840" t="n">
        <v>14220311</v>
      </c>
      <c r="B8840" t="n">
        <v>52383</v>
      </c>
      <c r="C8840" t="inlineStr">
        <is>
          <t>1422/03/11</t>
        </is>
      </c>
    </row>
    <row r="8841">
      <c r="A8841" t="n">
        <v>14220312</v>
      </c>
      <c r="B8841" t="n">
        <v>52384</v>
      </c>
      <c r="C8841" t="inlineStr">
        <is>
          <t>1422/03/12</t>
        </is>
      </c>
    </row>
    <row r="8842">
      <c r="A8842" t="n">
        <v>14220313</v>
      </c>
      <c r="B8842" t="n">
        <v>52385</v>
      </c>
      <c r="C8842" t="inlineStr">
        <is>
          <t>1422/03/13</t>
        </is>
      </c>
    </row>
    <row r="8843">
      <c r="A8843" t="n">
        <v>14220314</v>
      </c>
      <c r="B8843" t="n">
        <v>52386</v>
      </c>
      <c r="C8843" t="inlineStr">
        <is>
          <t>1422/03/14</t>
        </is>
      </c>
    </row>
    <row r="8844">
      <c r="A8844" t="n">
        <v>14220315</v>
      </c>
      <c r="B8844" t="n">
        <v>52387</v>
      </c>
      <c r="C8844" t="inlineStr">
        <is>
          <t>1422/03/15</t>
        </is>
      </c>
    </row>
    <row r="8845">
      <c r="A8845" t="n">
        <v>14220316</v>
      </c>
      <c r="B8845" t="n">
        <v>52388</v>
      </c>
      <c r="C8845" t="inlineStr">
        <is>
          <t>1422/03/16</t>
        </is>
      </c>
    </row>
    <row r="8846">
      <c r="A8846" t="n">
        <v>14220317</v>
      </c>
      <c r="B8846" t="n">
        <v>52389</v>
      </c>
      <c r="C8846" t="inlineStr">
        <is>
          <t>1422/03/17</t>
        </is>
      </c>
    </row>
    <row r="8847">
      <c r="A8847" t="n">
        <v>14220318</v>
      </c>
      <c r="B8847" t="n">
        <v>52390</v>
      </c>
      <c r="C8847" t="inlineStr">
        <is>
          <t>1422/03/18</t>
        </is>
      </c>
    </row>
    <row r="8848">
      <c r="A8848" t="n">
        <v>14220319</v>
      </c>
      <c r="B8848" t="n">
        <v>52391</v>
      </c>
      <c r="C8848" t="inlineStr">
        <is>
          <t>1422/03/19</t>
        </is>
      </c>
    </row>
    <row r="8849">
      <c r="A8849" t="n">
        <v>14220320</v>
      </c>
      <c r="B8849" t="n">
        <v>52392</v>
      </c>
      <c r="C8849" t="inlineStr">
        <is>
          <t>1422/03/20</t>
        </is>
      </c>
    </row>
    <row r="8850">
      <c r="A8850" t="n">
        <v>14220321</v>
      </c>
      <c r="B8850" t="n">
        <v>52393</v>
      </c>
      <c r="C8850" t="inlineStr">
        <is>
          <t>1422/03/21</t>
        </is>
      </c>
    </row>
    <row r="8851">
      <c r="A8851" t="n">
        <v>14220322</v>
      </c>
      <c r="B8851" t="n">
        <v>52394</v>
      </c>
      <c r="C8851" t="inlineStr">
        <is>
          <t>1422/03/22</t>
        </is>
      </c>
    </row>
    <row r="8852">
      <c r="A8852" t="n">
        <v>14220323</v>
      </c>
      <c r="B8852" t="n">
        <v>52395</v>
      </c>
      <c r="C8852" t="inlineStr">
        <is>
          <t>1422/03/23</t>
        </is>
      </c>
    </row>
    <row r="8853">
      <c r="A8853" t="n">
        <v>14220324</v>
      </c>
      <c r="B8853" t="n">
        <v>52396</v>
      </c>
      <c r="C8853" t="inlineStr">
        <is>
          <t>1422/03/24</t>
        </is>
      </c>
    </row>
    <row r="8854">
      <c r="A8854" t="n">
        <v>14220325</v>
      </c>
      <c r="B8854" t="n">
        <v>52397</v>
      </c>
      <c r="C8854" t="inlineStr">
        <is>
          <t>1422/03/25</t>
        </is>
      </c>
    </row>
    <row r="8855">
      <c r="A8855" t="n">
        <v>14220326</v>
      </c>
      <c r="B8855" t="n">
        <v>52398</v>
      </c>
      <c r="C8855" t="inlineStr">
        <is>
          <t>1422/03/26</t>
        </is>
      </c>
    </row>
    <row r="8856">
      <c r="A8856" t="n">
        <v>14220327</v>
      </c>
      <c r="B8856" t="n">
        <v>52399</v>
      </c>
      <c r="C8856" t="inlineStr">
        <is>
          <t>1422/03/27</t>
        </is>
      </c>
    </row>
    <row r="8857">
      <c r="A8857" t="n">
        <v>14220328</v>
      </c>
      <c r="B8857" t="n">
        <v>52400</v>
      </c>
      <c r="C8857" t="inlineStr">
        <is>
          <t>1422/03/28</t>
        </is>
      </c>
    </row>
    <row r="8858">
      <c r="A8858" t="n">
        <v>14220329</v>
      </c>
      <c r="B8858" t="n">
        <v>52401</v>
      </c>
      <c r="C8858" t="inlineStr">
        <is>
          <t>1422/03/29</t>
        </is>
      </c>
    </row>
    <row r="8859">
      <c r="A8859" t="n">
        <v>14220330</v>
      </c>
      <c r="B8859" t="n">
        <v>52402</v>
      </c>
      <c r="C8859" t="inlineStr">
        <is>
          <t>1422/03/30</t>
        </is>
      </c>
    </row>
    <row r="8860">
      <c r="A8860" t="n">
        <v>14220331</v>
      </c>
      <c r="B8860" t="n">
        <v>52403</v>
      </c>
      <c r="C8860" t="inlineStr">
        <is>
          <t>1422/03/31</t>
        </is>
      </c>
    </row>
    <row r="8861">
      <c r="A8861" t="n">
        <v>14220401</v>
      </c>
      <c r="B8861" t="n">
        <v>52404</v>
      </c>
      <c r="C8861" t="inlineStr">
        <is>
          <t>1422/04/01</t>
        </is>
      </c>
    </row>
    <row r="8862">
      <c r="A8862" t="n">
        <v>14220402</v>
      </c>
      <c r="B8862" t="n">
        <v>52405</v>
      </c>
      <c r="C8862" t="inlineStr">
        <is>
          <t>1422/04/02</t>
        </is>
      </c>
    </row>
    <row r="8863">
      <c r="A8863" t="n">
        <v>14220403</v>
      </c>
      <c r="B8863" t="n">
        <v>52406</v>
      </c>
      <c r="C8863" t="inlineStr">
        <is>
          <t>1422/04/03</t>
        </is>
      </c>
    </row>
    <row r="8864">
      <c r="A8864" t="n">
        <v>14220404</v>
      </c>
      <c r="B8864" t="n">
        <v>52407</v>
      </c>
      <c r="C8864" t="inlineStr">
        <is>
          <t>1422/04/04</t>
        </is>
      </c>
    </row>
    <row r="8865">
      <c r="A8865" t="n">
        <v>14220405</v>
      </c>
      <c r="B8865" t="n">
        <v>52408</v>
      </c>
      <c r="C8865" t="inlineStr">
        <is>
          <t>1422/04/05</t>
        </is>
      </c>
    </row>
    <row r="8866">
      <c r="A8866" t="n">
        <v>14220406</v>
      </c>
      <c r="B8866" t="n">
        <v>52409</v>
      </c>
      <c r="C8866" t="inlineStr">
        <is>
          <t>1422/04/06</t>
        </is>
      </c>
    </row>
    <row r="8867">
      <c r="A8867" t="n">
        <v>14220407</v>
      </c>
      <c r="B8867" t="n">
        <v>52410</v>
      </c>
      <c r="C8867" t="inlineStr">
        <is>
          <t>1422/04/07</t>
        </is>
      </c>
    </row>
    <row r="8868">
      <c r="A8868" t="n">
        <v>14220408</v>
      </c>
      <c r="B8868" t="n">
        <v>52411</v>
      </c>
      <c r="C8868" t="inlineStr">
        <is>
          <t>1422/04/08</t>
        </is>
      </c>
    </row>
    <row r="8869">
      <c r="A8869" t="n">
        <v>14220409</v>
      </c>
      <c r="B8869" t="n">
        <v>52412</v>
      </c>
      <c r="C8869" t="inlineStr">
        <is>
          <t>1422/04/09</t>
        </is>
      </c>
    </row>
    <row r="8870">
      <c r="A8870" t="n">
        <v>14220410</v>
      </c>
      <c r="B8870" t="n">
        <v>52413</v>
      </c>
      <c r="C8870" t="inlineStr">
        <is>
          <t>1422/04/10</t>
        </is>
      </c>
    </row>
    <row r="8871">
      <c r="A8871" t="n">
        <v>14220411</v>
      </c>
      <c r="B8871" t="n">
        <v>52414</v>
      </c>
      <c r="C8871" t="inlineStr">
        <is>
          <t>1422/04/11</t>
        </is>
      </c>
    </row>
    <row r="8872">
      <c r="A8872" t="n">
        <v>14220412</v>
      </c>
      <c r="B8872" t="n">
        <v>52415</v>
      </c>
      <c r="C8872" t="inlineStr">
        <is>
          <t>1422/04/12</t>
        </is>
      </c>
    </row>
    <row r="8873">
      <c r="A8873" t="n">
        <v>14220413</v>
      </c>
      <c r="B8873" t="n">
        <v>52416</v>
      </c>
      <c r="C8873" t="inlineStr">
        <is>
          <t>1422/04/13</t>
        </is>
      </c>
    </row>
    <row r="8874">
      <c r="A8874" t="n">
        <v>14220414</v>
      </c>
      <c r="B8874" t="n">
        <v>52417</v>
      </c>
      <c r="C8874" t="inlineStr">
        <is>
          <t>1422/04/14</t>
        </is>
      </c>
    </row>
    <row r="8875">
      <c r="A8875" t="n">
        <v>14220415</v>
      </c>
      <c r="B8875" t="n">
        <v>52418</v>
      </c>
      <c r="C8875" t="inlineStr">
        <is>
          <t>1422/04/15</t>
        </is>
      </c>
    </row>
    <row r="8876">
      <c r="A8876" t="n">
        <v>14220416</v>
      </c>
      <c r="B8876" t="n">
        <v>52419</v>
      </c>
      <c r="C8876" t="inlineStr">
        <is>
          <t>1422/04/16</t>
        </is>
      </c>
    </row>
    <row r="8877">
      <c r="A8877" t="n">
        <v>14220417</v>
      </c>
      <c r="B8877" t="n">
        <v>52420</v>
      </c>
      <c r="C8877" t="inlineStr">
        <is>
          <t>1422/04/17</t>
        </is>
      </c>
    </row>
    <row r="8878">
      <c r="A8878" t="n">
        <v>14220418</v>
      </c>
      <c r="B8878" t="n">
        <v>52421</v>
      </c>
      <c r="C8878" t="inlineStr">
        <is>
          <t>1422/04/18</t>
        </is>
      </c>
    </row>
    <row r="8879">
      <c r="A8879" t="n">
        <v>14220419</v>
      </c>
      <c r="B8879" t="n">
        <v>52422</v>
      </c>
      <c r="C8879" t="inlineStr">
        <is>
          <t>1422/04/19</t>
        </is>
      </c>
    </row>
    <row r="8880">
      <c r="A8880" t="n">
        <v>14220420</v>
      </c>
      <c r="B8880" t="n">
        <v>52423</v>
      </c>
      <c r="C8880" t="inlineStr">
        <is>
          <t>1422/04/20</t>
        </is>
      </c>
    </row>
    <row r="8881">
      <c r="A8881" t="n">
        <v>14220421</v>
      </c>
      <c r="B8881" t="n">
        <v>52424</v>
      </c>
      <c r="C8881" t="inlineStr">
        <is>
          <t>1422/04/21</t>
        </is>
      </c>
    </row>
    <row r="8882">
      <c r="A8882" t="n">
        <v>14220422</v>
      </c>
      <c r="B8882" t="n">
        <v>52425</v>
      </c>
      <c r="C8882" t="inlineStr">
        <is>
          <t>1422/04/22</t>
        </is>
      </c>
    </row>
    <row r="8883">
      <c r="A8883" t="n">
        <v>14220423</v>
      </c>
      <c r="B8883" t="n">
        <v>52426</v>
      </c>
      <c r="C8883" t="inlineStr">
        <is>
          <t>1422/04/23</t>
        </is>
      </c>
    </row>
    <row r="8884">
      <c r="A8884" t="n">
        <v>14220424</v>
      </c>
      <c r="B8884" t="n">
        <v>52427</v>
      </c>
      <c r="C8884" t="inlineStr">
        <is>
          <t>1422/04/24</t>
        </is>
      </c>
    </row>
    <row r="8885">
      <c r="A8885" t="n">
        <v>14220425</v>
      </c>
      <c r="B8885" t="n">
        <v>52428</v>
      </c>
      <c r="C8885" t="inlineStr">
        <is>
          <t>1422/04/25</t>
        </is>
      </c>
    </row>
    <row r="8886">
      <c r="A8886" t="n">
        <v>14220426</v>
      </c>
      <c r="B8886" t="n">
        <v>52429</v>
      </c>
      <c r="C8886" t="inlineStr">
        <is>
          <t>1422/04/26</t>
        </is>
      </c>
    </row>
    <row r="8887">
      <c r="A8887" t="n">
        <v>14220427</v>
      </c>
      <c r="B8887" t="n">
        <v>52430</v>
      </c>
      <c r="C8887" t="inlineStr">
        <is>
          <t>1422/04/27</t>
        </is>
      </c>
    </row>
    <row r="8888">
      <c r="A8888" t="n">
        <v>14220428</v>
      </c>
      <c r="B8888" t="n">
        <v>52431</v>
      </c>
      <c r="C8888" t="inlineStr">
        <is>
          <t>1422/04/28</t>
        </is>
      </c>
    </row>
    <row r="8889">
      <c r="A8889" t="n">
        <v>14220429</v>
      </c>
      <c r="B8889" t="n">
        <v>52432</v>
      </c>
      <c r="C8889" t="inlineStr">
        <is>
          <t>1422/04/29</t>
        </is>
      </c>
    </row>
    <row r="8890">
      <c r="A8890" t="n">
        <v>14220430</v>
      </c>
      <c r="B8890" t="n">
        <v>52433</v>
      </c>
      <c r="C8890" t="inlineStr">
        <is>
          <t>1422/04/30</t>
        </is>
      </c>
    </row>
    <row r="8891">
      <c r="A8891" t="n">
        <v>14220431</v>
      </c>
      <c r="B8891" t="n">
        <v>52434</v>
      </c>
      <c r="C8891" t="inlineStr">
        <is>
          <t>1422/04/31</t>
        </is>
      </c>
    </row>
    <row r="8892">
      <c r="A8892" t="n">
        <v>14220501</v>
      </c>
      <c r="B8892" t="n">
        <v>52435</v>
      </c>
      <c r="C8892" t="inlineStr">
        <is>
          <t>1422/05/01</t>
        </is>
      </c>
    </row>
    <row r="8893">
      <c r="A8893" t="n">
        <v>14220502</v>
      </c>
      <c r="B8893" t="n">
        <v>52436</v>
      </c>
      <c r="C8893" t="inlineStr">
        <is>
          <t>1422/05/02</t>
        </is>
      </c>
    </row>
    <row r="8894">
      <c r="A8894" t="n">
        <v>14220503</v>
      </c>
      <c r="B8894" t="n">
        <v>52437</v>
      </c>
      <c r="C8894" t="inlineStr">
        <is>
          <t>1422/05/03</t>
        </is>
      </c>
    </row>
    <row r="8895">
      <c r="A8895" t="n">
        <v>14220504</v>
      </c>
      <c r="B8895" t="n">
        <v>52438</v>
      </c>
      <c r="C8895" t="inlineStr">
        <is>
          <t>1422/05/04</t>
        </is>
      </c>
    </row>
    <row r="8896">
      <c r="A8896" t="n">
        <v>14220505</v>
      </c>
      <c r="B8896" t="n">
        <v>52439</v>
      </c>
      <c r="C8896" t="inlineStr">
        <is>
          <t>1422/05/05</t>
        </is>
      </c>
    </row>
    <row r="8897">
      <c r="A8897" t="n">
        <v>14220506</v>
      </c>
      <c r="B8897" t="n">
        <v>52440</v>
      </c>
      <c r="C8897" t="inlineStr">
        <is>
          <t>1422/05/06</t>
        </is>
      </c>
    </row>
    <row r="8898">
      <c r="A8898" t="n">
        <v>14220507</v>
      </c>
      <c r="B8898" t="n">
        <v>52441</v>
      </c>
      <c r="C8898" t="inlineStr">
        <is>
          <t>1422/05/07</t>
        </is>
      </c>
    </row>
    <row r="8899">
      <c r="A8899" t="n">
        <v>14220508</v>
      </c>
      <c r="B8899" t="n">
        <v>52442</v>
      </c>
      <c r="C8899" t="inlineStr">
        <is>
          <t>1422/05/08</t>
        </is>
      </c>
    </row>
    <row r="8900">
      <c r="A8900" t="n">
        <v>14220509</v>
      </c>
      <c r="B8900" t="n">
        <v>52443</v>
      </c>
      <c r="C8900" t="inlineStr">
        <is>
          <t>1422/05/09</t>
        </is>
      </c>
    </row>
    <row r="8901">
      <c r="A8901" t="n">
        <v>14220510</v>
      </c>
      <c r="B8901" t="n">
        <v>52444</v>
      </c>
      <c r="C8901" t="inlineStr">
        <is>
          <t>1422/05/10</t>
        </is>
      </c>
    </row>
    <row r="8902">
      <c r="A8902" t="n">
        <v>14220511</v>
      </c>
      <c r="B8902" t="n">
        <v>52445</v>
      </c>
      <c r="C8902" t="inlineStr">
        <is>
          <t>1422/05/11</t>
        </is>
      </c>
    </row>
    <row r="8903">
      <c r="A8903" t="n">
        <v>14220512</v>
      </c>
      <c r="B8903" t="n">
        <v>52446</v>
      </c>
      <c r="C8903" t="inlineStr">
        <is>
          <t>1422/05/12</t>
        </is>
      </c>
    </row>
    <row r="8904">
      <c r="A8904" t="n">
        <v>14220513</v>
      </c>
      <c r="B8904" t="n">
        <v>52447</v>
      </c>
      <c r="C8904" t="inlineStr">
        <is>
          <t>1422/05/13</t>
        </is>
      </c>
    </row>
    <row r="8905">
      <c r="A8905" t="n">
        <v>14220514</v>
      </c>
      <c r="B8905" t="n">
        <v>52448</v>
      </c>
      <c r="C8905" t="inlineStr">
        <is>
          <t>1422/05/14</t>
        </is>
      </c>
    </row>
    <row r="8906">
      <c r="A8906" t="n">
        <v>14220515</v>
      </c>
      <c r="B8906" t="n">
        <v>52449</v>
      </c>
      <c r="C8906" t="inlineStr">
        <is>
          <t>1422/05/15</t>
        </is>
      </c>
    </row>
    <row r="8907">
      <c r="A8907" t="n">
        <v>14220516</v>
      </c>
      <c r="B8907" t="n">
        <v>52450</v>
      </c>
      <c r="C8907" t="inlineStr">
        <is>
          <t>1422/05/16</t>
        </is>
      </c>
    </row>
    <row r="8908">
      <c r="A8908" t="n">
        <v>14220517</v>
      </c>
      <c r="B8908" t="n">
        <v>52451</v>
      </c>
      <c r="C8908" t="inlineStr">
        <is>
          <t>1422/05/17</t>
        </is>
      </c>
    </row>
    <row r="8909">
      <c r="A8909" t="n">
        <v>14220518</v>
      </c>
      <c r="B8909" t="n">
        <v>52452</v>
      </c>
      <c r="C8909" t="inlineStr">
        <is>
          <t>1422/05/18</t>
        </is>
      </c>
    </row>
    <row r="8910">
      <c r="A8910" t="n">
        <v>14220519</v>
      </c>
      <c r="B8910" t="n">
        <v>52453</v>
      </c>
      <c r="C8910" t="inlineStr">
        <is>
          <t>1422/05/19</t>
        </is>
      </c>
    </row>
    <row r="8911">
      <c r="A8911" t="n">
        <v>14220520</v>
      </c>
      <c r="B8911" t="n">
        <v>52454</v>
      </c>
      <c r="C8911" t="inlineStr">
        <is>
          <t>1422/05/20</t>
        </is>
      </c>
    </row>
    <row r="8912">
      <c r="A8912" t="n">
        <v>14220521</v>
      </c>
      <c r="B8912" t="n">
        <v>52455</v>
      </c>
      <c r="C8912" t="inlineStr">
        <is>
          <t>1422/05/21</t>
        </is>
      </c>
    </row>
    <row r="8913">
      <c r="A8913" t="n">
        <v>14220522</v>
      </c>
      <c r="B8913" t="n">
        <v>52456</v>
      </c>
      <c r="C8913" t="inlineStr">
        <is>
          <t>1422/05/22</t>
        </is>
      </c>
    </row>
    <row r="8914">
      <c r="A8914" t="n">
        <v>14220523</v>
      </c>
      <c r="B8914" t="n">
        <v>52457</v>
      </c>
      <c r="C8914" t="inlineStr">
        <is>
          <t>1422/05/23</t>
        </is>
      </c>
    </row>
    <row r="8915">
      <c r="A8915" t="n">
        <v>14220524</v>
      </c>
      <c r="B8915" t="n">
        <v>52458</v>
      </c>
      <c r="C8915" t="inlineStr">
        <is>
          <t>1422/05/24</t>
        </is>
      </c>
    </row>
    <row r="8916">
      <c r="A8916" t="n">
        <v>14220525</v>
      </c>
      <c r="B8916" t="n">
        <v>52459</v>
      </c>
      <c r="C8916" t="inlineStr">
        <is>
          <t>1422/05/25</t>
        </is>
      </c>
    </row>
    <row r="8917">
      <c r="A8917" t="n">
        <v>14220526</v>
      </c>
      <c r="B8917" t="n">
        <v>52460</v>
      </c>
      <c r="C8917" t="inlineStr">
        <is>
          <t>1422/05/26</t>
        </is>
      </c>
    </row>
    <row r="8918">
      <c r="A8918" t="n">
        <v>14220527</v>
      </c>
      <c r="B8918" t="n">
        <v>52461</v>
      </c>
      <c r="C8918" t="inlineStr">
        <is>
          <t>1422/05/27</t>
        </is>
      </c>
    </row>
    <row r="8919">
      <c r="A8919" t="n">
        <v>14220528</v>
      </c>
      <c r="B8919" t="n">
        <v>52462</v>
      </c>
      <c r="C8919" t="inlineStr">
        <is>
          <t>1422/05/28</t>
        </is>
      </c>
    </row>
    <row r="8920">
      <c r="A8920" t="n">
        <v>14220529</v>
      </c>
      <c r="B8920" t="n">
        <v>52463</v>
      </c>
      <c r="C8920" t="inlineStr">
        <is>
          <t>1422/05/29</t>
        </is>
      </c>
    </row>
    <row r="8921">
      <c r="A8921" t="n">
        <v>14220530</v>
      </c>
      <c r="B8921" t="n">
        <v>52464</v>
      </c>
      <c r="C8921" t="inlineStr">
        <is>
          <t>1422/05/30</t>
        </is>
      </c>
    </row>
    <row r="8922">
      <c r="A8922" t="n">
        <v>14220531</v>
      </c>
      <c r="B8922" t="n">
        <v>52465</v>
      </c>
      <c r="C8922" t="inlineStr">
        <is>
          <t>1422/05/31</t>
        </is>
      </c>
    </row>
    <row r="8923">
      <c r="A8923" t="n">
        <v>14220601</v>
      </c>
      <c r="B8923" t="n">
        <v>52466</v>
      </c>
      <c r="C8923" t="inlineStr">
        <is>
          <t>1422/06/01</t>
        </is>
      </c>
    </row>
    <row r="8924">
      <c r="A8924" t="n">
        <v>14220602</v>
      </c>
      <c r="B8924" t="n">
        <v>52467</v>
      </c>
      <c r="C8924" t="inlineStr">
        <is>
          <t>1422/06/02</t>
        </is>
      </c>
    </row>
    <row r="8925">
      <c r="A8925" t="n">
        <v>14220603</v>
      </c>
      <c r="B8925" t="n">
        <v>52468</v>
      </c>
      <c r="C8925" t="inlineStr">
        <is>
          <t>1422/06/03</t>
        </is>
      </c>
    </row>
    <row r="8926">
      <c r="A8926" t="n">
        <v>14220604</v>
      </c>
      <c r="B8926" t="n">
        <v>52469</v>
      </c>
      <c r="C8926" t="inlineStr">
        <is>
          <t>1422/06/04</t>
        </is>
      </c>
    </row>
    <row r="8927">
      <c r="A8927" t="n">
        <v>14220605</v>
      </c>
      <c r="B8927" t="n">
        <v>52470</v>
      </c>
      <c r="C8927" t="inlineStr">
        <is>
          <t>1422/06/05</t>
        </is>
      </c>
    </row>
    <row r="8928">
      <c r="A8928" t="n">
        <v>14220606</v>
      </c>
      <c r="B8928" t="n">
        <v>52471</v>
      </c>
      <c r="C8928" t="inlineStr">
        <is>
          <t>1422/06/06</t>
        </is>
      </c>
    </row>
    <row r="8929">
      <c r="A8929" t="n">
        <v>14220607</v>
      </c>
      <c r="B8929" t="n">
        <v>52472</v>
      </c>
      <c r="C8929" t="inlineStr">
        <is>
          <t>1422/06/07</t>
        </is>
      </c>
    </row>
    <row r="8930">
      <c r="A8930" t="n">
        <v>14220608</v>
      </c>
      <c r="B8930" t="n">
        <v>52473</v>
      </c>
      <c r="C8930" t="inlineStr">
        <is>
          <t>1422/06/08</t>
        </is>
      </c>
    </row>
    <row r="8931">
      <c r="A8931" t="n">
        <v>14220609</v>
      </c>
      <c r="B8931" t="n">
        <v>52474</v>
      </c>
      <c r="C8931" t="inlineStr">
        <is>
          <t>1422/06/09</t>
        </is>
      </c>
    </row>
    <row r="8932">
      <c r="A8932" t="n">
        <v>14220610</v>
      </c>
      <c r="B8932" t="n">
        <v>52475</v>
      </c>
      <c r="C8932" t="inlineStr">
        <is>
          <t>1422/06/10</t>
        </is>
      </c>
    </row>
    <row r="8933">
      <c r="A8933" t="n">
        <v>14220611</v>
      </c>
      <c r="B8933" t="n">
        <v>52476</v>
      </c>
      <c r="C8933" t="inlineStr">
        <is>
          <t>1422/06/11</t>
        </is>
      </c>
    </row>
    <row r="8934">
      <c r="A8934" t="n">
        <v>14220612</v>
      </c>
      <c r="B8934" t="n">
        <v>52477</v>
      </c>
      <c r="C8934" t="inlineStr">
        <is>
          <t>1422/06/12</t>
        </is>
      </c>
    </row>
    <row r="8935">
      <c r="A8935" t="n">
        <v>14220613</v>
      </c>
      <c r="B8935" t="n">
        <v>52478</v>
      </c>
      <c r="C8935" t="inlineStr">
        <is>
          <t>1422/06/13</t>
        </is>
      </c>
    </row>
    <row r="8936">
      <c r="A8936" t="n">
        <v>14220614</v>
      </c>
      <c r="B8936" t="n">
        <v>52479</v>
      </c>
      <c r="C8936" t="inlineStr">
        <is>
          <t>1422/06/14</t>
        </is>
      </c>
    </row>
    <row r="8937">
      <c r="A8937" t="n">
        <v>14220615</v>
      </c>
      <c r="B8937" t="n">
        <v>52480</v>
      </c>
      <c r="C8937" t="inlineStr">
        <is>
          <t>1422/06/15</t>
        </is>
      </c>
    </row>
    <row r="8938">
      <c r="A8938" t="n">
        <v>14220616</v>
      </c>
      <c r="B8938" t="n">
        <v>52481</v>
      </c>
      <c r="C8938" t="inlineStr">
        <is>
          <t>1422/06/16</t>
        </is>
      </c>
    </row>
    <row r="8939">
      <c r="A8939" t="n">
        <v>14220617</v>
      </c>
      <c r="B8939" t="n">
        <v>52482</v>
      </c>
      <c r="C8939" t="inlineStr">
        <is>
          <t>1422/06/17</t>
        </is>
      </c>
    </row>
    <row r="8940">
      <c r="A8940" t="n">
        <v>14220618</v>
      </c>
      <c r="B8940" t="n">
        <v>52483</v>
      </c>
      <c r="C8940" t="inlineStr">
        <is>
          <t>1422/06/18</t>
        </is>
      </c>
    </row>
    <row r="8941">
      <c r="A8941" t="n">
        <v>14220619</v>
      </c>
      <c r="B8941" t="n">
        <v>52484</v>
      </c>
      <c r="C8941" t="inlineStr">
        <is>
          <t>1422/06/19</t>
        </is>
      </c>
    </row>
    <row r="8942">
      <c r="A8942" t="n">
        <v>14220620</v>
      </c>
      <c r="B8942" t="n">
        <v>52485</v>
      </c>
      <c r="C8942" t="inlineStr">
        <is>
          <t>1422/06/20</t>
        </is>
      </c>
    </row>
    <row r="8943">
      <c r="A8943" t="n">
        <v>14220621</v>
      </c>
      <c r="B8943" t="n">
        <v>52486</v>
      </c>
      <c r="C8943" t="inlineStr">
        <is>
          <t>1422/06/21</t>
        </is>
      </c>
    </row>
    <row r="8944">
      <c r="A8944" t="n">
        <v>14220622</v>
      </c>
      <c r="B8944" t="n">
        <v>52487</v>
      </c>
      <c r="C8944" t="inlineStr">
        <is>
          <t>1422/06/22</t>
        </is>
      </c>
    </row>
    <row r="8945">
      <c r="A8945" t="n">
        <v>14220623</v>
      </c>
      <c r="B8945" t="n">
        <v>52488</v>
      </c>
      <c r="C8945" t="inlineStr">
        <is>
          <t>1422/06/23</t>
        </is>
      </c>
    </row>
    <row r="8946">
      <c r="A8946" t="n">
        <v>14220624</v>
      </c>
      <c r="B8946" t="n">
        <v>52489</v>
      </c>
      <c r="C8946" t="inlineStr">
        <is>
          <t>1422/06/24</t>
        </is>
      </c>
    </row>
    <row r="8947">
      <c r="A8947" t="n">
        <v>14220625</v>
      </c>
      <c r="B8947" t="n">
        <v>52490</v>
      </c>
      <c r="C8947" t="inlineStr">
        <is>
          <t>1422/06/25</t>
        </is>
      </c>
    </row>
    <row r="8948">
      <c r="A8948" t="n">
        <v>14220626</v>
      </c>
      <c r="B8948" t="n">
        <v>52491</v>
      </c>
      <c r="C8948" t="inlineStr">
        <is>
          <t>1422/06/26</t>
        </is>
      </c>
    </row>
    <row r="8949">
      <c r="A8949" t="n">
        <v>14220627</v>
      </c>
      <c r="B8949" t="n">
        <v>52492</v>
      </c>
      <c r="C8949" t="inlineStr">
        <is>
          <t>1422/06/27</t>
        </is>
      </c>
    </row>
    <row r="8950">
      <c r="A8950" t="n">
        <v>14220628</v>
      </c>
      <c r="B8950" t="n">
        <v>52493</v>
      </c>
      <c r="C8950" t="inlineStr">
        <is>
          <t>1422/06/28</t>
        </is>
      </c>
    </row>
    <row r="8951">
      <c r="A8951" t="n">
        <v>14220629</v>
      </c>
      <c r="B8951" t="n">
        <v>52494</v>
      </c>
      <c r="C8951" t="inlineStr">
        <is>
          <t>1422/06/29</t>
        </is>
      </c>
    </row>
    <row r="8952">
      <c r="A8952" t="n">
        <v>14220630</v>
      </c>
      <c r="B8952" t="n">
        <v>52495</v>
      </c>
      <c r="C8952" t="inlineStr">
        <is>
          <t>1422/06/30</t>
        </is>
      </c>
    </row>
    <row r="8953">
      <c r="A8953" t="n">
        <v>14220631</v>
      </c>
      <c r="B8953" t="n">
        <v>52496</v>
      </c>
      <c r="C8953" t="inlineStr">
        <is>
          <t>1422/06/31</t>
        </is>
      </c>
    </row>
    <row r="8954">
      <c r="A8954" t="n">
        <v>14220701</v>
      </c>
      <c r="B8954" t="n">
        <v>52497</v>
      </c>
      <c r="C8954" t="inlineStr">
        <is>
          <t>1422/07/01</t>
        </is>
      </c>
    </row>
    <row r="8955">
      <c r="A8955" t="n">
        <v>14220702</v>
      </c>
      <c r="B8955" t="n">
        <v>52498</v>
      </c>
      <c r="C8955" t="inlineStr">
        <is>
          <t>1422/07/02</t>
        </is>
      </c>
    </row>
    <row r="8956">
      <c r="A8956" t="n">
        <v>14220703</v>
      </c>
      <c r="B8956" t="n">
        <v>52499</v>
      </c>
      <c r="C8956" t="inlineStr">
        <is>
          <t>1422/07/03</t>
        </is>
      </c>
    </row>
    <row r="8957">
      <c r="A8957" t="n">
        <v>14220704</v>
      </c>
      <c r="B8957" t="n">
        <v>52500</v>
      </c>
      <c r="C8957" t="inlineStr">
        <is>
          <t>1422/07/04</t>
        </is>
      </c>
    </row>
    <row r="8958">
      <c r="A8958" t="n">
        <v>14220705</v>
      </c>
      <c r="B8958" t="n">
        <v>52501</v>
      </c>
      <c r="C8958" t="inlineStr">
        <is>
          <t>1422/07/05</t>
        </is>
      </c>
    </row>
    <row r="8959">
      <c r="A8959" t="n">
        <v>14220706</v>
      </c>
      <c r="B8959" t="n">
        <v>52502</v>
      </c>
      <c r="C8959" t="inlineStr">
        <is>
          <t>1422/07/06</t>
        </is>
      </c>
    </row>
    <row r="8960">
      <c r="A8960" t="n">
        <v>14220707</v>
      </c>
      <c r="B8960" t="n">
        <v>52503</v>
      </c>
      <c r="C8960" t="inlineStr">
        <is>
          <t>1422/07/07</t>
        </is>
      </c>
    </row>
    <row r="8961">
      <c r="A8961" t="n">
        <v>14220708</v>
      </c>
      <c r="B8961" t="n">
        <v>52504</v>
      </c>
      <c r="C8961" t="inlineStr">
        <is>
          <t>1422/07/08</t>
        </is>
      </c>
    </row>
    <row r="8962">
      <c r="A8962" t="n">
        <v>14220709</v>
      </c>
      <c r="B8962" t="n">
        <v>52505</v>
      </c>
      <c r="C8962" t="inlineStr">
        <is>
          <t>1422/07/09</t>
        </is>
      </c>
    </row>
    <row r="8963">
      <c r="A8963" t="n">
        <v>14220710</v>
      </c>
      <c r="B8963" t="n">
        <v>52506</v>
      </c>
      <c r="C8963" t="inlineStr">
        <is>
          <t>1422/07/10</t>
        </is>
      </c>
    </row>
    <row r="8964">
      <c r="A8964" t="n">
        <v>14220711</v>
      </c>
      <c r="B8964" t="n">
        <v>52507</v>
      </c>
      <c r="C8964" t="inlineStr">
        <is>
          <t>1422/07/11</t>
        </is>
      </c>
    </row>
    <row r="8965">
      <c r="A8965" t="n">
        <v>14220712</v>
      </c>
      <c r="B8965" t="n">
        <v>52508</v>
      </c>
      <c r="C8965" t="inlineStr">
        <is>
          <t>1422/07/12</t>
        </is>
      </c>
    </row>
    <row r="8966">
      <c r="A8966" t="n">
        <v>14220713</v>
      </c>
      <c r="B8966" t="n">
        <v>52509</v>
      </c>
      <c r="C8966" t="inlineStr">
        <is>
          <t>1422/07/13</t>
        </is>
      </c>
    </row>
    <row r="8967">
      <c r="A8967" t="n">
        <v>14220714</v>
      </c>
      <c r="B8967" t="n">
        <v>52510</v>
      </c>
      <c r="C8967" t="inlineStr">
        <is>
          <t>1422/07/14</t>
        </is>
      </c>
    </row>
    <row r="8968">
      <c r="A8968" t="n">
        <v>14220715</v>
      </c>
      <c r="B8968" t="n">
        <v>52511</v>
      </c>
      <c r="C8968" t="inlineStr">
        <is>
          <t>1422/07/15</t>
        </is>
      </c>
    </row>
    <row r="8969">
      <c r="A8969" t="n">
        <v>14220716</v>
      </c>
      <c r="B8969" t="n">
        <v>52512</v>
      </c>
      <c r="C8969" t="inlineStr">
        <is>
          <t>1422/07/16</t>
        </is>
      </c>
    </row>
    <row r="8970">
      <c r="A8970" t="n">
        <v>14220717</v>
      </c>
      <c r="B8970" t="n">
        <v>52513</v>
      </c>
      <c r="C8970" t="inlineStr">
        <is>
          <t>1422/07/17</t>
        </is>
      </c>
    </row>
    <row r="8971">
      <c r="A8971" t="n">
        <v>14220718</v>
      </c>
      <c r="B8971" t="n">
        <v>52514</v>
      </c>
      <c r="C8971" t="inlineStr">
        <is>
          <t>1422/07/18</t>
        </is>
      </c>
    </row>
    <row r="8972">
      <c r="A8972" t="n">
        <v>14220719</v>
      </c>
      <c r="B8972" t="n">
        <v>52515</v>
      </c>
      <c r="C8972" t="inlineStr">
        <is>
          <t>1422/07/19</t>
        </is>
      </c>
    </row>
    <row r="8973">
      <c r="A8973" t="n">
        <v>14220720</v>
      </c>
      <c r="B8973" t="n">
        <v>52516</v>
      </c>
      <c r="C8973" t="inlineStr">
        <is>
          <t>1422/07/20</t>
        </is>
      </c>
    </row>
    <row r="8974">
      <c r="A8974" t="n">
        <v>14220721</v>
      </c>
      <c r="B8974" t="n">
        <v>52517</v>
      </c>
      <c r="C8974" t="inlineStr">
        <is>
          <t>1422/07/21</t>
        </is>
      </c>
    </row>
    <row r="8975">
      <c r="A8975" t="n">
        <v>14220722</v>
      </c>
      <c r="B8975" t="n">
        <v>52518</v>
      </c>
      <c r="C8975" t="inlineStr">
        <is>
          <t>1422/07/22</t>
        </is>
      </c>
    </row>
    <row r="8976">
      <c r="A8976" t="n">
        <v>14220723</v>
      </c>
      <c r="B8976" t="n">
        <v>52519</v>
      </c>
      <c r="C8976" t="inlineStr">
        <is>
          <t>1422/07/23</t>
        </is>
      </c>
    </row>
    <row r="8977">
      <c r="A8977" t="n">
        <v>14220724</v>
      </c>
      <c r="B8977" t="n">
        <v>52520</v>
      </c>
      <c r="C8977" t="inlineStr">
        <is>
          <t>1422/07/24</t>
        </is>
      </c>
    </row>
    <row r="8978">
      <c r="A8978" t="n">
        <v>14220725</v>
      </c>
      <c r="B8978" t="n">
        <v>52521</v>
      </c>
      <c r="C8978" t="inlineStr">
        <is>
          <t>1422/07/25</t>
        </is>
      </c>
    </row>
    <row r="8979">
      <c r="A8979" t="n">
        <v>14220726</v>
      </c>
      <c r="B8979" t="n">
        <v>52522</v>
      </c>
      <c r="C8979" t="inlineStr">
        <is>
          <t>1422/07/26</t>
        </is>
      </c>
    </row>
    <row r="8980">
      <c r="A8980" t="n">
        <v>14220727</v>
      </c>
      <c r="B8980" t="n">
        <v>52523</v>
      </c>
      <c r="C8980" t="inlineStr">
        <is>
          <t>1422/07/27</t>
        </is>
      </c>
    </row>
    <row r="8981">
      <c r="A8981" t="n">
        <v>14220728</v>
      </c>
      <c r="B8981" t="n">
        <v>52524</v>
      </c>
      <c r="C8981" t="inlineStr">
        <is>
          <t>1422/07/28</t>
        </is>
      </c>
    </row>
    <row r="8982">
      <c r="A8982" t="n">
        <v>14220729</v>
      </c>
      <c r="B8982" t="n">
        <v>52525</v>
      </c>
      <c r="C8982" t="inlineStr">
        <is>
          <t>1422/07/29</t>
        </is>
      </c>
    </row>
    <row r="8983">
      <c r="A8983" t="n">
        <v>14220730</v>
      </c>
      <c r="B8983" t="n">
        <v>52526</v>
      </c>
      <c r="C8983" t="inlineStr">
        <is>
          <t>1422/07/30</t>
        </is>
      </c>
    </row>
    <row r="8984">
      <c r="A8984" t="n">
        <v>14220801</v>
      </c>
      <c r="B8984" t="n">
        <v>52527</v>
      </c>
      <c r="C8984" t="inlineStr">
        <is>
          <t>1422/08/01</t>
        </is>
      </c>
    </row>
    <row r="8985">
      <c r="A8985" t="n">
        <v>14220802</v>
      </c>
      <c r="B8985" t="n">
        <v>52528</v>
      </c>
      <c r="C8985" t="inlineStr">
        <is>
          <t>1422/08/02</t>
        </is>
      </c>
    </row>
    <row r="8986">
      <c r="A8986" t="n">
        <v>14220803</v>
      </c>
      <c r="B8986" t="n">
        <v>52529</v>
      </c>
      <c r="C8986" t="inlineStr">
        <is>
          <t>1422/08/03</t>
        </is>
      </c>
    </row>
    <row r="8987">
      <c r="A8987" t="n">
        <v>14220804</v>
      </c>
      <c r="B8987" t="n">
        <v>52530</v>
      </c>
      <c r="C8987" t="inlineStr">
        <is>
          <t>1422/08/04</t>
        </is>
      </c>
    </row>
    <row r="8988">
      <c r="A8988" t="n">
        <v>14220805</v>
      </c>
      <c r="B8988" t="n">
        <v>52531</v>
      </c>
      <c r="C8988" t="inlineStr">
        <is>
          <t>1422/08/05</t>
        </is>
      </c>
    </row>
    <row r="8989">
      <c r="A8989" t="n">
        <v>14220806</v>
      </c>
      <c r="B8989" t="n">
        <v>52532</v>
      </c>
      <c r="C8989" t="inlineStr">
        <is>
          <t>1422/08/06</t>
        </is>
      </c>
    </row>
    <row r="8990">
      <c r="A8990" t="n">
        <v>14220807</v>
      </c>
      <c r="B8990" t="n">
        <v>52533</v>
      </c>
      <c r="C8990" t="inlineStr">
        <is>
          <t>1422/08/07</t>
        </is>
      </c>
    </row>
    <row r="8991">
      <c r="A8991" t="n">
        <v>14220808</v>
      </c>
      <c r="B8991" t="n">
        <v>52534</v>
      </c>
      <c r="C8991" t="inlineStr">
        <is>
          <t>1422/08/08</t>
        </is>
      </c>
    </row>
    <row r="8992">
      <c r="A8992" t="n">
        <v>14220809</v>
      </c>
      <c r="B8992" t="n">
        <v>52535</v>
      </c>
      <c r="C8992" t="inlineStr">
        <is>
          <t>1422/08/09</t>
        </is>
      </c>
    </row>
    <row r="8993">
      <c r="A8993" t="n">
        <v>14220810</v>
      </c>
      <c r="B8993" t="n">
        <v>52536</v>
      </c>
      <c r="C8993" t="inlineStr">
        <is>
          <t>1422/08/10</t>
        </is>
      </c>
    </row>
    <row r="8994">
      <c r="A8994" t="n">
        <v>14220811</v>
      </c>
      <c r="B8994" t="n">
        <v>52537</v>
      </c>
      <c r="C8994" t="inlineStr">
        <is>
          <t>1422/08/11</t>
        </is>
      </c>
    </row>
    <row r="8995">
      <c r="A8995" t="n">
        <v>14220812</v>
      </c>
      <c r="B8995" t="n">
        <v>52538</v>
      </c>
      <c r="C8995" t="inlineStr">
        <is>
          <t>1422/08/12</t>
        </is>
      </c>
    </row>
    <row r="8996">
      <c r="A8996" t="n">
        <v>14220813</v>
      </c>
      <c r="B8996" t="n">
        <v>52539</v>
      </c>
      <c r="C8996" t="inlineStr">
        <is>
          <t>1422/08/13</t>
        </is>
      </c>
    </row>
    <row r="8997">
      <c r="A8997" t="n">
        <v>14220814</v>
      </c>
      <c r="B8997" t="n">
        <v>52540</v>
      </c>
      <c r="C8997" t="inlineStr">
        <is>
          <t>1422/08/14</t>
        </is>
      </c>
    </row>
    <row r="8998">
      <c r="A8998" t="n">
        <v>14220815</v>
      </c>
      <c r="B8998" t="n">
        <v>52541</v>
      </c>
      <c r="C8998" t="inlineStr">
        <is>
          <t>1422/08/15</t>
        </is>
      </c>
    </row>
    <row r="8999">
      <c r="A8999" t="n">
        <v>14220816</v>
      </c>
      <c r="B8999" t="n">
        <v>52542</v>
      </c>
      <c r="C8999" t="inlineStr">
        <is>
          <t>1422/08/16</t>
        </is>
      </c>
    </row>
    <row r="9000">
      <c r="A9000" t="n">
        <v>14220817</v>
      </c>
      <c r="B9000" t="n">
        <v>52543</v>
      </c>
      <c r="C9000" t="inlineStr">
        <is>
          <t>1422/08/17</t>
        </is>
      </c>
    </row>
    <row r="9001">
      <c r="A9001" t="n">
        <v>14220818</v>
      </c>
      <c r="B9001" t="n">
        <v>52544</v>
      </c>
      <c r="C9001" t="inlineStr">
        <is>
          <t>1422/08/18</t>
        </is>
      </c>
    </row>
    <row r="9002">
      <c r="A9002" t="n">
        <v>14220819</v>
      </c>
      <c r="B9002" t="n">
        <v>52545</v>
      </c>
      <c r="C9002" t="inlineStr">
        <is>
          <t>1422/08/19</t>
        </is>
      </c>
    </row>
    <row r="9003">
      <c r="A9003" t="n">
        <v>14220820</v>
      </c>
      <c r="B9003" t="n">
        <v>52546</v>
      </c>
      <c r="C9003" t="inlineStr">
        <is>
          <t>1422/08/20</t>
        </is>
      </c>
    </row>
    <row r="9004">
      <c r="A9004" t="n">
        <v>14220821</v>
      </c>
      <c r="B9004" t="n">
        <v>52547</v>
      </c>
      <c r="C9004" t="inlineStr">
        <is>
          <t>1422/08/21</t>
        </is>
      </c>
    </row>
    <row r="9005">
      <c r="A9005" t="n">
        <v>14220822</v>
      </c>
      <c r="B9005" t="n">
        <v>52548</v>
      </c>
      <c r="C9005" t="inlineStr">
        <is>
          <t>1422/08/22</t>
        </is>
      </c>
    </row>
    <row r="9006">
      <c r="A9006" t="n">
        <v>14220823</v>
      </c>
      <c r="B9006" t="n">
        <v>52549</v>
      </c>
      <c r="C9006" t="inlineStr">
        <is>
          <t>1422/08/23</t>
        </is>
      </c>
    </row>
    <row r="9007">
      <c r="A9007" t="n">
        <v>14220824</v>
      </c>
      <c r="B9007" t="n">
        <v>52550</v>
      </c>
      <c r="C9007" t="inlineStr">
        <is>
          <t>1422/08/24</t>
        </is>
      </c>
    </row>
    <row r="9008">
      <c r="A9008" t="n">
        <v>14220825</v>
      </c>
      <c r="B9008" t="n">
        <v>52551</v>
      </c>
      <c r="C9008" t="inlineStr">
        <is>
          <t>1422/08/25</t>
        </is>
      </c>
    </row>
    <row r="9009">
      <c r="A9009" t="n">
        <v>14220826</v>
      </c>
      <c r="B9009" t="n">
        <v>52552</v>
      </c>
      <c r="C9009" t="inlineStr">
        <is>
          <t>1422/08/26</t>
        </is>
      </c>
    </row>
    <row r="9010">
      <c r="A9010" t="n">
        <v>14220827</v>
      </c>
      <c r="B9010" t="n">
        <v>52553</v>
      </c>
      <c r="C9010" t="inlineStr">
        <is>
          <t>1422/08/27</t>
        </is>
      </c>
    </row>
    <row r="9011">
      <c r="A9011" t="n">
        <v>14220828</v>
      </c>
      <c r="B9011" t="n">
        <v>52554</v>
      </c>
      <c r="C9011" t="inlineStr">
        <is>
          <t>1422/08/28</t>
        </is>
      </c>
    </row>
    <row r="9012">
      <c r="A9012" t="n">
        <v>14220829</v>
      </c>
      <c r="B9012" t="n">
        <v>52555</v>
      </c>
      <c r="C9012" t="inlineStr">
        <is>
          <t>1422/08/29</t>
        </is>
      </c>
    </row>
    <row r="9013">
      <c r="A9013" t="n">
        <v>14220830</v>
      </c>
      <c r="B9013" t="n">
        <v>52556</v>
      </c>
      <c r="C9013" t="inlineStr">
        <is>
          <t>1422/08/30</t>
        </is>
      </c>
    </row>
    <row r="9014">
      <c r="A9014" t="n">
        <v>14220901</v>
      </c>
      <c r="B9014" t="n">
        <v>52557</v>
      </c>
      <c r="C9014" t="inlineStr">
        <is>
          <t>1422/09/01</t>
        </is>
      </c>
    </row>
    <row r="9015">
      <c r="A9015" t="n">
        <v>14220902</v>
      </c>
      <c r="B9015" t="n">
        <v>52558</v>
      </c>
      <c r="C9015" t="inlineStr">
        <is>
          <t>1422/09/02</t>
        </is>
      </c>
    </row>
    <row r="9016">
      <c r="A9016" t="n">
        <v>14220903</v>
      </c>
      <c r="B9016" t="n">
        <v>52559</v>
      </c>
      <c r="C9016" t="inlineStr">
        <is>
          <t>1422/09/03</t>
        </is>
      </c>
    </row>
    <row r="9017">
      <c r="A9017" t="n">
        <v>14220904</v>
      </c>
      <c r="B9017" t="n">
        <v>52560</v>
      </c>
      <c r="C9017" t="inlineStr">
        <is>
          <t>1422/09/04</t>
        </is>
      </c>
    </row>
    <row r="9018">
      <c r="A9018" t="n">
        <v>14220905</v>
      </c>
      <c r="B9018" t="n">
        <v>52561</v>
      </c>
      <c r="C9018" t="inlineStr">
        <is>
          <t>1422/09/05</t>
        </is>
      </c>
    </row>
    <row r="9019">
      <c r="A9019" t="n">
        <v>14220906</v>
      </c>
      <c r="B9019" t="n">
        <v>52562</v>
      </c>
      <c r="C9019" t="inlineStr">
        <is>
          <t>1422/09/06</t>
        </is>
      </c>
    </row>
    <row r="9020">
      <c r="A9020" t="n">
        <v>14220907</v>
      </c>
      <c r="B9020" t="n">
        <v>52563</v>
      </c>
      <c r="C9020" t="inlineStr">
        <is>
          <t>1422/09/07</t>
        </is>
      </c>
    </row>
    <row r="9021">
      <c r="A9021" t="n">
        <v>14220908</v>
      </c>
      <c r="B9021" t="n">
        <v>52564</v>
      </c>
      <c r="C9021" t="inlineStr">
        <is>
          <t>1422/09/08</t>
        </is>
      </c>
    </row>
    <row r="9022">
      <c r="A9022" t="n">
        <v>14220909</v>
      </c>
      <c r="B9022" t="n">
        <v>52565</v>
      </c>
      <c r="C9022" t="inlineStr">
        <is>
          <t>1422/09/09</t>
        </is>
      </c>
    </row>
    <row r="9023">
      <c r="A9023" t="n">
        <v>14220910</v>
      </c>
      <c r="B9023" t="n">
        <v>52566</v>
      </c>
      <c r="C9023" t="inlineStr">
        <is>
          <t>1422/09/10</t>
        </is>
      </c>
    </row>
    <row r="9024">
      <c r="A9024" t="n">
        <v>14220911</v>
      </c>
      <c r="B9024" t="n">
        <v>52567</v>
      </c>
      <c r="C9024" t="inlineStr">
        <is>
          <t>1422/09/11</t>
        </is>
      </c>
    </row>
    <row r="9025">
      <c r="A9025" t="n">
        <v>14220912</v>
      </c>
      <c r="B9025" t="n">
        <v>52568</v>
      </c>
      <c r="C9025" t="inlineStr">
        <is>
          <t>1422/09/12</t>
        </is>
      </c>
    </row>
    <row r="9026">
      <c r="A9026" t="n">
        <v>14220913</v>
      </c>
      <c r="B9026" t="n">
        <v>52569</v>
      </c>
      <c r="C9026" t="inlineStr">
        <is>
          <t>1422/09/13</t>
        </is>
      </c>
    </row>
    <row r="9027">
      <c r="A9027" t="n">
        <v>14220914</v>
      </c>
      <c r="B9027" t="n">
        <v>52570</v>
      </c>
      <c r="C9027" t="inlineStr">
        <is>
          <t>1422/09/14</t>
        </is>
      </c>
    </row>
    <row r="9028">
      <c r="A9028" t="n">
        <v>14220915</v>
      </c>
      <c r="B9028" t="n">
        <v>52571</v>
      </c>
      <c r="C9028" t="inlineStr">
        <is>
          <t>1422/09/15</t>
        </is>
      </c>
    </row>
    <row r="9029">
      <c r="A9029" t="n">
        <v>14220916</v>
      </c>
      <c r="B9029" t="n">
        <v>52572</v>
      </c>
      <c r="C9029" t="inlineStr">
        <is>
          <t>1422/09/16</t>
        </is>
      </c>
    </row>
    <row r="9030">
      <c r="A9030" t="n">
        <v>14220917</v>
      </c>
      <c r="B9030" t="n">
        <v>52573</v>
      </c>
      <c r="C9030" t="inlineStr">
        <is>
          <t>1422/09/17</t>
        </is>
      </c>
    </row>
    <row r="9031">
      <c r="A9031" t="n">
        <v>14220918</v>
      </c>
      <c r="B9031" t="n">
        <v>52574</v>
      </c>
      <c r="C9031" t="inlineStr">
        <is>
          <t>1422/09/18</t>
        </is>
      </c>
    </row>
    <row r="9032">
      <c r="A9032" t="n">
        <v>14220919</v>
      </c>
      <c r="B9032" t="n">
        <v>52575</v>
      </c>
      <c r="C9032" t="inlineStr">
        <is>
          <t>1422/09/19</t>
        </is>
      </c>
    </row>
    <row r="9033">
      <c r="A9033" t="n">
        <v>14220920</v>
      </c>
      <c r="B9033" t="n">
        <v>52576</v>
      </c>
      <c r="C9033" t="inlineStr">
        <is>
          <t>1422/09/20</t>
        </is>
      </c>
    </row>
    <row r="9034">
      <c r="A9034" t="n">
        <v>14220921</v>
      </c>
      <c r="B9034" t="n">
        <v>52577</v>
      </c>
      <c r="C9034" t="inlineStr">
        <is>
          <t>1422/09/21</t>
        </is>
      </c>
    </row>
    <row r="9035">
      <c r="A9035" t="n">
        <v>14220922</v>
      </c>
      <c r="B9035" t="n">
        <v>52578</v>
      </c>
      <c r="C9035" t="inlineStr">
        <is>
          <t>1422/09/22</t>
        </is>
      </c>
    </row>
    <row r="9036">
      <c r="A9036" t="n">
        <v>14220923</v>
      </c>
      <c r="B9036" t="n">
        <v>52579</v>
      </c>
      <c r="C9036" t="inlineStr">
        <is>
          <t>1422/09/23</t>
        </is>
      </c>
    </row>
    <row r="9037">
      <c r="A9037" t="n">
        <v>14220924</v>
      </c>
      <c r="B9037" t="n">
        <v>52580</v>
      </c>
      <c r="C9037" t="inlineStr">
        <is>
          <t>1422/09/24</t>
        </is>
      </c>
    </row>
    <row r="9038">
      <c r="A9038" t="n">
        <v>14220925</v>
      </c>
      <c r="B9038" t="n">
        <v>52581</v>
      </c>
      <c r="C9038" t="inlineStr">
        <is>
          <t>1422/09/25</t>
        </is>
      </c>
    </row>
    <row r="9039">
      <c r="A9039" t="n">
        <v>14220926</v>
      </c>
      <c r="B9039" t="n">
        <v>52582</v>
      </c>
      <c r="C9039" t="inlineStr">
        <is>
          <t>1422/09/26</t>
        </is>
      </c>
    </row>
    <row r="9040">
      <c r="A9040" t="n">
        <v>14220927</v>
      </c>
      <c r="B9040" t="n">
        <v>52583</v>
      </c>
      <c r="C9040" t="inlineStr">
        <is>
          <t>1422/09/27</t>
        </is>
      </c>
    </row>
    <row r="9041">
      <c r="A9041" t="n">
        <v>14220928</v>
      </c>
      <c r="B9041" t="n">
        <v>52584</v>
      </c>
      <c r="C9041" t="inlineStr">
        <is>
          <t>1422/09/28</t>
        </is>
      </c>
    </row>
    <row r="9042">
      <c r="A9042" t="n">
        <v>14220929</v>
      </c>
      <c r="B9042" t="n">
        <v>52585</v>
      </c>
      <c r="C9042" t="inlineStr">
        <is>
          <t>1422/09/29</t>
        </is>
      </c>
    </row>
    <row r="9043">
      <c r="A9043" t="n">
        <v>14220930</v>
      </c>
      <c r="B9043" t="n">
        <v>52586</v>
      </c>
      <c r="C9043" t="inlineStr">
        <is>
          <t>1422/09/30</t>
        </is>
      </c>
    </row>
    <row r="9044">
      <c r="A9044" t="n">
        <v>14221001</v>
      </c>
      <c r="B9044" t="n">
        <v>52587</v>
      </c>
      <c r="C9044" t="inlineStr">
        <is>
          <t>1422/10/01</t>
        </is>
      </c>
    </row>
    <row r="9045">
      <c r="A9045" t="n">
        <v>14221002</v>
      </c>
      <c r="B9045" t="n">
        <v>52588</v>
      </c>
      <c r="C9045" t="inlineStr">
        <is>
          <t>1422/10/02</t>
        </is>
      </c>
    </row>
    <row r="9046">
      <c r="A9046" t="n">
        <v>14221003</v>
      </c>
      <c r="B9046" t="n">
        <v>52589</v>
      </c>
      <c r="C9046" t="inlineStr">
        <is>
          <t>1422/10/03</t>
        </is>
      </c>
    </row>
    <row r="9047">
      <c r="A9047" t="n">
        <v>14221004</v>
      </c>
      <c r="B9047" t="n">
        <v>52590</v>
      </c>
      <c r="C9047" t="inlineStr">
        <is>
          <t>1422/10/04</t>
        </is>
      </c>
    </row>
    <row r="9048">
      <c r="A9048" t="n">
        <v>14221005</v>
      </c>
      <c r="B9048" t="n">
        <v>52591</v>
      </c>
      <c r="C9048" t="inlineStr">
        <is>
          <t>1422/10/05</t>
        </is>
      </c>
    </row>
    <row r="9049">
      <c r="A9049" t="n">
        <v>14221006</v>
      </c>
      <c r="B9049" t="n">
        <v>52592</v>
      </c>
      <c r="C9049" t="inlineStr">
        <is>
          <t>1422/10/06</t>
        </is>
      </c>
    </row>
    <row r="9050">
      <c r="A9050" t="n">
        <v>14221007</v>
      </c>
      <c r="B9050" t="n">
        <v>52593</v>
      </c>
      <c r="C9050" t="inlineStr">
        <is>
          <t>1422/10/07</t>
        </is>
      </c>
    </row>
    <row r="9051">
      <c r="A9051" t="n">
        <v>14221008</v>
      </c>
      <c r="B9051" t="n">
        <v>52594</v>
      </c>
      <c r="C9051" t="inlineStr">
        <is>
          <t>1422/10/08</t>
        </is>
      </c>
    </row>
    <row r="9052">
      <c r="A9052" t="n">
        <v>14221009</v>
      </c>
      <c r="B9052" t="n">
        <v>52595</v>
      </c>
      <c r="C9052" t="inlineStr">
        <is>
          <t>1422/10/09</t>
        </is>
      </c>
    </row>
    <row r="9053">
      <c r="A9053" t="n">
        <v>14221010</v>
      </c>
      <c r="B9053" t="n">
        <v>52596</v>
      </c>
      <c r="C9053" t="inlineStr">
        <is>
          <t>1422/10/10</t>
        </is>
      </c>
    </row>
    <row r="9054">
      <c r="A9054" t="n">
        <v>14221011</v>
      </c>
      <c r="B9054" t="n">
        <v>52597</v>
      </c>
      <c r="C9054" t="inlineStr">
        <is>
          <t>1422/10/11</t>
        </is>
      </c>
    </row>
    <row r="9055">
      <c r="A9055" t="n">
        <v>14221012</v>
      </c>
      <c r="B9055" t="n">
        <v>52598</v>
      </c>
      <c r="C9055" t="inlineStr">
        <is>
          <t>1422/10/12</t>
        </is>
      </c>
    </row>
    <row r="9056">
      <c r="A9056" t="n">
        <v>14221013</v>
      </c>
      <c r="B9056" t="n">
        <v>52599</v>
      </c>
      <c r="C9056" t="inlineStr">
        <is>
          <t>1422/10/13</t>
        </is>
      </c>
    </row>
    <row r="9057">
      <c r="A9057" t="n">
        <v>14221014</v>
      </c>
      <c r="B9057" t="n">
        <v>52600</v>
      </c>
      <c r="C9057" t="inlineStr">
        <is>
          <t>1422/10/14</t>
        </is>
      </c>
    </row>
    <row r="9058">
      <c r="A9058" t="n">
        <v>14221015</v>
      </c>
      <c r="B9058" t="n">
        <v>52601</v>
      </c>
      <c r="C9058" t="inlineStr">
        <is>
          <t>1422/10/15</t>
        </is>
      </c>
    </row>
    <row r="9059">
      <c r="A9059" t="n">
        <v>14221016</v>
      </c>
      <c r="B9059" t="n">
        <v>52602</v>
      </c>
      <c r="C9059" t="inlineStr">
        <is>
          <t>1422/10/16</t>
        </is>
      </c>
    </row>
    <row r="9060">
      <c r="A9060" t="n">
        <v>14221017</v>
      </c>
      <c r="B9060" t="n">
        <v>52603</v>
      </c>
      <c r="C9060" t="inlineStr">
        <is>
          <t>1422/10/17</t>
        </is>
      </c>
    </row>
    <row r="9061">
      <c r="A9061" t="n">
        <v>14221018</v>
      </c>
      <c r="B9061" t="n">
        <v>52604</v>
      </c>
      <c r="C9061" t="inlineStr">
        <is>
          <t>1422/10/18</t>
        </is>
      </c>
    </row>
    <row r="9062">
      <c r="A9062" t="n">
        <v>14221019</v>
      </c>
      <c r="B9062" t="n">
        <v>52605</v>
      </c>
      <c r="C9062" t="inlineStr">
        <is>
          <t>1422/10/19</t>
        </is>
      </c>
    </row>
    <row r="9063">
      <c r="A9063" t="n">
        <v>14221020</v>
      </c>
      <c r="B9063" t="n">
        <v>52606</v>
      </c>
      <c r="C9063" t="inlineStr">
        <is>
          <t>1422/10/20</t>
        </is>
      </c>
    </row>
    <row r="9064">
      <c r="A9064" t="n">
        <v>14221021</v>
      </c>
      <c r="B9064" t="n">
        <v>52607</v>
      </c>
      <c r="C9064" t="inlineStr">
        <is>
          <t>1422/10/21</t>
        </is>
      </c>
    </row>
    <row r="9065">
      <c r="A9065" t="n">
        <v>14221022</v>
      </c>
      <c r="B9065" t="n">
        <v>52608</v>
      </c>
      <c r="C9065" t="inlineStr">
        <is>
          <t>1422/10/22</t>
        </is>
      </c>
    </row>
    <row r="9066">
      <c r="A9066" t="n">
        <v>14221023</v>
      </c>
      <c r="B9066" t="n">
        <v>52609</v>
      </c>
      <c r="C9066" t="inlineStr">
        <is>
          <t>1422/10/23</t>
        </is>
      </c>
    </row>
    <row r="9067">
      <c r="A9067" t="n">
        <v>14221024</v>
      </c>
      <c r="B9067" t="n">
        <v>52610</v>
      </c>
      <c r="C9067" t="inlineStr">
        <is>
          <t>1422/10/24</t>
        </is>
      </c>
    </row>
    <row r="9068">
      <c r="A9068" t="n">
        <v>14221025</v>
      </c>
      <c r="B9068" t="n">
        <v>52611</v>
      </c>
      <c r="C9068" t="inlineStr">
        <is>
          <t>1422/10/25</t>
        </is>
      </c>
    </row>
    <row r="9069">
      <c r="A9069" t="n">
        <v>14221026</v>
      </c>
      <c r="B9069" t="n">
        <v>52612</v>
      </c>
      <c r="C9069" t="inlineStr">
        <is>
          <t>1422/10/26</t>
        </is>
      </c>
    </row>
    <row r="9070">
      <c r="A9070" t="n">
        <v>14221027</v>
      </c>
      <c r="B9070" t="n">
        <v>52613</v>
      </c>
      <c r="C9070" t="inlineStr">
        <is>
          <t>1422/10/27</t>
        </is>
      </c>
    </row>
    <row r="9071">
      <c r="A9071" t="n">
        <v>14221028</v>
      </c>
      <c r="B9071" t="n">
        <v>52614</v>
      </c>
      <c r="C9071" t="inlineStr">
        <is>
          <t>1422/10/28</t>
        </is>
      </c>
    </row>
    <row r="9072">
      <c r="A9072" t="n">
        <v>14221029</v>
      </c>
      <c r="B9072" t="n">
        <v>52615</v>
      </c>
      <c r="C9072" t="inlineStr">
        <is>
          <t>1422/10/29</t>
        </is>
      </c>
    </row>
    <row r="9073">
      <c r="A9073" t="n">
        <v>14221030</v>
      </c>
      <c r="B9073" t="n">
        <v>52616</v>
      </c>
      <c r="C9073" t="inlineStr">
        <is>
          <t>1422/10/30</t>
        </is>
      </c>
    </row>
    <row r="9074">
      <c r="A9074" t="n">
        <v>14221101</v>
      </c>
      <c r="B9074" t="n">
        <v>52617</v>
      </c>
      <c r="C9074" t="inlineStr">
        <is>
          <t>1422/11/01</t>
        </is>
      </c>
    </row>
    <row r="9075">
      <c r="A9075" t="n">
        <v>14221102</v>
      </c>
      <c r="B9075" t="n">
        <v>52618</v>
      </c>
      <c r="C9075" t="inlineStr">
        <is>
          <t>1422/11/02</t>
        </is>
      </c>
    </row>
    <row r="9076">
      <c r="A9076" t="n">
        <v>14221103</v>
      </c>
      <c r="B9076" t="n">
        <v>52619</v>
      </c>
      <c r="C9076" t="inlineStr">
        <is>
          <t>1422/11/03</t>
        </is>
      </c>
    </row>
    <row r="9077">
      <c r="A9077" t="n">
        <v>14221104</v>
      </c>
      <c r="B9077" t="n">
        <v>52620</v>
      </c>
      <c r="C9077" t="inlineStr">
        <is>
          <t>1422/11/04</t>
        </is>
      </c>
    </row>
    <row r="9078">
      <c r="A9078" t="n">
        <v>14221105</v>
      </c>
      <c r="B9078" t="n">
        <v>52621</v>
      </c>
      <c r="C9078" t="inlineStr">
        <is>
          <t>1422/11/05</t>
        </is>
      </c>
    </row>
    <row r="9079">
      <c r="A9079" t="n">
        <v>14221106</v>
      </c>
      <c r="B9079" t="n">
        <v>52622</v>
      </c>
      <c r="C9079" t="inlineStr">
        <is>
          <t>1422/11/06</t>
        </is>
      </c>
    </row>
    <row r="9080">
      <c r="A9080" t="n">
        <v>14221107</v>
      </c>
      <c r="B9080" t="n">
        <v>52623</v>
      </c>
      <c r="C9080" t="inlineStr">
        <is>
          <t>1422/11/07</t>
        </is>
      </c>
    </row>
    <row r="9081">
      <c r="A9081" t="n">
        <v>14221108</v>
      </c>
      <c r="B9081" t="n">
        <v>52624</v>
      </c>
      <c r="C9081" t="inlineStr">
        <is>
          <t>1422/11/08</t>
        </is>
      </c>
    </row>
    <row r="9082">
      <c r="A9082" t="n">
        <v>14221109</v>
      </c>
      <c r="B9082" t="n">
        <v>52625</v>
      </c>
      <c r="C9082" t="inlineStr">
        <is>
          <t>1422/11/09</t>
        </is>
      </c>
    </row>
    <row r="9083">
      <c r="A9083" t="n">
        <v>14221110</v>
      </c>
      <c r="B9083" t="n">
        <v>52626</v>
      </c>
      <c r="C9083" t="inlineStr">
        <is>
          <t>1422/11/10</t>
        </is>
      </c>
    </row>
    <row r="9084">
      <c r="A9084" t="n">
        <v>14221111</v>
      </c>
      <c r="B9084" t="n">
        <v>52627</v>
      </c>
      <c r="C9084" t="inlineStr">
        <is>
          <t>1422/11/11</t>
        </is>
      </c>
    </row>
    <row r="9085">
      <c r="A9085" t="n">
        <v>14221112</v>
      </c>
      <c r="B9085" t="n">
        <v>52628</v>
      </c>
      <c r="C9085" t="inlineStr">
        <is>
          <t>1422/11/12</t>
        </is>
      </c>
    </row>
    <row r="9086">
      <c r="A9086" t="n">
        <v>14221113</v>
      </c>
      <c r="B9086" t="n">
        <v>52629</v>
      </c>
      <c r="C9086" t="inlineStr">
        <is>
          <t>1422/11/13</t>
        </is>
      </c>
    </row>
    <row r="9087">
      <c r="A9087" t="n">
        <v>14221114</v>
      </c>
      <c r="B9087" t="n">
        <v>52630</v>
      </c>
      <c r="C9087" t="inlineStr">
        <is>
          <t>1422/11/14</t>
        </is>
      </c>
    </row>
    <row r="9088">
      <c r="A9088" t="n">
        <v>14221115</v>
      </c>
      <c r="B9088" t="n">
        <v>52631</v>
      </c>
      <c r="C9088" t="inlineStr">
        <is>
          <t>1422/11/15</t>
        </is>
      </c>
    </row>
    <row r="9089">
      <c r="A9089" t="n">
        <v>14221116</v>
      </c>
      <c r="B9089" t="n">
        <v>52632</v>
      </c>
      <c r="C9089" t="inlineStr">
        <is>
          <t>1422/11/16</t>
        </is>
      </c>
    </row>
    <row r="9090">
      <c r="A9090" t="n">
        <v>14221117</v>
      </c>
      <c r="B9090" t="n">
        <v>52633</v>
      </c>
      <c r="C9090" t="inlineStr">
        <is>
          <t>1422/11/17</t>
        </is>
      </c>
    </row>
    <row r="9091">
      <c r="A9091" t="n">
        <v>14221118</v>
      </c>
      <c r="B9091" t="n">
        <v>52634</v>
      </c>
      <c r="C9091" t="inlineStr">
        <is>
          <t>1422/11/18</t>
        </is>
      </c>
    </row>
    <row r="9092">
      <c r="A9092" t="n">
        <v>14221119</v>
      </c>
      <c r="B9092" t="n">
        <v>52635</v>
      </c>
      <c r="C9092" t="inlineStr">
        <is>
          <t>1422/11/19</t>
        </is>
      </c>
    </row>
    <row r="9093">
      <c r="A9093" t="n">
        <v>14221120</v>
      </c>
      <c r="B9093" t="n">
        <v>52636</v>
      </c>
      <c r="C9093" t="inlineStr">
        <is>
          <t>1422/11/20</t>
        </is>
      </c>
    </row>
    <row r="9094">
      <c r="A9094" t="n">
        <v>14221121</v>
      </c>
      <c r="B9094" t="n">
        <v>52637</v>
      </c>
      <c r="C9094" t="inlineStr">
        <is>
          <t>1422/11/21</t>
        </is>
      </c>
    </row>
    <row r="9095">
      <c r="A9095" t="n">
        <v>14221122</v>
      </c>
      <c r="B9095" t="n">
        <v>52638</v>
      </c>
      <c r="C9095" t="inlineStr">
        <is>
          <t>1422/11/22</t>
        </is>
      </c>
    </row>
    <row r="9096">
      <c r="A9096" t="n">
        <v>14221123</v>
      </c>
      <c r="B9096" t="n">
        <v>52639</v>
      </c>
      <c r="C9096" t="inlineStr">
        <is>
          <t>1422/11/23</t>
        </is>
      </c>
    </row>
    <row r="9097">
      <c r="A9097" t="n">
        <v>14221124</v>
      </c>
      <c r="B9097" t="n">
        <v>52640</v>
      </c>
      <c r="C9097" t="inlineStr">
        <is>
          <t>1422/11/24</t>
        </is>
      </c>
    </row>
    <row r="9098">
      <c r="A9098" t="n">
        <v>14221125</v>
      </c>
      <c r="B9098" t="n">
        <v>52641</v>
      </c>
      <c r="C9098" t="inlineStr">
        <is>
          <t>1422/11/25</t>
        </is>
      </c>
    </row>
    <row r="9099">
      <c r="A9099" t="n">
        <v>14221126</v>
      </c>
      <c r="B9099" t="n">
        <v>52642</v>
      </c>
      <c r="C9099" t="inlineStr">
        <is>
          <t>1422/11/26</t>
        </is>
      </c>
    </row>
    <row r="9100">
      <c r="A9100" t="n">
        <v>14221127</v>
      </c>
      <c r="B9100" t="n">
        <v>52643</v>
      </c>
      <c r="C9100" t="inlineStr">
        <is>
          <t>1422/11/27</t>
        </is>
      </c>
    </row>
    <row r="9101">
      <c r="A9101" t="n">
        <v>14221128</v>
      </c>
      <c r="B9101" t="n">
        <v>52644</v>
      </c>
      <c r="C9101" t="inlineStr">
        <is>
          <t>1422/11/28</t>
        </is>
      </c>
    </row>
    <row r="9102">
      <c r="A9102" t="n">
        <v>14221129</v>
      </c>
      <c r="B9102" t="n">
        <v>52645</v>
      </c>
      <c r="C9102" t="inlineStr">
        <is>
          <t>1422/11/29</t>
        </is>
      </c>
    </row>
    <row r="9103">
      <c r="A9103" t="n">
        <v>14221130</v>
      </c>
      <c r="B9103" t="n">
        <v>52646</v>
      </c>
      <c r="C9103" t="inlineStr">
        <is>
          <t>1422/11/30</t>
        </is>
      </c>
    </row>
    <row r="9104">
      <c r="A9104" t="n">
        <v>14221201</v>
      </c>
      <c r="B9104" t="n">
        <v>52647</v>
      </c>
      <c r="C9104" t="inlineStr">
        <is>
          <t>1422/12/01</t>
        </is>
      </c>
    </row>
    <row r="9105">
      <c r="A9105" t="n">
        <v>14221202</v>
      </c>
      <c r="B9105" t="n">
        <v>52648</v>
      </c>
      <c r="C9105" t="inlineStr">
        <is>
          <t>1422/12/02</t>
        </is>
      </c>
    </row>
    <row r="9106">
      <c r="A9106" t="n">
        <v>14221203</v>
      </c>
      <c r="B9106" t="n">
        <v>52649</v>
      </c>
      <c r="C9106" t="inlineStr">
        <is>
          <t>1422/12/03</t>
        </is>
      </c>
    </row>
    <row r="9107">
      <c r="A9107" t="n">
        <v>14221204</v>
      </c>
      <c r="B9107" t="n">
        <v>52650</v>
      </c>
      <c r="C9107" t="inlineStr">
        <is>
          <t>1422/12/04</t>
        </is>
      </c>
    </row>
    <row r="9108">
      <c r="A9108" t="n">
        <v>14221205</v>
      </c>
      <c r="B9108" t="n">
        <v>52651</v>
      </c>
      <c r="C9108" t="inlineStr">
        <is>
          <t>1422/12/05</t>
        </is>
      </c>
    </row>
    <row r="9109">
      <c r="A9109" t="n">
        <v>14221206</v>
      </c>
      <c r="B9109" t="n">
        <v>52652</v>
      </c>
      <c r="C9109" t="inlineStr">
        <is>
          <t>1422/12/06</t>
        </is>
      </c>
    </row>
    <row r="9110">
      <c r="A9110" t="n">
        <v>14221207</v>
      </c>
      <c r="B9110" t="n">
        <v>52653</v>
      </c>
      <c r="C9110" t="inlineStr">
        <is>
          <t>1422/12/07</t>
        </is>
      </c>
    </row>
    <row r="9111">
      <c r="A9111" t="n">
        <v>14221208</v>
      </c>
      <c r="B9111" t="n">
        <v>52654</v>
      </c>
      <c r="C9111" t="inlineStr">
        <is>
          <t>1422/12/08</t>
        </is>
      </c>
    </row>
    <row r="9112">
      <c r="A9112" t="n">
        <v>14221209</v>
      </c>
      <c r="B9112" t="n">
        <v>52655</v>
      </c>
      <c r="C9112" t="inlineStr">
        <is>
          <t>1422/12/09</t>
        </is>
      </c>
    </row>
    <row r="9113">
      <c r="A9113" t="n">
        <v>14221210</v>
      </c>
      <c r="B9113" t="n">
        <v>52656</v>
      </c>
      <c r="C9113" t="inlineStr">
        <is>
          <t>1422/12/10</t>
        </is>
      </c>
    </row>
    <row r="9114">
      <c r="A9114" t="n">
        <v>14221211</v>
      </c>
      <c r="B9114" t="n">
        <v>52657</v>
      </c>
      <c r="C9114" t="inlineStr">
        <is>
          <t>1422/12/11</t>
        </is>
      </c>
    </row>
    <row r="9115">
      <c r="A9115" t="n">
        <v>14221212</v>
      </c>
      <c r="B9115" t="n">
        <v>52658</v>
      </c>
      <c r="C9115" t="inlineStr">
        <is>
          <t>1422/12/12</t>
        </is>
      </c>
    </row>
    <row r="9116">
      <c r="A9116" t="n">
        <v>14221213</v>
      </c>
      <c r="B9116" t="n">
        <v>52659</v>
      </c>
      <c r="C9116" t="inlineStr">
        <is>
          <t>1422/12/13</t>
        </is>
      </c>
    </row>
    <row r="9117">
      <c r="A9117" t="n">
        <v>14221214</v>
      </c>
      <c r="B9117" t="n">
        <v>52660</v>
      </c>
      <c r="C9117" t="inlineStr">
        <is>
          <t>1422/12/14</t>
        </is>
      </c>
    </row>
    <row r="9118">
      <c r="A9118" t="n">
        <v>14221215</v>
      </c>
      <c r="B9118" t="n">
        <v>52661</v>
      </c>
      <c r="C9118" t="inlineStr">
        <is>
          <t>1422/12/15</t>
        </is>
      </c>
    </row>
    <row r="9119">
      <c r="A9119" t="n">
        <v>14221216</v>
      </c>
      <c r="B9119" t="n">
        <v>52662</v>
      </c>
      <c r="C9119" t="inlineStr">
        <is>
          <t>1422/12/16</t>
        </is>
      </c>
    </row>
    <row r="9120">
      <c r="A9120" t="n">
        <v>14221217</v>
      </c>
      <c r="B9120" t="n">
        <v>52663</v>
      </c>
      <c r="C9120" t="inlineStr">
        <is>
          <t>1422/12/17</t>
        </is>
      </c>
    </row>
    <row r="9121">
      <c r="A9121" t="n">
        <v>14221218</v>
      </c>
      <c r="B9121" t="n">
        <v>52664</v>
      </c>
      <c r="C9121" t="inlineStr">
        <is>
          <t>1422/12/18</t>
        </is>
      </c>
    </row>
    <row r="9122">
      <c r="A9122" t="n">
        <v>14221219</v>
      </c>
      <c r="B9122" t="n">
        <v>52665</v>
      </c>
      <c r="C9122" t="inlineStr">
        <is>
          <t>1422/12/19</t>
        </is>
      </c>
    </row>
    <row r="9123">
      <c r="A9123" t="n">
        <v>14221220</v>
      </c>
      <c r="B9123" t="n">
        <v>52666</v>
      </c>
      <c r="C9123" t="inlineStr">
        <is>
          <t>1422/12/20</t>
        </is>
      </c>
    </row>
    <row r="9124">
      <c r="A9124" t="n">
        <v>14221221</v>
      </c>
      <c r="B9124" t="n">
        <v>52667</v>
      </c>
      <c r="C9124" t="inlineStr">
        <is>
          <t>1422/12/21</t>
        </is>
      </c>
    </row>
    <row r="9125">
      <c r="A9125" t="n">
        <v>14221222</v>
      </c>
      <c r="B9125" t="n">
        <v>52668</v>
      </c>
      <c r="C9125" t="inlineStr">
        <is>
          <t>1422/12/22</t>
        </is>
      </c>
    </row>
    <row r="9126">
      <c r="A9126" t="n">
        <v>14221223</v>
      </c>
      <c r="B9126" t="n">
        <v>52669</v>
      </c>
      <c r="C9126" t="inlineStr">
        <is>
          <t>1422/12/23</t>
        </is>
      </c>
    </row>
    <row r="9127">
      <c r="A9127" t="n">
        <v>14221224</v>
      </c>
      <c r="B9127" t="n">
        <v>52670</v>
      </c>
      <c r="C9127" t="inlineStr">
        <is>
          <t>1422/12/24</t>
        </is>
      </c>
    </row>
    <row r="9128">
      <c r="A9128" t="n">
        <v>14221225</v>
      </c>
      <c r="B9128" t="n">
        <v>52671</v>
      </c>
      <c r="C9128" t="inlineStr">
        <is>
          <t>1422/12/25</t>
        </is>
      </c>
    </row>
    <row r="9129">
      <c r="A9129" t="n">
        <v>14221226</v>
      </c>
      <c r="B9129" t="n">
        <v>52672</v>
      </c>
      <c r="C9129" t="inlineStr">
        <is>
          <t>1422/12/26</t>
        </is>
      </c>
    </row>
    <row r="9130">
      <c r="A9130" t="n">
        <v>14221227</v>
      </c>
      <c r="B9130" t="n">
        <v>52673</v>
      </c>
      <c r="C9130" t="inlineStr">
        <is>
          <t>1422/12/27</t>
        </is>
      </c>
    </row>
    <row r="9131">
      <c r="A9131" t="n">
        <v>14221228</v>
      </c>
      <c r="B9131" t="n">
        <v>52674</v>
      </c>
      <c r="C9131" t="inlineStr">
        <is>
          <t>1422/12/28</t>
        </is>
      </c>
    </row>
    <row r="9132">
      <c r="A9132" t="n">
        <v>14221229</v>
      </c>
      <c r="B9132" t="n">
        <v>52675</v>
      </c>
      <c r="C9132" t="inlineStr">
        <is>
          <t>1422/12/29</t>
        </is>
      </c>
    </row>
    <row r="9133">
      <c r="A9133" t="n">
        <v>14230101</v>
      </c>
      <c r="B9133" t="n">
        <v>52676</v>
      </c>
      <c r="C9133" t="inlineStr">
        <is>
          <t>1423/01/01</t>
        </is>
      </c>
    </row>
    <row r="9134">
      <c r="A9134" t="n">
        <v>14230102</v>
      </c>
      <c r="B9134" t="n">
        <v>52677</v>
      </c>
      <c r="C9134" t="inlineStr">
        <is>
          <t>1423/01/02</t>
        </is>
      </c>
    </row>
    <row r="9135">
      <c r="A9135" t="n">
        <v>14230103</v>
      </c>
      <c r="B9135" t="n">
        <v>52678</v>
      </c>
      <c r="C9135" t="inlineStr">
        <is>
          <t>1423/01/03</t>
        </is>
      </c>
    </row>
    <row r="9136">
      <c r="A9136" t="n">
        <v>14230104</v>
      </c>
      <c r="B9136" t="n">
        <v>52679</v>
      </c>
      <c r="C9136" t="inlineStr">
        <is>
          <t>1423/01/04</t>
        </is>
      </c>
    </row>
    <row r="9137">
      <c r="A9137" t="n">
        <v>14230105</v>
      </c>
      <c r="B9137" t="n">
        <v>52680</v>
      </c>
      <c r="C9137" t="inlineStr">
        <is>
          <t>1423/01/05</t>
        </is>
      </c>
    </row>
    <row r="9138">
      <c r="A9138" t="n">
        <v>14230106</v>
      </c>
      <c r="B9138" t="n">
        <v>52681</v>
      </c>
      <c r="C9138" t="inlineStr">
        <is>
          <t>1423/01/06</t>
        </is>
      </c>
    </row>
    <row r="9139">
      <c r="A9139" t="n">
        <v>14230107</v>
      </c>
      <c r="B9139" t="n">
        <v>52682</v>
      </c>
      <c r="C9139" t="inlineStr">
        <is>
          <t>1423/01/07</t>
        </is>
      </c>
    </row>
    <row r="9140">
      <c r="A9140" t="n">
        <v>14230108</v>
      </c>
      <c r="B9140" t="n">
        <v>52683</v>
      </c>
      <c r="C9140" t="inlineStr">
        <is>
          <t>1423/01/08</t>
        </is>
      </c>
    </row>
    <row r="9141">
      <c r="A9141" t="n">
        <v>14230109</v>
      </c>
      <c r="B9141" t="n">
        <v>52684</v>
      </c>
      <c r="C9141" t="inlineStr">
        <is>
          <t>1423/01/09</t>
        </is>
      </c>
    </row>
    <row r="9142">
      <c r="A9142" t="n">
        <v>14230110</v>
      </c>
      <c r="B9142" t="n">
        <v>52685</v>
      </c>
      <c r="C9142" t="inlineStr">
        <is>
          <t>1423/01/10</t>
        </is>
      </c>
    </row>
    <row r="9143">
      <c r="A9143" t="n">
        <v>14230111</v>
      </c>
      <c r="B9143" t="n">
        <v>52686</v>
      </c>
      <c r="C9143" t="inlineStr">
        <is>
          <t>1423/01/11</t>
        </is>
      </c>
    </row>
    <row r="9144">
      <c r="A9144" t="n">
        <v>14230112</v>
      </c>
      <c r="B9144" t="n">
        <v>52687</v>
      </c>
      <c r="C9144" t="inlineStr">
        <is>
          <t>1423/01/12</t>
        </is>
      </c>
    </row>
    <row r="9145">
      <c r="A9145" t="n">
        <v>14230113</v>
      </c>
      <c r="B9145" t="n">
        <v>52688</v>
      </c>
      <c r="C9145" t="inlineStr">
        <is>
          <t>1423/01/13</t>
        </is>
      </c>
    </row>
    <row r="9146">
      <c r="A9146" t="n">
        <v>14230114</v>
      </c>
      <c r="B9146" t="n">
        <v>52689</v>
      </c>
      <c r="C9146" t="inlineStr">
        <is>
          <t>1423/01/14</t>
        </is>
      </c>
    </row>
    <row r="9147">
      <c r="A9147" t="n">
        <v>14230115</v>
      </c>
      <c r="B9147" t="n">
        <v>52690</v>
      </c>
      <c r="C9147" t="inlineStr">
        <is>
          <t>1423/01/15</t>
        </is>
      </c>
    </row>
    <row r="9148">
      <c r="A9148" t="n">
        <v>14230116</v>
      </c>
      <c r="B9148" t="n">
        <v>52691</v>
      </c>
      <c r="C9148" t="inlineStr">
        <is>
          <t>1423/01/16</t>
        </is>
      </c>
    </row>
    <row r="9149">
      <c r="A9149" t="n">
        <v>14230117</v>
      </c>
      <c r="B9149" t="n">
        <v>52692</v>
      </c>
      <c r="C9149" t="inlineStr">
        <is>
          <t>1423/01/17</t>
        </is>
      </c>
    </row>
    <row r="9150">
      <c r="A9150" t="n">
        <v>14230118</v>
      </c>
      <c r="B9150" t="n">
        <v>52693</v>
      </c>
      <c r="C9150" t="inlineStr">
        <is>
          <t>1423/01/18</t>
        </is>
      </c>
    </row>
    <row r="9151">
      <c r="A9151" t="n">
        <v>14230119</v>
      </c>
      <c r="B9151" t="n">
        <v>52694</v>
      </c>
      <c r="C9151" t="inlineStr">
        <is>
          <t>1423/01/19</t>
        </is>
      </c>
    </row>
    <row r="9152">
      <c r="A9152" t="n">
        <v>14230120</v>
      </c>
      <c r="B9152" t="n">
        <v>52695</v>
      </c>
      <c r="C9152" t="inlineStr">
        <is>
          <t>1423/01/20</t>
        </is>
      </c>
    </row>
    <row r="9153">
      <c r="A9153" t="n">
        <v>14230121</v>
      </c>
      <c r="B9153" t="n">
        <v>52696</v>
      </c>
      <c r="C9153" t="inlineStr">
        <is>
          <t>1423/01/21</t>
        </is>
      </c>
    </row>
    <row r="9154">
      <c r="A9154" t="n">
        <v>14230122</v>
      </c>
      <c r="B9154" t="n">
        <v>52697</v>
      </c>
      <c r="C9154" t="inlineStr">
        <is>
          <t>1423/01/22</t>
        </is>
      </c>
    </row>
    <row r="9155">
      <c r="A9155" t="n">
        <v>14230123</v>
      </c>
      <c r="B9155" t="n">
        <v>52698</v>
      </c>
      <c r="C9155" t="inlineStr">
        <is>
          <t>1423/01/23</t>
        </is>
      </c>
    </row>
    <row r="9156">
      <c r="A9156" t="n">
        <v>14230124</v>
      </c>
      <c r="B9156" t="n">
        <v>52699</v>
      </c>
      <c r="C9156" t="inlineStr">
        <is>
          <t>1423/01/24</t>
        </is>
      </c>
    </row>
    <row r="9157">
      <c r="A9157" t="n">
        <v>14230125</v>
      </c>
      <c r="B9157" t="n">
        <v>52700</v>
      </c>
      <c r="C9157" t="inlineStr">
        <is>
          <t>1423/01/25</t>
        </is>
      </c>
    </row>
    <row r="9158">
      <c r="A9158" t="n">
        <v>14230126</v>
      </c>
      <c r="B9158" t="n">
        <v>52701</v>
      </c>
      <c r="C9158" t="inlineStr">
        <is>
          <t>1423/01/26</t>
        </is>
      </c>
    </row>
    <row r="9159">
      <c r="A9159" t="n">
        <v>14230127</v>
      </c>
      <c r="B9159" t="n">
        <v>52702</v>
      </c>
      <c r="C9159" t="inlineStr">
        <is>
          <t>1423/01/27</t>
        </is>
      </c>
    </row>
    <row r="9160">
      <c r="A9160" t="n">
        <v>14230128</v>
      </c>
      <c r="B9160" t="n">
        <v>52703</v>
      </c>
      <c r="C9160" t="inlineStr">
        <is>
          <t>1423/01/28</t>
        </is>
      </c>
    </row>
    <row r="9161">
      <c r="A9161" t="n">
        <v>14230129</v>
      </c>
      <c r="B9161" t="n">
        <v>52704</v>
      </c>
      <c r="C9161" t="inlineStr">
        <is>
          <t>1423/01/29</t>
        </is>
      </c>
    </row>
    <row r="9162">
      <c r="A9162" t="n">
        <v>14230130</v>
      </c>
      <c r="B9162" t="n">
        <v>52705</v>
      </c>
      <c r="C9162" t="inlineStr">
        <is>
          <t>1423/01/30</t>
        </is>
      </c>
    </row>
    <row r="9163">
      <c r="A9163" t="n">
        <v>14230131</v>
      </c>
      <c r="B9163" t="n">
        <v>52706</v>
      </c>
      <c r="C9163" t="inlineStr">
        <is>
          <t>1423/01/31</t>
        </is>
      </c>
    </row>
    <row r="9164">
      <c r="A9164" t="n">
        <v>14230201</v>
      </c>
      <c r="B9164" t="n">
        <v>52707</v>
      </c>
      <c r="C9164" t="inlineStr">
        <is>
          <t>1423/02/01</t>
        </is>
      </c>
    </row>
    <row r="9165">
      <c r="A9165" t="n">
        <v>14230202</v>
      </c>
      <c r="B9165" t="n">
        <v>52708</v>
      </c>
      <c r="C9165" t="inlineStr">
        <is>
          <t>1423/02/02</t>
        </is>
      </c>
    </row>
    <row r="9166">
      <c r="A9166" t="n">
        <v>14230203</v>
      </c>
      <c r="B9166" t="n">
        <v>52709</v>
      </c>
      <c r="C9166" t="inlineStr">
        <is>
          <t>1423/02/03</t>
        </is>
      </c>
    </row>
    <row r="9167">
      <c r="A9167" t="n">
        <v>14230204</v>
      </c>
      <c r="B9167" t="n">
        <v>52710</v>
      </c>
      <c r="C9167" t="inlineStr">
        <is>
          <t>1423/02/04</t>
        </is>
      </c>
    </row>
    <row r="9168">
      <c r="A9168" t="n">
        <v>14230205</v>
      </c>
      <c r="B9168" t="n">
        <v>52711</v>
      </c>
      <c r="C9168" t="inlineStr">
        <is>
          <t>1423/02/05</t>
        </is>
      </c>
    </row>
    <row r="9169">
      <c r="A9169" t="n">
        <v>14230206</v>
      </c>
      <c r="B9169" t="n">
        <v>52712</v>
      </c>
      <c r="C9169" t="inlineStr">
        <is>
          <t>1423/02/06</t>
        </is>
      </c>
    </row>
    <row r="9170">
      <c r="A9170" t="n">
        <v>14230207</v>
      </c>
      <c r="B9170" t="n">
        <v>52713</v>
      </c>
      <c r="C9170" t="inlineStr">
        <is>
          <t>1423/02/07</t>
        </is>
      </c>
    </row>
    <row r="9171">
      <c r="A9171" t="n">
        <v>14230208</v>
      </c>
      <c r="B9171" t="n">
        <v>52714</v>
      </c>
      <c r="C9171" t="inlineStr">
        <is>
          <t>1423/02/08</t>
        </is>
      </c>
    </row>
    <row r="9172">
      <c r="A9172" t="n">
        <v>14230209</v>
      </c>
      <c r="B9172" t="n">
        <v>52715</v>
      </c>
      <c r="C9172" t="inlineStr">
        <is>
          <t>1423/02/09</t>
        </is>
      </c>
    </row>
    <row r="9173">
      <c r="A9173" t="n">
        <v>14230210</v>
      </c>
      <c r="B9173" t="n">
        <v>52716</v>
      </c>
      <c r="C9173" t="inlineStr">
        <is>
          <t>1423/02/10</t>
        </is>
      </c>
    </row>
    <row r="9174">
      <c r="A9174" t="n">
        <v>14230211</v>
      </c>
      <c r="B9174" t="n">
        <v>52717</v>
      </c>
      <c r="C9174" t="inlineStr">
        <is>
          <t>1423/02/11</t>
        </is>
      </c>
    </row>
    <row r="9175">
      <c r="A9175" t="n">
        <v>14230212</v>
      </c>
      <c r="B9175" t="n">
        <v>52718</v>
      </c>
      <c r="C9175" t="inlineStr">
        <is>
          <t>1423/02/12</t>
        </is>
      </c>
    </row>
    <row r="9176">
      <c r="A9176" t="n">
        <v>14230213</v>
      </c>
      <c r="B9176" t="n">
        <v>52719</v>
      </c>
      <c r="C9176" t="inlineStr">
        <is>
          <t>1423/02/13</t>
        </is>
      </c>
    </row>
    <row r="9177">
      <c r="A9177" t="n">
        <v>14230214</v>
      </c>
      <c r="B9177" t="n">
        <v>52720</v>
      </c>
      <c r="C9177" t="inlineStr">
        <is>
          <t>1423/02/14</t>
        </is>
      </c>
    </row>
    <row r="9178">
      <c r="A9178" t="n">
        <v>14230215</v>
      </c>
      <c r="B9178" t="n">
        <v>52721</v>
      </c>
      <c r="C9178" t="inlineStr">
        <is>
          <t>1423/02/15</t>
        </is>
      </c>
    </row>
    <row r="9179">
      <c r="A9179" t="n">
        <v>14230216</v>
      </c>
      <c r="B9179" t="n">
        <v>52722</v>
      </c>
      <c r="C9179" t="inlineStr">
        <is>
          <t>1423/02/16</t>
        </is>
      </c>
    </row>
    <row r="9180">
      <c r="A9180" t="n">
        <v>14230217</v>
      </c>
      <c r="B9180" t="n">
        <v>52723</v>
      </c>
      <c r="C9180" t="inlineStr">
        <is>
          <t>1423/02/17</t>
        </is>
      </c>
    </row>
    <row r="9181">
      <c r="A9181" t="n">
        <v>14230218</v>
      </c>
      <c r="B9181" t="n">
        <v>52724</v>
      </c>
      <c r="C9181" t="inlineStr">
        <is>
          <t>1423/02/18</t>
        </is>
      </c>
    </row>
    <row r="9182">
      <c r="A9182" t="n">
        <v>14230219</v>
      </c>
      <c r="B9182" t="n">
        <v>52725</v>
      </c>
      <c r="C9182" t="inlineStr">
        <is>
          <t>1423/02/19</t>
        </is>
      </c>
    </row>
    <row r="9183">
      <c r="A9183" t="n">
        <v>14230220</v>
      </c>
      <c r="B9183" t="n">
        <v>52726</v>
      </c>
      <c r="C9183" t="inlineStr">
        <is>
          <t>1423/02/20</t>
        </is>
      </c>
    </row>
    <row r="9184">
      <c r="A9184" t="n">
        <v>14230221</v>
      </c>
      <c r="B9184" t="n">
        <v>52727</v>
      </c>
      <c r="C9184" t="inlineStr">
        <is>
          <t>1423/02/21</t>
        </is>
      </c>
    </row>
    <row r="9185">
      <c r="A9185" t="n">
        <v>14230222</v>
      </c>
      <c r="B9185" t="n">
        <v>52728</v>
      </c>
      <c r="C9185" t="inlineStr">
        <is>
          <t>1423/02/22</t>
        </is>
      </c>
    </row>
    <row r="9186">
      <c r="A9186" t="n">
        <v>14230223</v>
      </c>
      <c r="B9186" t="n">
        <v>52729</v>
      </c>
      <c r="C9186" t="inlineStr">
        <is>
          <t>1423/02/23</t>
        </is>
      </c>
    </row>
    <row r="9187">
      <c r="A9187" t="n">
        <v>14230224</v>
      </c>
      <c r="B9187" t="n">
        <v>52730</v>
      </c>
      <c r="C9187" t="inlineStr">
        <is>
          <t>1423/02/24</t>
        </is>
      </c>
    </row>
    <row r="9188">
      <c r="A9188" t="n">
        <v>14230225</v>
      </c>
      <c r="B9188" t="n">
        <v>52731</v>
      </c>
      <c r="C9188" t="inlineStr">
        <is>
          <t>1423/02/25</t>
        </is>
      </c>
    </row>
    <row r="9189">
      <c r="A9189" t="n">
        <v>14230226</v>
      </c>
      <c r="B9189" t="n">
        <v>52732</v>
      </c>
      <c r="C9189" t="inlineStr">
        <is>
          <t>1423/02/26</t>
        </is>
      </c>
    </row>
    <row r="9190">
      <c r="A9190" t="n">
        <v>14230227</v>
      </c>
      <c r="B9190" t="n">
        <v>52733</v>
      </c>
      <c r="C9190" t="inlineStr">
        <is>
          <t>1423/02/27</t>
        </is>
      </c>
    </row>
    <row r="9191">
      <c r="A9191" t="n">
        <v>14230228</v>
      </c>
      <c r="B9191" t="n">
        <v>52734</v>
      </c>
      <c r="C9191" t="inlineStr">
        <is>
          <t>1423/02/28</t>
        </is>
      </c>
    </row>
    <row r="9192">
      <c r="A9192" t="n">
        <v>14230229</v>
      </c>
      <c r="B9192" t="n">
        <v>52735</v>
      </c>
      <c r="C9192" t="inlineStr">
        <is>
          <t>1423/02/29</t>
        </is>
      </c>
    </row>
    <row r="9193">
      <c r="A9193" t="n">
        <v>14230230</v>
      </c>
      <c r="B9193" t="n">
        <v>52736</v>
      </c>
      <c r="C9193" t="inlineStr">
        <is>
          <t>1423/02/30</t>
        </is>
      </c>
    </row>
    <row r="9194">
      <c r="A9194" t="n">
        <v>14230231</v>
      </c>
      <c r="B9194" t="n">
        <v>52737</v>
      </c>
      <c r="C9194" t="inlineStr">
        <is>
          <t>1423/02/31</t>
        </is>
      </c>
    </row>
    <row r="9195">
      <c r="A9195" t="n">
        <v>14230301</v>
      </c>
      <c r="B9195" t="n">
        <v>52738</v>
      </c>
      <c r="C9195" t="inlineStr">
        <is>
          <t>1423/03/01</t>
        </is>
      </c>
    </row>
    <row r="9196">
      <c r="A9196" t="n">
        <v>14230302</v>
      </c>
      <c r="B9196" t="n">
        <v>52739</v>
      </c>
      <c r="C9196" t="inlineStr">
        <is>
          <t>1423/03/02</t>
        </is>
      </c>
    </row>
    <row r="9197">
      <c r="A9197" t="n">
        <v>14230303</v>
      </c>
      <c r="B9197" t="n">
        <v>52740</v>
      </c>
      <c r="C9197" t="inlineStr">
        <is>
          <t>1423/03/03</t>
        </is>
      </c>
    </row>
    <row r="9198">
      <c r="A9198" t="n">
        <v>14230304</v>
      </c>
      <c r="B9198" t="n">
        <v>52741</v>
      </c>
      <c r="C9198" t="inlineStr">
        <is>
          <t>1423/03/04</t>
        </is>
      </c>
    </row>
    <row r="9199">
      <c r="A9199" t="n">
        <v>14230305</v>
      </c>
      <c r="B9199" t="n">
        <v>52742</v>
      </c>
      <c r="C9199" t="inlineStr">
        <is>
          <t>1423/03/05</t>
        </is>
      </c>
    </row>
    <row r="9200">
      <c r="A9200" t="n">
        <v>14230306</v>
      </c>
      <c r="B9200" t="n">
        <v>52743</v>
      </c>
      <c r="C9200" t="inlineStr">
        <is>
          <t>1423/03/06</t>
        </is>
      </c>
    </row>
    <row r="9201">
      <c r="A9201" t="n">
        <v>14230307</v>
      </c>
      <c r="B9201" t="n">
        <v>52744</v>
      </c>
      <c r="C9201" t="inlineStr">
        <is>
          <t>1423/03/07</t>
        </is>
      </c>
    </row>
    <row r="9202">
      <c r="A9202" t="n">
        <v>14230308</v>
      </c>
      <c r="B9202" t="n">
        <v>52745</v>
      </c>
      <c r="C9202" t="inlineStr">
        <is>
          <t>1423/03/08</t>
        </is>
      </c>
    </row>
    <row r="9203">
      <c r="A9203" t="n">
        <v>14230309</v>
      </c>
      <c r="B9203" t="n">
        <v>52746</v>
      </c>
      <c r="C9203" t="inlineStr">
        <is>
          <t>1423/03/09</t>
        </is>
      </c>
    </row>
    <row r="9204">
      <c r="A9204" t="n">
        <v>14230310</v>
      </c>
      <c r="B9204" t="n">
        <v>52747</v>
      </c>
      <c r="C9204" t="inlineStr">
        <is>
          <t>1423/03/10</t>
        </is>
      </c>
    </row>
    <row r="9205">
      <c r="A9205" t="n">
        <v>14230311</v>
      </c>
      <c r="B9205" t="n">
        <v>52748</v>
      </c>
      <c r="C9205" t="inlineStr">
        <is>
          <t>1423/03/11</t>
        </is>
      </c>
    </row>
    <row r="9206">
      <c r="A9206" t="n">
        <v>14230312</v>
      </c>
      <c r="B9206" t="n">
        <v>52749</v>
      </c>
      <c r="C9206" t="inlineStr">
        <is>
          <t>1423/03/12</t>
        </is>
      </c>
    </row>
    <row r="9207">
      <c r="A9207" t="n">
        <v>14230313</v>
      </c>
      <c r="B9207" t="n">
        <v>52750</v>
      </c>
      <c r="C9207" t="inlineStr">
        <is>
          <t>1423/03/13</t>
        </is>
      </c>
    </row>
    <row r="9208">
      <c r="A9208" t="n">
        <v>14230314</v>
      </c>
      <c r="B9208" t="n">
        <v>52751</v>
      </c>
      <c r="C9208" t="inlineStr">
        <is>
          <t>1423/03/14</t>
        </is>
      </c>
    </row>
    <row r="9209">
      <c r="A9209" t="n">
        <v>14230315</v>
      </c>
      <c r="B9209" t="n">
        <v>52752</v>
      </c>
      <c r="C9209" t="inlineStr">
        <is>
          <t>1423/03/15</t>
        </is>
      </c>
    </row>
    <row r="9210">
      <c r="A9210" t="n">
        <v>14230316</v>
      </c>
      <c r="B9210" t="n">
        <v>52753</v>
      </c>
      <c r="C9210" t="inlineStr">
        <is>
          <t>1423/03/16</t>
        </is>
      </c>
    </row>
    <row r="9211">
      <c r="A9211" t="n">
        <v>14230317</v>
      </c>
      <c r="B9211" t="n">
        <v>52754</v>
      </c>
      <c r="C9211" t="inlineStr">
        <is>
          <t>1423/03/17</t>
        </is>
      </c>
    </row>
    <row r="9212">
      <c r="A9212" t="n">
        <v>14230318</v>
      </c>
      <c r="B9212" t="n">
        <v>52755</v>
      </c>
      <c r="C9212" t="inlineStr">
        <is>
          <t>1423/03/18</t>
        </is>
      </c>
    </row>
    <row r="9213">
      <c r="A9213" t="n">
        <v>14230319</v>
      </c>
      <c r="B9213" t="n">
        <v>52756</v>
      </c>
      <c r="C9213" t="inlineStr">
        <is>
          <t>1423/03/19</t>
        </is>
      </c>
    </row>
    <row r="9214">
      <c r="A9214" t="n">
        <v>14230320</v>
      </c>
      <c r="B9214" t="n">
        <v>52757</v>
      </c>
      <c r="C9214" t="inlineStr">
        <is>
          <t>1423/03/20</t>
        </is>
      </c>
    </row>
    <row r="9215">
      <c r="A9215" t="n">
        <v>14230321</v>
      </c>
      <c r="B9215" t="n">
        <v>52758</v>
      </c>
      <c r="C9215" t="inlineStr">
        <is>
          <t>1423/03/21</t>
        </is>
      </c>
    </row>
    <row r="9216">
      <c r="A9216" t="n">
        <v>14230322</v>
      </c>
      <c r="B9216" t="n">
        <v>52759</v>
      </c>
      <c r="C9216" t="inlineStr">
        <is>
          <t>1423/03/22</t>
        </is>
      </c>
    </row>
    <row r="9217">
      <c r="A9217" t="n">
        <v>14230323</v>
      </c>
      <c r="B9217" t="n">
        <v>52760</v>
      </c>
      <c r="C9217" t="inlineStr">
        <is>
          <t>1423/03/23</t>
        </is>
      </c>
    </row>
    <row r="9218">
      <c r="A9218" t="n">
        <v>14230324</v>
      </c>
      <c r="B9218" t="n">
        <v>52761</v>
      </c>
      <c r="C9218" t="inlineStr">
        <is>
          <t>1423/03/24</t>
        </is>
      </c>
    </row>
    <row r="9219">
      <c r="A9219" t="n">
        <v>14230325</v>
      </c>
      <c r="B9219" t="n">
        <v>52762</v>
      </c>
      <c r="C9219" t="inlineStr">
        <is>
          <t>1423/03/25</t>
        </is>
      </c>
    </row>
    <row r="9220">
      <c r="A9220" t="n">
        <v>14230326</v>
      </c>
      <c r="B9220" t="n">
        <v>52763</v>
      </c>
      <c r="C9220" t="inlineStr">
        <is>
          <t>1423/03/26</t>
        </is>
      </c>
    </row>
    <row r="9221">
      <c r="A9221" t="n">
        <v>14230327</v>
      </c>
      <c r="B9221" t="n">
        <v>52764</v>
      </c>
      <c r="C9221" t="inlineStr">
        <is>
          <t>1423/03/27</t>
        </is>
      </c>
    </row>
    <row r="9222">
      <c r="A9222" t="n">
        <v>14230328</v>
      </c>
      <c r="B9222" t="n">
        <v>52765</v>
      </c>
      <c r="C9222" t="inlineStr">
        <is>
          <t>1423/03/28</t>
        </is>
      </c>
    </row>
    <row r="9223">
      <c r="A9223" t="n">
        <v>14230329</v>
      </c>
      <c r="B9223" t="n">
        <v>52766</v>
      </c>
      <c r="C9223" t="inlineStr">
        <is>
          <t>1423/03/29</t>
        </is>
      </c>
    </row>
    <row r="9224">
      <c r="A9224" t="n">
        <v>14230330</v>
      </c>
      <c r="B9224" t="n">
        <v>52767</v>
      </c>
      <c r="C9224" t="inlineStr">
        <is>
          <t>1423/03/30</t>
        </is>
      </c>
    </row>
    <row r="9225">
      <c r="A9225" t="n">
        <v>14230331</v>
      </c>
      <c r="B9225" t="n">
        <v>52768</v>
      </c>
      <c r="C9225" t="inlineStr">
        <is>
          <t>1423/03/31</t>
        </is>
      </c>
    </row>
    <row r="9226">
      <c r="A9226" t="n">
        <v>14230401</v>
      </c>
      <c r="B9226" t="n">
        <v>52769</v>
      </c>
      <c r="C9226" t="inlineStr">
        <is>
          <t>1423/04/01</t>
        </is>
      </c>
    </row>
    <row r="9227">
      <c r="A9227" t="n">
        <v>14230402</v>
      </c>
      <c r="B9227" t="n">
        <v>52770</v>
      </c>
      <c r="C9227" t="inlineStr">
        <is>
          <t>1423/04/02</t>
        </is>
      </c>
    </row>
    <row r="9228">
      <c r="A9228" t="n">
        <v>14230403</v>
      </c>
      <c r="B9228" t="n">
        <v>52771</v>
      </c>
      <c r="C9228" t="inlineStr">
        <is>
          <t>1423/04/03</t>
        </is>
      </c>
    </row>
    <row r="9229">
      <c r="A9229" t="n">
        <v>14230404</v>
      </c>
      <c r="B9229" t="n">
        <v>52772</v>
      </c>
      <c r="C9229" t="inlineStr">
        <is>
          <t>1423/04/04</t>
        </is>
      </c>
    </row>
    <row r="9230">
      <c r="A9230" t="n">
        <v>14230405</v>
      </c>
      <c r="B9230" t="n">
        <v>52773</v>
      </c>
      <c r="C9230" t="inlineStr">
        <is>
          <t>1423/04/05</t>
        </is>
      </c>
    </row>
    <row r="9231">
      <c r="A9231" t="n">
        <v>14230406</v>
      </c>
      <c r="B9231" t="n">
        <v>52774</v>
      </c>
      <c r="C9231" t="inlineStr">
        <is>
          <t>1423/04/06</t>
        </is>
      </c>
    </row>
    <row r="9232">
      <c r="A9232" t="n">
        <v>14230407</v>
      </c>
      <c r="B9232" t="n">
        <v>52775</v>
      </c>
      <c r="C9232" t="inlineStr">
        <is>
          <t>1423/04/07</t>
        </is>
      </c>
    </row>
    <row r="9233">
      <c r="A9233" t="n">
        <v>14230408</v>
      </c>
      <c r="B9233" t="n">
        <v>52776</v>
      </c>
      <c r="C9233" t="inlineStr">
        <is>
          <t>1423/04/08</t>
        </is>
      </c>
    </row>
    <row r="9234">
      <c r="A9234" t="n">
        <v>14230409</v>
      </c>
      <c r="B9234" t="n">
        <v>52777</v>
      </c>
      <c r="C9234" t="inlineStr">
        <is>
          <t>1423/04/09</t>
        </is>
      </c>
    </row>
    <row r="9235">
      <c r="A9235" t="n">
        <v>14230410</v>
      </c>
      <c r="B9235" t="n">
        <v>52778</v>
      </c>
      <c r="C9235" t="inlineStr">
        <is>
          <t>1423/04/10</t>
        </is>
      </c>
    </row>
    <row r="9236">
      <c r="A9236" t="n">
        <v>14230411</v>
      </c>
      <c r="B9236" t="n">
        <v>52779</v>
      </c>
      <c r="C9236" t="inlineStr">
        <is>
          <t>1423/04/11</t>
        </is>
      </c>
    </row>
    <row r="9237">
      <c r="A9237" t="n">
        <v>14230412</v>
      </c>
      <c r="B9237" t="n">
        <v>52780</v>
      </c>
      <c r="C9237" t="inlineStr">
        <is>
          <t>1423/04/12</t>
        </is>
      </c>
    </row>
    <row r="9238">
      <c r="A9238" t="n">
        <v>14230413</v>
      </c>
      <c r="B9238" t="n">
        <v>52781</v>
      </c>
      <c r="C9238" t="inlineStr">
        <is>
          <t>1423/04/13</t>
        </is>
      </c>
    </row>
    <row r="9239">
      <c r="A9239" t="n">
        <v>14230414</v>
      </c>
      <c r="B9239" t="n">
        <v>52782</v>
      </c>
      <c r="C9239" t="inlineStr">
        <is>
          <t>1423/04/14</t>
        </is>
      </c>
    </row>
    <row r="9240">
      <c r="A9240" t="n">
        <v>14230415</v>
      </c>
      <c r="B9240" t="n">
        <v>52783</v>
      </c>
      <c r="C9240" t="inlineStr">
        <is>
          <t>1423/04/15</t>
        </is>
      </c>
    </row>
    <row r="9241">
      <c r="A9241" t="n">
        <v>14230416</v>
      </c>
      <c r="B9241" t="n">
        <v>52784</v>
      </c>
      <c r="C9241" t="inlineStr">
        <is>
          <t>1423/04/16</t>
        </is>
      </c>
    </row>
    <row r="9242">
      <c r="A9242" t="n">
        <v>14230417</v>
      </c>
      <c r="B9242" t="n">
        <v>52785</v>
      </c>
      <c r="C9242" t="inlineStr">
        <is>
          <t>1423/04/17</t>
        </is>
      </c>
    </row>
    <row r="9243">
      <c r="A9243" t="n">
        <v>14230418</v>
      </c>
      <c r="B9243" t="n">
        <v>52786</v>
      </c>
      <c r="C9243" t="inlineStr">
        <is>
          <t>1423/04/18</t>
        </is>
      </c>
    </row>
    <row r="9244">
      <c r="A9244" t="n">
        <v>14230419</v>
      </c>
      <c r="B9244" t="n">
        <v>52787</v>
      </c>
      <c r="C9244" t="inlineStr">
        <is>
          <t>1423/04/19</t>
        </is>
      </c>
    </row>
    <row r="9245">
      <c r="A9245" t="n">
        <v>14230420</v>
      </c>
      <c r="B9245" t="n">
        <v>52788</v>
      </c>
      <c r="C9245" t="inlineStr">
        <is>
          <t>1423/04/20</t>
        </is>
      </c>
    </row>
    <row r="9246">
      <c r="A9246" t="n">
        <v>14230421</v>
      </c>
      <c r="B9246" t="n">
        <v>52789</v>
      </c>
      <c r="C9246" t="inlineStr">
        <is>
          <t>1423/04/21</t>
        </is>
      </c>
    </row>
    <row r="9247">
      <c r="A9247" t="n">
        <v>14230422</v>
      </c>
      <c r="B9247" t="n">
        <v>52790</v>
      </c>
      <c r="C9247" t="inlineStr">
        <is>
          <t>1423/04/22</t>
        </is>
      </c>
    </row>
    <row r="9248">
      <c r="A9248" t="n">
        <v>14230423</v>
      </c>
      <c r="B9248" t="n">
        <v>52791</v>
      </c>
      <c r="C9248" t="inlineStr">
        <is>
          <t>1423/04/23</t>
        </is>
      </c>
    </row>
    <row r="9249">
      <c r="A9249" t="n">
        <v>14230424</v>
      </c>
      <c r="B9249" t="n">
        <v>52792</v>
      </c>
      <c r="C9249" t="inlineStr">
        <is>
          <t>1423/04/24</t>
        </is>
      </c>
    </row>
    <row r="9250">
      <c r="A9250" t="n">
        <v>14230425</v>
      </c>
      <c r="B9250" t="n">
        <v>52793</v>
      </c>
      <c r="C9250" t="inlineStr">
        <is>
          <t>1423/04/25</t>
        </is>
      </c>
    </row>
    <row r="9251">
      <c r="A9251" t="n">
        <v>14230426</v>
      </c>
      <c r="B9251" t="n">
        <v>52794</v>
      </c>
      <c r="C9251" t="inlineStr">
        <is>
          <t>1423/04/26</t>
        </is>
      </c>
    </row>
    <row r="9252">
      <c r="A9252" t="n">
        <v>14230427</v>
      </c>
      <c r="B9252" t="n">
        <v>52795</v>
      </c>
      <c r="C9252" t="inlineStr">
        <is>
          <t>1423/04/27</t>
        </is>
      </c>
    </row>
    <row r="9253">
      <c r="A9253" t="n">
        <v>14230428</v>
      </c>
      <c r="B9253" t="n">
        <v>52796</v>
      </c>
      <c r="C9253" t="inlineStr">
        <is>
          <t>1423/04/28</t>
        </is>
      </c>
    </row>
    <row r="9254">
      <c r="A9254" t="n">
        <v>14230429</v>
      </c>
      <c r="B9254" t="n">
        <v>52797</v>
      </c>
      <c r="C9254" t="inlineStr">
        <is>
          <t>1423/04/29</t>
        </is>
      </c>
    </row>
    <row r="9255">
      <c r="A9255" t="n">
        <v>14230430</v>
      </c>
      <c r="B9255" t="n">
        <v>52798</v>
      </c>
      <c r="C9255" t="inlineStr">
        <is>
          <t>1423/04/30</t>
        </is>
      </c>
    </row>
    <row r="9256">
      <c r="A9256" t="n">
        <v>14230431</v>
      </c>
      <c r="B9256" t="n">
        <v>52799</v>
      </c>
      <c r="C9256" t="inlineStr">
        <is>
          <t>1423/04/31</t>
        </is>
      </c>
    </row>
    <row r="9257">
      <c r="A9257" t="n">
        <v>14230501</v>
      </c>
      <c r="B9257" t="n">
        <v>52800</v>
      </c>
      <c r="C9257" t="inlineStr">
        <is>
          <t>1423/05/01</t>
        </is>
      </c>
    </row>
    <row r="9258">
      <c r="A9258" t="n">
        <v>14230502</v>
      </c>
      <c r="B9258" t="n">
        <v>52801</v>
      </c>
      <c r="C9258" t="inlineStr">
        <is>
          <t>1423/05/02</t>
        </is>
      </c>
    </row>
    <row r="9259">
      <c r="A9259" t="n">
        <v>14230503</v>
      </c>
      <c r="B9259" t="n">
        <v>52802</v>
      </c>
      <c r="C9259" t="inlineStr">
        <is>
          <t>1423/05/03</t>
        </is>
      </c>
    </row>
    <row r="9260">
      <c r="A9260" t="n">
        <v>14230504</v>
      </c>
      <c r="B9260" t="n">
        <v>52803</v>
      </c>
      <c r="C9260" t="inlineStr">
        <is>
          <t>1423/05/04</t>
        </is>
      </c>
    </row>
    <row r="9261">
      <c r="A9261" t="n">
        <v>14230505</v>
      </c>
      <c r="B9261" t="n">
        <v>52804</v>
      </c>
      <c r="C9261" t="inlineStr">
        <is>
          <t>1423/05/05</t>
        </is>
      </c>
    </row>
    <row r="9262">
      <c r="A9262" t="n">
        <v>14230506</v>
      </c>
      <c r="B9262" t="n">
        <v>52805</v>
      </c>
      <c r="C9262" t="inlineStr">
        <is>
          <t>1423/05/06</t>
        </is>
      </c>
    </row>
    <row r="9263">
      <c r="A9263" t="n">
        <v>14230507</v>
      </c>
      <c r="B9263" t="n">
        <v>52806</v>
      </c>
      <c r="C9263" t="inlineStr">
        <is>
          <t>1423/05/07</t>
        </is>
      </c>
    </row>
    <row r="9264">
      <c r="A9264" t="n">
        <v>14230508</v>
      </c>
      <c r="B9264" t="n">
        <v>52807</v>
      </c>
      <c r="C9264" t="inlineStr">
        <is>
          <t>1423/05/08</t>
        </is>
      </c>
    </row>
    <row r="9265">
      <c r="A9265" t="n">
        <v>14230509</v>
      </c>
      <c r="B9265" t="n">
        <v>52808</v>
      </c>
      <c r="C9265" t="inlineStr">
        <is>
          <t>1423/05/09</t>
        </is>
      </c>
    </row>
    <row r="9266">
      <c r="A9266" t="n">
        <v>14230510</v>
      </c>
      <c r="B9266" t="n">
        <v>52809</v>
      </c>
      <c r="C9266" t="inlineStr">
        <is>
          <t>1423/05/10</t>
        </is>
      </c>
    </row>
    <row r="9267">
      <c r="A9267" t="n">
        <v>14230511</v>
      </c>
      <c r="B9267" t="n">
        <v>52810</v>
      </c>
      <c r="C9267" t="inlineStr">
        <is>
          <t>1423/05/11</t>
        </is>
      </c>
    </row>
    <row r="9268">
      <c r="A9268" t="n">
        <v>14230512</v>
      </c>
      <c r="B9268" t="n">
        <v>52811</v>
      </c>
      <c r="C9268" t="inlineStr">
        <is>
          <t>1423/05/12</t>
        </is>
      </c>
    </row>
    <row r="9269">
      <c r="A9269" t="n">
        <v>14230513</v>
      </c>
      <c r="B9269" t="n">
        <v>52812</v>
      </c>
      <c r="C9269" t="inlineStr">
        <is>
          <t>1423/05/13</t>
        </is>
      </c>
    </row>
    <row r="9270">
      <c r="A9270" t="n">
        <v>14230514</v>
      </c>
      <c r="B9270" t="n">
        <v>52813</v>
      </c>
      <c r="C9270" t="inlineStr">
        <is>
          <t>1423/05/14</t>
        </is>
      </c>
    </row>
    <row r="9271">
      <c r="A9271" t="n">
        <v>14230515</v>
      </c>
      <c r="B9271" t="n">
        <v>52814</v>
      </c>
      <c r="C9271" t="inlineStr">
        <is>
          <t>1423/05/15</t>
        </is>
      </c>
    </row>
    <row r="9272">
      <c r="A9272" t="n">
        <v>14230516</v>
      </c>
      <c r="B9272" t="n">
        <v>52815</v>
      </c>
      <c r="C9272" t="inlineStr">
        <is>
          <t>1423/05/16</t>
        </is>
      </c>
    </row>
    <row r="9273">
      <c r="A9273" t="n">
        <v>14230517</v>
      </c>
      <c r="B9273" t="n">
        <v>52816</v>
      </c>
      <c r="C9273" t="inlineStr">
        <is>
          <t>1423/05/17</t>
        </is>
      </c>
    </row>
    <row r="9274">
      <c r="A9274" t="n">
        <v>14230518</v>
      </c>
      <c r="B9274" t="n">
        <v>52817</v>
      </c>
      <c r="C9274" t="inlineStr">
        <is>
          <t>1423/05/18</t>
        </is>
      </c>
    </row>
    <row r="9275">
      <c r="A9275" t="n">
        <v>14230519</v>
      </c>
      <c r="B9275" t="n">
        <v>52818</v>
      </c>
      <c r="C9275" t="inlineStr">
        <is>
          <t>1423/05/19</t>
        </is>
      </c>
    </row>
    <row r="9276">
      <c r="A9276" t="n">
        <v>14230520</v>
      </c>
      <c r="B9276" t="n">
        <v>52819</v>
      </c>
      <c r="C9276" t="inlineStr">
        <is>
          <t>1423/05/20</t>
        </is>
      </c>
    </row>
    <row r="9277">
      <c r="A9277" t="n">
        <v>14230521</v>
      </c>
      <c r="B9277" t="n">
        <v>52820</v>
      </c>
      <c r="C9277" t="inlineStr">
        <is>
          <t>1423/05/21</t>
        </is>
      </c>
    </row>
    <row r="9278">
      <c r="A9278" t="n">
        <v>14230522</v>
      </c>
      <c r="B9278" t="n">
        <v>52821</v>
      </c>
      <c r="C9278" t="inlineStr">
        <is>
          <t>1423/05/22</t>
        </is>
      </c>
    </row>
    <row r="9279">
      <c r="A9279" t="n">
        <v>14230523</v>
      </c>
      <c r="B9279" t="n">
        <v>52822</v>
      </c>
      <c r="C9279" t="inlineStr">
        <is>
          <t>1423/05/23</t>
        </is>
      </c>
    </row>
    <row r="9280">
      <c r="A9280" t="n">
        <v>14230524</v>
      </c>
      <c r="B9280" t="n">
        <v>52823</v>
      </c>
      <c r="C9280" t="inlineStr">
        <is>
          <t>1423/05/24</t>
        </is>
      </c>
    </row>
    <row r="9281">
      <c r="A9281" t="n">
        <v>14230525</v>
      </c>
      <c r="B9281" t="n">
        <v>52824</v>
      </c>
      <c r="C9281" t="inlineStr">
        <is>
          <t>1423/05/25</t>
        </is>
      </c>
    </row>
    <row r="9282">
      <c r="A9282" t="n">
        <v>14230526</v>
      </c>
      <c r="B9282" t="n">
        <v>52825</v>
      </c>
      <c r="C9282" t="inlineStr">
        <is>
          <t>1423/05/26</t>
        </is>
      </c>
    </row>
    <row r="9283">
      <c r="A9283" t="n">
        <v>14230527</v>
      </c>
      <c r="B9283" t="n">
        <v>52826</v>
      </c>
      <c r="C9283" t="inlineStr">
        <is>
          <t>1423/05/27</t>
        </is>
      </c>
    </row>
    <row r="9284">
      <c r="A9284" t="n">
        <v>14230528</v>
      </c>
      <c r="B9284" t="n">
        <v>52827</v>
      </c>
      <c r="C9284" t="inlineStr">
        <is>
          <t>1423/05/28</t>
        </is>
      </c>
    </row>
    <row r="9285">
      <c r="A9285" t="n">
        <v>14230529</v>
      </c>
      <c r="B9285" t="n">
        <v>52828</v>
      </c>
      <c r="C9285" t="inlineStr">
        <is>
          <t>1423/05/29</t>
        </is>
      </c>
    </row>
    <row r="9286">
      <c r="A9286" t="n">
        <v>14230530</v>
      </c>
      <c r="B9286" t="n">
        <v>52829</v>
      </c>
      <c r="C9286" t="inlineStr">
        <is>
          <t>1423/05/30</t>
        </is>
      </c>
    </row>
    <row r="9287">
      <c r="A9287" t="n">
        <v>14230531</v>
      </c>
      <c r="B9287" t="n">
        <v>52830</v>
      </c>
      <c r="C9287" t="inlineStr">
        <is>
          <t>1423/05/31</t>
        </is>
      </c>
    </row>
    <row r="9288">
      <c r="A9288" t="n">
        <v>14230601</v>
      </c>
      <c r="B9288" t="n">
        <v>52831</v>
      </c>
      <c r="C9288" t="inlineStr">
        <is>
          <t>1423/06/01</t>
        </is>
      </c>
    </row>
    <row r="9289">
      <c r="A9289" t="n">
        <v>14230602</v>
      </c>
      <c r="B9289" t="n">
        <v>52832</v>
      </c>
      <c r="C9289" t="inlineStr">
        <is>
          <t>1423/06/02</t>
        </is>
      </c>
    </row>
    <row r="9290">
      <c r="A9290" t="n">
        <v>14230603</v>
      </c>
      <c r="B9290" t="n">
        <v>52833</v>
      </c>
      <c r="C9290" t="inlineStr">
        <is>
          <t>1423/06/03</t>
        </is>
      </c>
    </row>
    <row r="9291">
      <c r="A9291" t="n">
        <v>14230604</v>
      </c>
      <c r="B9291" t="n">
        <v>52834</v>
      </c>
      <c r="C9291" t="inlineStr">
        <is>
          <t>1423/06/04</t>
        </is>
      </c>
    </row>
    <row r="9292">
      <c r="A9292" t="n">
        <v>14230605</v>
      </c>
      <c r="B9292" t="n">
        <v>52835</v>
      </c>
      <c r="C9292" t="inlineStr">
        <is>
          <t>1423/06/05</t>
        </is>
      </c>
    </row>
    <row r="9293">
      <c r="A9293" t="n">
        <v>14230606</v>
      </c>
      <c r="B9293" t="n">
        <v>52836</v>
      </c>
      <c r="C9293" t="inlineStr">
        <is>
          <t>1423/06/06</t>
        </is>
      </c>
    </row>
    <row r="9294">
      <c r="A9294" t="n">
        <v>14230607</v>
      </c>
      <c r="B9294" t="n">
        <v>52837</v>
      </c>
      <c r="C9294" t="inlineStr">
        <is>
          <t>1423/06/07</t>
        </is>
      </c>
    </row>
    <row r="9295">
      <c r="A9295" t="n">
        <v>14230608</v>
      </c>
      <c r="B9295" t="n">
        <v>52838</v>
      </c>
      <c r="C9295" t="inlineStr">
        <is>
          <t>1423/06/08</t>
        </is>
      </c>
    </row>
    <row r="9296">
      <c r="A9296" t="n">
        <v>14230609</v>
      </c>
      <c r="B9296" t="n">
        <v>52839</v>
      </c>
      <c r="C9296" t="inlineStr">
        <is>
          <t>1423/06/09</t>
        </is>
      </c>
    </row>
    <row r="9297">
      <c r="A9297" t="n">
        <v>14230610</v>
      </c>
      <c r="B9297" t="n">
        <v>52840</v>
      </c>
      <c r="C9297" t="inlineStr">
        <is>
          <t>1423/06/10</t>
        </is>
      </c>
    </row>
    <row r="9298">
      <c r="A9298" t="n">
        <v>14230611</v>
      </c>
      <c r="B9298" t="n">
        <v>52841</v>
      </c>
      <c r="C9298" t="inlineStr">
        <is>
          <t>1423/06/11</t>
        </is>
      </c>
    </row>
    <row r="9299">
      <c r="A9299" t="n">
        <v>14230612</v>
      </c>
      <c r="B9299" t="n">
        <v>52842</v>
      </c>
      <c r="C9299" t="inlineStr">
        <is>
          <t>1423/06/12</t>
        </is>
      </c>
    </row>
    <row r="9300">
      <c r="A9300" t="n">
        <v>14230613</v>
      </c>
      <c r="B9300" t="n">
        <v>52843</v>
      </c>
      <c r="C9300" t="inlineStr">
        <is>
          <t>1423/06/13</t>
        </is>
      </c>
    </row>
    <row r="9301">
      <c r="A9301" t="n">
        <v>14230614</v>
      </c>
      <c r="B9301" t="n">
        <v>52844</v>
      </c>
      <c r="C9301" t="inlineStr">
        <is>
          <t>1423/06/14</t>
        </is>
      </c>
    </row>
    <row r="9302">
      <c r="A9302" t="n">
        <v>14230615</v>
      </c>
      <c r="B9302" t="n">
        <v>52845</v>
      </c>
      <c r="C9302" t="inlineStr">
        <is>
          <t>1423/06/15</t>
        </is>
      </c>
    </row>
    <row r="9303">
      <c r="A9303" t="n">
        <v>14230616</v>
      </c>
      <c r="B9303" t="n">
        <v>52846</v>
      </c>
      <c r="C9303" t="inlineStr">
        <is>
          <t>1423/06/16</t>
        </is>
      </c>
    </row>
    <row r="9304">
      <c r="A9304" t="n">
        <v>14230617</v>
      </c>
      <c r="B9304" t="n">
        <v>52847</v>
      </c>
      <c r="C9304" t="inlineStr">
        <is>
          <t>1423/06/17</t>
        </is>
      </c>
    </row>
    <row r="9305">
      <c r="A9305" t="n">
        <v>14230618</v>
      </c>
      <c r="B9305" t="n">
        <v>52848</v>
      </c>
      <c r="C9305" t="inlineStr">
        <is>
          <t>1423/06/18</t>
        </is>
      </c>
    </row>
    <row r="9306">
      <c r="A9306" t="n">
        <v>14230619</v>
      </c>
      <c r="B9306" t="n">
        <v>52849</v>
      </c>
      <c r="C9306" t="inlineStr">
        <is>
          <t>1423/06/19</t>
        </is>
      </c>
    </row>
    <row r="9307">
      <c r="A9307" t="n">
        <v>14230620</v>
      </c>
      <c r="B9307" t="n">
        <v>52850</v>
      </c>
      <c r="C9307" t="inlineStr">
        <is>
          <t>1423/06/20</t>
        </is>
      </c>
    </row>
    <row r="9308">
      <c r="A9308" t="n">
        <v>14230621</v>
      </c>
      <c r="B9308" t="n">
        <v>52851</v>
      </c>
      <c r="C9308" t="inlineStr">
        <is>
          <t>1423/06/21</t>
        </is>
      </c>
    </row>
    <row r="9309">
      <c r="A9309" t="n">
        <v>14230622</v>
      </c>
      <c r="B9309" t="n">
        <v>52852</v>
      </c>
      <c r="C9309" t="inlineStr">
        <is>
          <t>1423/06/22</t>
        </is>
      </c>
    </row>
    <row r="9310">
      <c r="A9310" t="n">
        <v>14230623</v>
      </c>
      <c r="B9310" t="n">
        <v>52853</v>
      </c>
      <c r="C9310" t="inlineStr">
        <is>
          <t>1423/06/23</t>
        </is>
      </c>
    </row>
    <row r="9311">
      <c r="A9311" t="n">
        <v>14230624</v>
      </c>
      <c r="B9311" t="n">
        <v>52854</v>
      </c>
      <c r="C9311" t="inlineStr">
        <is>
          <t>1423/06/24</t>
        </is>
      </c>
    </row>
    <row r="9312">
      <c r="A9312" t="n">
        <v>14230625</v>
      </c>
      <c r="B9312" t="n">
        <v>52855</v>
      </c>
      <c r="C9312" t="inlineStr">
        <is>
          <t>1423/06/25</t>
        </is>
      </c>
    </row>
    <row r="9313">
      <c r="A9313" t="n">
        <v>14230626</v>
      </c>
      <c r="B9313" t="n">
        <v>52856</v>
      </c>
      <c r="C9313" t="inlineStr">
        <is>
          <t>1423/06/26</t>
        </is>
      </c>
    </row>
    <row r="9314">
      <c r="A9314" t="n">
        <v>14230627</v>
      </c>
      <c r="B9314" t="n">
        <v>52857</v>
      </c>
      <c r="C9314" t="inlineStr">
        <is>
          <t>1423/06/27</t>
        </is>
      </c>
    </row>
    <row r="9315">
      <c r="A9315" t="n">
        <v>14230628</v>
      </c>
      <c r="B9315" t="n">
        <v>52858</v>
      </c>
      <c r="C9315" t="inlineStr">
        <is>
          <t>1423/06/28</t>
        </is>
      </c>
    </row>
    <row r="9316">
      <c r="A9316" t="n">
        <v>14230629</v>
      </c>
      <c r="B9316" t="n">
        <v>52859</v>
      </c>
      <c r="C9316" t="inlineStr">
        <is>
          <t>1423/06/29</t>
        </is>
      </c>
    </row>
    <row r="9317">
      <c r="A9317" t="n">
        <v>14230630</v>
      </c>
      <c r="B9317" t="n">
        <v>52860</v>
      </c>
      <c r="C9317" t="inlineStr">
        <is>
          <t>1423/06/30</t>
        </is>
      </c>
    </row>
    <row r="9318">
      <c r="A9318" t="n">
        <v>14230631</v>
      </c>
      <c r="B9318" t="n">
        <v>52861</v>
      </c>
      <c r="C9318" t="inlineStr">
        <is>
          <t>1423/06/31</t>
        </is>
      </c>
    </row>
    <row r="9319">
      <c r="A9319" t="n">
        <v>14230701</v>
      </c>
      <c r="B9319" t="n">
        <v>52862</v>
      </c>
      <c r="C9319" t="inlineStr">
        <is>
          <t>1423/07/01</t>
        </is>
      </c>
    </row>
    <row r="9320">
      <c r="A9320" t="n">
        <v>14230702</v>
      </c>
      <c r="B9320" t="n">
        <v>52863</v>
      </c>
      <c r="C9320" t="inlineStr">
        <is>
          <t>1423/07/02</t>
        </is>
      </c>
    </row>
    <row r="9321">
      <c r="A9321" t="n">
        <v>14230703</v>
      </c>
      <c r="B9321" t="n">
        <v>52864</v>
      </c>
      <c r="C9321" t="inlineStr">
        <is>
          <t>1423/07/03</t>
        </is>
      </c>
    </row>
    <row r="9322">
      <c r="A9322" t="n">
        <v>14230704</v>
      </c>
      <c r="B9322" t="n">
        <v>52865</v>
      </c>
      <c r="C9322" t="inlineStr">
        <is>
          <t>1423/07/04</t>
        </is>
      </c>
    </row>
    <row r="9323">
      <c r="A9323" t="n">
        <v>14230705</v>
      </c>
      <c r="B9323" t="n">
        <v>52866</v>
      </c>
      <c r="C9323" t="inlineStr">
        <is>
          <t>1423/07/05</t>
        </is>
      </c>
    </row>
    <row r="9324">
      <c r="A9324" t="n">
        <v>14230706</v>
      </c>
      <c r="B9324" t="n">
        <v>52867</v>
      </c>
      <c r="C9324" t="inlineStr">
        <is>
          <t>1423/07/06</t>
        </is>
      </c>
    </row>
    <row r="9325">
      <c r="A9325" t="n">
        <v>14230707</v>
      </c>
      <c r="B9325" t="n">
        <v>52868</v>
      </c>
      <c r="C9325" t="inlineStr">
        <is>
          <t>1423/07/07</t>
        </is>
      </c>
    </row>
    <row r="9326">
      <c r="A9326" t="n">
        <v>14230708</v>
      </c>
      <c r="B9326" t="n">
        <v>52869</v>
      </c>
      <c r="C9326" t="inlineStr">
        <is>
          <t>1423/07/08</t>
        </is>
      </c>
    </row>
    <row r="9327">
      <c r="A9327" t="n">
        <v>14230709</v>
      </c>
      <c r="B9327" t="n">
        <v>52870</v>
      </c>
      <c r="C9327" t="inlineStr">
        <is>
          <t>1423/07/09</t>
        </is>
      </c>
    </row>
    <row r="9328">
      <c r="A9328" t="n">
        <v>14230710</v>
      </c>
      <c r="B9328" t="n">
        <v>52871</v>
      </c>
      <c r="C9328" t="inlineStr">
        <is>
          <t>1423/07/10</t>
        </is>
      </c>
    </row>
    <row r="9329">
      <c r="A9329" t="n">
        <v>14230711</v>
      </c>
      <c r="B9329" t="n">
        <v>52872</v>
      </c>
      <c r="C9329" t="inlineStr">
        <is>
          <t>1423/07/11</t>
        </is>
      </c>
    </row>
    <row r="9330">
      <c r="A9330" t="n">
        <v>14230712</v>
      </c>
      <c r="B9330" t="n">
        <v>52873</v>
      </c>
      <c r="C9330" t="inlineStr">
        <is>
          <t>1423/07/12</t>
        </is>
      </c>
    </row>
    <row r="9331">
      <c r="A9331" t="n">
        <v>14230713</v>
      </c>
      <c r="B9331" t="n">
        <v>52874</v>
      </c>
      <c r="C9331" t="inlineStr">
        <is>
          <t>1423/07/13</t>
        </is>
      </c>
    </row>
    <row r="9332">
      <c r="A9332" t="n">
        <v>14230714</v>
      </c>
      <c r="B9332" t="n">
        <v>52875</v>
      </c>
      <c r="C9332" t="inlineStr">
        <is>
          <t>1423/07/14</t>
        </is>
      </c>
    </row>
    <row r="9333">
      <c r="A9333" t="n">
        <v>14230715</v>
      </c>
      <c r="B9333" t="n">
        <v>52876</v>
      </c>
      <c r="C9333" t="inlineStr">
        <is>
          <t>1423/07/15</t>
        </is>
      </c>
    </row>
    <row r="9334">
      <c r="A9334" t="n">
        <v>14230716</v>
      </c>
      <c r="B9334" t="n">
        <v>52877</v>
      </c>
      <c r="C9334" t="inlineStr">
        <is>
          <t>1423/07/16</t>
        </is>
      </c>
    </row>
    <row r="9335">
      <c r="A9335" t="n">
        <v>14230717</v>
      </c>
      <c r="B9335" t="n">
        <v>52878</v>
      </c>
      <c r="C9335" t="inlineStr">
        <is>
          <t>1423/07/17</t>
        </is>
      </c>
    </row>
    <row r="9336">
      <c r="A9336" t="n">
        <v>14230718</v>
      </c>
      <c r="B9336" t="n">
        <v>52879</v>
      </c>
      <c r="C9336" t="inlineStr">
        <is>
          <t>1423/07/18</t>
        </is>
      </c>
    </row>
    <row r="9337">
      <c r="A9337" t="n">
        <v>14230719</v>
      </c>
      <c r="B9337" t="n">
        <v>52880</v>
      </c>
      <c r="C9337" t="inlineStr">
        <is>
          <t>1423/07/19</t>
        </is>
      </c>
    </row>
    <row r="9338">
      <c r="A9338" t="n">
        <v>14230720</v>
      </c>
      <c r="B9338" t="n">
        <v>52881</v>
      </c>
      <c r="C9338" t="inlineStr">
        <is>
          <t>1423/07/20</t>
        </is>
      </c>
    </row>
    <row r="9339">
      <c r="A9339" t="n">
        <v>14230721</v>
      </c>
      <c r="B9339" t="n">
        <v>52882</v>
      </c>
      <c r="C9339" t="inlineStr">
        <is>
          <t>1423/07/21</t>
        </is>
      </c>
    </row>
    <row r="9340">
      <c r="A9340" t="n">
        <v>14230722</v>
      </c>
      <c r="B9340" t="n">
        <v>52883</v>
      </c>
      <c r="C9340" t="inlineStr">
        <is>
          <t>1423/07/22</t>
        </is>
      </c>
    </row>
    <row r="9341">
      <c r="A9341" t="n">
        <v>14230723</v>
      </c>
      <c r="B9341" t="n">
        <v>52884</v>
      </c>
      <c r="C9341" t="inlineStr">
        <is>
          <t>1423/07/23</t>
        </is>
      </c>
    </row>
    <row r="9342">
      <c r="A9342" t="n">
        <v>14230724</v>
      </c>
      <c r="B9342" t="n">
        <v>52885</v>
      </c>
      <c r="C9342" t="inlineStr">
        <is>
          <t>1423/07/24</t>
        </is>
      </c>
    </row>
    <row r="9343">
      <c r="A9343" t="n">
        <v>14230725</v>
      </c>
      <c r="B9343" t="n">
        <v>52886</v>
      </c>
      <c r="C9343" t="inlineStr">
        <is>
          <t>1423/07/25</t>
        </is>
      </c>
    </row>
    <row r="9344">
      <c r="A9344" t="n">
        <v>14230726</v>
      </c>
      <c r="B9344" t="n">
        <v>52887</v>
      </c>
      <c r="C9344" t="inlineStr">
        <is>
          <t>1423/07/26</t>
        </is>
      </c>
    </row>
    <row r="9345">
      <c r="A9345" t="n">
        <v>14230727</v>
      </c>
      <c r="B9345" t="n">
        <v>52888</v>
      </c>
      <c r="C9345" t="inlineStr">
        <is>
          <t>1423/07/27</t>
        </is>
      </c>
    </row>
    <row r="9346">
      <c r="A9346" t="n">
        <v>14230728</v>
      </c>
      <c r="B9346" t="n">
        <v>52889</v>
      </c>
      <c r="C9346" t="inlineStr">
        <is>
          <t>1423/07/28</t>
        </is>
      </c>
    </row>
    <row r="9347">
      <c r="A9347" t="n">
        <v>14230729</v>
      </c>
      <c r="B9347" t="n">
        <v>52890</v>
      </c>
      <c r="C9347" t="inlineStr">
        <is>
          <t>1423/07/29</t>
        </is>
      </c>
    </row>
    <row r="9348">
      <c r="A9348" t="n">
        <v>14230730</v>
      </c>
      <c r="B9348" t="n">
        <v>52891</v>
      </c>
      <c r="C9348" t="inlineStr">
        <is>
          <t>1423/07/30</t>
        </is>
      </c>
    </row>
    <row r="9349">
      <c r="A9349" t="n">
        <v>14230801</v>
      </c>
      <c r="B9349" t="n">
        <v>52892</v>
      </c>
      <c r="C9349" t="inlineStr">
        <is>
          <t>1423/08/01</t>
        </is>
      </c>
    </row>
    <row r="9350">
      <c r="A9350" t="n">
        <v>14230802</v>
      </c>
      <c r="B9350" t="n">
        <v>52893</v>
      </c>
      <c r="C9350" t="inlineStr">
        <is>
          <t>1423/08/02</t>
        </is>
      </c>
    </row>
    <row r="9351">
      <c r="A9351" t="n">
        <v>14230803</v>
      </c>
      <c r="B9351" t="n">
        <v>52894</v>
      </c>
      <c r="C9351" t="inlineStr">
        <is>
          <t>1423/08/03</t>
        </is>
      </c>
    </row>
    <row r="9352">
      <c r="A9352" t="n">
        <v>14230804</v>
      </c>
      <c r="B9352" t="n">
        <v>52895</v>
      </c>
      <c r="C9352" t="inlineStr">
        <is>
          <t>1423/08/04</t>
        </is>
      </c>
    </row>
    <row r="9353">
      <c r="A9353" t="n">
        <v>14230805</v>
      </c>
      <c r="B9353" t="n">
        <v>52896</v>
      </c>
      <c r="C9353" t="inlineStr">
        <is>
          <t>1423/08/05</t>
        </is>
      </c>
    </row>
    <row r="9354">
      <c r="A9354" t="n">
        <v>14230806</v>
      </c>
      <c r="B9354" t="n">
        <v>52897</v>
      </c>
      <c r="C9354" t="inlineStr">
        <is>
          <t>1423/08/06</t>
        </is>
      </c>
    </row>
    <row r="9355">
      <c r="A9355" t="n">
        <v>14230807</v>
      </c>
      <c r="B9355" t="n">
        <v>52898</v>
      </c>
      <c r="C9355" t="inlineStr">
        <is>
          <t>1423/08/07</t>
        </is>
      </c>
    </row>
    <row r="9356">
      <c r="A9356" t="n">
        <v>14230808</v>
      </c>
      <c r="B9356" t="n">
        <v>52899</v>
      </c>
      <c r="C9356" t="inlineStr">
        <is>
          <t>1423/08/08</t>
        </is>
      </c>
    </row>
    <row r="9357">
      <c r="A9357" t="n">
        <v>14230809</v>
      </c>
      <c r="B9357" t="n">
        <v>52900</v>
      </c>
      <c r="C9357" t="inlineStr">
        <is>
          <t>1423/08/09</t>
        </is>
      </c>
    </row>
    <row r="9358">
      <c r="A9358" t="n">
        <v>14230810</v>
      </c>
      <c r="B9358" t="n">
        <v>52901</v>
      </c>
      <c r="C9358" t="inlineStr">
        <is>
          <t>1423/08/10</t>
        </is>
      </c>
    </row>
    <row r="9359">
      <c r="A9359" t="n">
        <v>14230811</v>
      </c>
      <c r="B9359" t="n">
        <v>52902</v>
      </c>
      <c r="C9359" t="inlineStr">
        <is>
          <t>1423/08/11</t>
        </is>
      </c>
    </row>
    <row r="9360">
      <c r="A9360" t="n">
        <v>14230812</v>
      </c>
      <c r="B9360" t="n">
        <v>52903</v>
      </c>
      <c r="C9360" t="inlineStr">
        <is>
          <t>1423/08/12</t>
        </is>
      </c>
    </row>
    <row r="9361">
      <c r="A9361" t="n">
        <v>14230813</v>
      </c>
      <c r="B9361" t="n">
        <v>52904</v>
      </c>
      <c r="C9361" t="inlineStr">
        <is>
          <t>1423/08/13</t>
        </is>
      </c>
    </row>
    <row r="9362">
      <c r="A9362" t="n">
        <v>14230814</v>
      </c>
      <c r="B9362" t="n">
        <v>52905</v>
      </c>
      <c r="C9362" t="inlineStr">
        <is>
          <t>1423/08/14</t>
        </is>
      </c>
    </row>
    <row r="9363">
      <c r="A9363" t="n">
        <v>14230815</v>
      </c>
      <c r="B9363" t="n">
        <v>52906</v>
      </c>
      <c r="C9363" t="inlineStr">
        <is>
          <t>1423/08/15</t>
        </is>
      </c>
    </row>
    <row r="9364">
      <c r="A9364" t="n">
        <v>14230816</v>
      </c>
      <c r="B9364" t="n">
        <v>52907</v>
      </c>
      <c r="C9364" t="inlineStr">
        <is>
          <t>1423/08/16</t>
        </is>
      </c>
    </row>
    <row r="9365">
      <c r="A9365" t="n">
        <v>14230817</v>
      </c>
      <c r="B9365" t="n">
        <v>52908</v>
      </c>
      <c r="C9365" t="inlineStr">
        <is>
          <t>1423/08/17</t>
        </is>
      </c>
    </row>
    <row r="9366">
      <c r="A9366" t="n">
        <v>14230818</v>
      </c>
      <c r="B9366" t="n">
        <v>52909</v>
      </c>
      <c r="C9366" t="inlineStr">
        <is>
          <t>1423/08/18</t>
        </is>
      </c>
    </row>
    <row r="9367">
      <c r="A9367" t="n">
        <v>14230819</v>
      </c>
      <c r="B9367" t="n">
        <v>52910</v>
      </c>
      <c r="C9367" t="inlineStr">
        <is>
          <t>1423/08/19</t>
        </is>
      </c>
    </row>
    <row r="9368">
      <c r="A9368" t="n">
        <v>14230820</v>
      </c>
      <c r="B9368" t="n">
        <v>52911</v>
      </c>
      <c r="C9368" t="inlineStr">
        <is>
          <t>1423/08/20</t>
        </is>
      </c>
    </row>
    <row r="9369">
      <c r="A9369" t="n">
        <v>14230821</v>
      </c>
      <c r="B9369" t="n">
        <v>52912</v>
      </c>
      <c r="C9369" t="inlineStr">
        <is>
          <t>1423/08/21</t>
        </is>
      </c>
    </row>
    <row r="9370">
      <c r="A9370" t="n">
        <v>14230822</v>
      </c>
      <c r="B9370" t="n">
        <v>52913</v>
      </c>
      <c r="C9370" t="inlineStr">
        <is>
          <t>1423/08/22</t>
        </is>
      </c>
    </row>
    <row r="9371">
      <c r="A9371" t="n">
        <v>14230823</v>
      </c>
      <c r="B9371" t="n">
        <v>52914</v>
      </c>
      <c r="C9371" t="inlineStr">
        <is>
          <t>1423/08/23</t>
        </is>
      </c>
    </row>
    <row r="9372">
      <c r="A9372" t="n">
        <v>14230824</v>
      </c>
      <c r="B9372" t="n">
        <v>52915</v>
      </c>
      <c r="C9372" t="inlineStr">
        <is>
          <t>1423/08/24</t>
        </is>
      </c>
    </row>
    <row r="9373">
      <c r="A9373" t="n">
        <v>14230825</v>
      </c>
      <c r="B9373" t="n">
        <v>52916</v>
      </c>
      <c r="C9373" t="inlineStr">
        <is>
          <t>1423/08/25</t>
        </is>
      </c>
    </row>
    <row r="9374">
      <c r="A9374" t="n">
        <v>14230826</v>
      </c>
      <c r="B9374" t="n">
        <v>52917</v>
      </c>
      <c r="C9374" t="inlineStr">
        <is>
          <t>1423/08/26</t>
        </is>
      </c>
    </row>
    <row r="9375">
      <c r="A9375" t="n">
        <v>14230827</v>
      </c>
      <c r="B9375" t="n">
        <v>52918</v>
      </c>
      <c r="C9375" t="inlineStr">
        <is>
          <t>1423/08/27</t>
        </is>
      </c>
    </row>
    <row r="9376">
      <c r="A9376" t="n">
        <v>14230828</v>
      </c>
      <c r="B9376" t="n">
        <v>52919</v>
      </c>
      <c r="C9376" t="inlineStr">
        <is>
          <t>1423/08/28</t>
        </is>
      </c>
    </row>
    <row r="9377">
      <c r="A9377" t="n">
        <v>14230829</v>
      </c>
      <c r="B9377" t="n">
        <v>52920</v>
      </c>
      <c r="C9377" t="inlineStr">
        <is>
          <t>1423/08/29</t>
        </is>
      </c>
    </row>
    <row r="9378">
      <c r="A9378" t="n">
        <v>14230830</v>
      </c>
      <c r="B9378" t="n">
        <v>52921</v>
      </c>
      <c r="C9378" t="inlineStr">
        <is>
          <t>1423/08/30</t>
        </is>
      </c>
    </row>
    <row r="9379">
      <c r="A9379" t="n">
        <v>14230901</v>
      </c>
      <c r="B9379" t="n">
        <v>52922</v>
      </c>
      <c r="C9379" t="inlineStr">
        <is>
          <t>1423/09/01</t>
        </is>
      </c>
    </row>
    <row r="9380">
      <c r="A9380" t="n">
        <v>14230902</v>
      </c>
      <c r="B9380" t="n">
        <v>52923</v>
      </c>
      <c r="C9380" t="inlineStr">
        <is>
          <t>1423/09/02</t>
        </is>
      </c>
    </row>
    <row r="9381">
      <c r="A9381" t="n">
        <v>14230903</v>
      </c>
      <c r="B9381" t="n">
        <v>52924</v>
      </c>
      <c r="C9381" t="inlineStr">
        <is>
          <t>1423/09/03</t>
        </is>
      </c>
    </row>
    <row r="9382">
      <c r="A9382" t="n">
        <v>14230904</v>
      </c>
      <c r="B9382" t="n">
        <v>52925</v>
      </c>
      <c r="C9382" t="inlineStr">
        <is>
          <t>1423/09/04</t>
        </is>
      </c>
    </row>
    <row r="9383">
      <c r="A9383" t="n">
        <v>14230905</v>
      </c>
      <c r="B9383" t="n">
        <v>52926</v>
      </c>
      <c r="C9383" t="inlineStr">
        <is>
          <t>1423/09/05</t>
        </is>
      </c>
    </row>
    <row r="9384">
      <c r="A9384" t="n">
        <v>14230906</v>
      </c>
      <c r="B9384" t="n">
        <v>52927</v>
      </c>
      <c r="C9384" t="inlineStr">
        <is>
          <t>1423/09/06</t>
        </is>
      </c>
    </row>
    <row r="9385">
      <c r="A9385" t="n">
        <v>14230907</v>
      </c>
      <c r="B9385" t="n">
        <v>52928</v>
      </c>
      <c r="C9385" t="inlineStr">
        <is>
          <t>1423/09/07</t>
        </is>
      </c>
    </row>
    <row r="9386">
      <c r="A9386" t="n">
        <v>14230908</v>
      </c>
      <c r="B9386" t="n">
        <v>52929</v>
      </c>
      <c r="C9386" t="inlineStr">
        <is>
          <t>1423/09/08</t>
        </is>
      </c>
    </row>
    <row r="9387">
      <c r="A9387" t="n">
        <v>14230909</v>
      </c>
      <c r="B9387" t="n">
        <v>52930</v>
      </c>
      <c r="C9387" t="inlineStr">
        <is>
          <t>1423/09/09</t>
        </is>
      </c>
    </row>
    <row r="9388">
      <c r="A9388" t="n">
        <v>14230910</v>
      </c>
      <c r="B9388" t="n">
        <v>52931</v>
      </c>
      <c r="C9388" t="inlineStr">
        <is>
          <t>1423/09/10</t>
        </is>
      </c>
    </row>
    <row r="9389">
      <c r="A9389" t="n">
        <v>14230911</v>
      </c>
      <c r="B9389" t="n">
        <v>52932</v>
      </c>
      <c r="C9389" t="inlineStr">
        <is>
          <t>1423/09/11</t>
        </is>
      </c>
    </row>
    <row r="9390">
      <c r="A9390" t="n">
        <v>14230912</v>
      </c>
      <c r="B9390" t="n">
        <v>52933</v>
      </c>
      <c r="C9390" t="inlineStr">
        <is>
          <t>1423/09/12</t>
        </is>
      </c>
    </row>
    <row r="9391">
      <c r="A9391" t="n">
        <v>14230913</v>
      </c>
      <c r="B9391" t="n">
        <v>52934</v>
      </c>
      <c r="C9391" t="inlineStr">
        <is>
          <t>1423/09/13</t>
        </is>
      </c>
    </row>
    <row r="9392">
      <c r="A9392" t="n">
        <v>14230914</v>
      </c>
      <c r="B9392" t="n">
        <v>52935</v>
      </c>
      <c r="C9392" t="inlineStr">
        <is>
          <t>1423/09/14</t>
        </is>
      </c>
    </row>
    <row r="9393">
      <c r="A9393" t="n">
        <v>14230915</v>
      </c>
      <c r="B9393" t="n">
        <v>52936</v>
      </c>
      <c r="C9393" t="inlineStr">
        <is>
          <t>1423/09/15</t>
        </is>
      </c>
    </row>
    <row r="9394">
      <c r="A9394" t="n">
        <v>14230916</v>
      </c>
      <c r="B9394" t="n">
        <v>52937</v>
      </c>
      <c r="C9394" t="inlineStr">
        <is>
          <t>1423/09/16</t>
        </is>
      </c>
    </row>
    <row r="9395">
      <c r="A9395" t="n">
        <v>14230917</v>
      </c>
      <c r="B9395" t="n">
        <v>52938</v>
      </c>
      <c r="C9395" t="inlineStr">
        <is>
          <t>1423/09/17</t>
        </is>
      </c>
    </row>
    <row r="9396">
      <c r="A9396" t="n">
        <v>14230918</v>
      </c>
      <c r="B9396" t="n">
        <v>52939</v>
      </c>
      <c r="C9396" t="inlineStr">
        <is>
          <t>1423/09/18</t>
        </is>
      </c>
    </row>
    <row r="9397">
      <c r="A9397" t="n">
        <v>14230919</v>
      </c>
      <c r="B9397" t="n">
        <v>52940</v>
      </c>
      <c r="C9397" t="inlineStr">
        <is>
          <t>1423/09/19</t>
        </is>
      </c>
    </row>
    <row r="9398">
      <c r="A9398" t="n">
        <v>14230920</v>
      </c>
      <c r="B9398" t="n">
        <v>52941</v>
      </c>
      <c r="C9398" t="inlineStr">
        <is>
          <t>1423/09/20</t>
        </is>
      </c>
    </row>
    <row r="9399">
      <c r="A9399" t="n">
        <v>14230921</v>
      </c>
      <c r="B9399" t="n">
        <v>52942</v>
      </c>
      <c r="C9399" t="inlineStr">
        <is>
          <t>1423/09/21</t>
        </is>
      </c>
    </row>
    <row r="9400">
      <c r="A9400" t="n">
        <v>14230922</v>
      </c>
      <c r="B9400" t="n">
        <v>52943</v>
      </c>
      <c r="C9400" t="inlineStr">
        <is>
          <t>1423/09/22</t>
        </is>
      </c>
    </row>
    <row r="9401">
      <c r="A9401" t="n">
        <v>14230923</v>
      </c>
      <c r="B9401" t="n">
        <v>52944</v>
      </c>
      <c r="C9401" t="inlineStr">
        <is>
          <t>1423/09/23</t>
        </is>
      </c>
    </row>
    <row r="9402">
      <c r="A9402" t="n">
        <v>14230924</v>
      </c>
      <c r="B9402" t="n">
        <v>52945</v>
      </c>
      <c r="C9402" t="inlineStr">
        <is>
          <t>1423/09/24</t>
        </is>
      </c>
    </row>
    <row r="9403">
      <c r="A9403" t="n">
        <v>14230925</v>
      </c>
      <c r="B9403" t="n">
        <v>52946</v>
      </c>
      <c r="C9403" t="inlineStr">
        <is>
          <t>1423/09/25</t>
        </is>
      </c>
    </row>
    <row r="9404">
      <c r="A9404" t="n">
        <v>14230926</v>
      </c>
      <c r="B9404" t="n">
        <v>52947</v>
      </c>
      <c r="C9404" t="inlineStr">
        <is>
          <t>1423/09/26</t>
        </is>
      </c>
    </row>
    <row r="9405">
      <c r="A9405" t="n">
        <v>14230927</v>
      </c>
      <c r="B9405" t="n">
        <v>52948</v>
      </c>
      <c r="C9405" t="inlineStr">
        <is>
          <t>1423/09/27</t>
        </is>
      </c>
    </row>
    <row r="9406">
      <c r="A9406" t="n">
        <v>14230928</v>
      </c>
      <c r="B9406" t="n">
        <v>52949</v>
      </c>
      <c r="C9406" t="inlineStr">
        <is>
          <t>1423/09/28</t>
        </is>
      </c>
    </row>
    <row r="9407">
      <c r="A9407" t="n">
        <v>14230929</v>
      </c>
      <c r="B9407" t="n">
        <v>52950</v>
      </c>
      <c r="C9407" t="inlineStr">
        <is>
          <t>1423/09/29</t>
        </is>
      </c>
    </row>
    <row r="9408">
      <c r="A9408" t="n">
        <v>14230930</v>
      </c>
      <c r="B9408" t="n">
        <v>52951</v>
      </c>
      <c r="C9408" t="inlineStr">
        <is>
          <t>1423/09/30</t>
        </is>
      </c>
    </row>
    <row r="9409">
      <c r="A9409" t="n">
        <v>14231001</v>
      </c>
      <c r="B9409" t="n">
        <v>52952</v>
      </c>
      <c r="C9409" t="inlineStr">
        <is>
          <t>1423/10/01</t>
        </is>
      </c>
    </row>
    <row r="9410">
      <c r="A9410" t="n">
        <v>14231002</v>
      </c>
      <c r="B9410" t="n">
        <v>52953</v>
      </c>
      <c r="C9410" t="inlineStr">
        <is>
          <t>1423/10/02</t>
        </is>
      </c>
    </row>
    <row r="9411">
      <c r="A9411" t="n">
        <v>14231003</v>
      </c>
      <c r="B9411" t="n">
        <v>52954</v>
      </c>
      <c r="C9411" t="inlineStr">
        <is>
          <t>1423/10/03</t>
        </is>
      </c>
    </row>
    <row r="9412">
      <c r="A9412" t="n">
        <v>14231004</v>
      </c>
      <c r="B9412" t="n">
        <v>52955</v>
      </c>
      <c r="C9412" t="inlineStr">
        <is>
          <t>1423/10/04</t>
        </is>
      </c>
    </row>
    <row r="9413">
      <c r="A9413" t="n">
        <v>14231005</v>
      </c>
      <c r="B9413" t="n">
        <v>52956</v>
      </c>
      <c r="C9413" t="inlineStr">
        <is>
          <t>1423/10/05</t>
        </is>
      </c>
    </row>
    <row r="9414">
      <c r="A9414" t="n">
        <v>14231006</v>
      </c>
      <c r="B9414" t="n">
        <v>52957</v>
      </c>
      <c r="C9414" t="inlineStr">
        <is>
          <t>1423/10/06</t>
        </is>
      </c>
    </row>
    <row r="9415">
      <c r="A9415" t="n">
        <v>14231007</v>
      </c>
      <c r="B9415" t="n">
        <v>52958</v>
      </c>
      <c r="C9415" t="inlineStr">
        <is>
          <t>1423/10/07</t>
        </is>
      </c>
    </row>
    <row r="9416">
      <c r="A9416" t="n">
        <v>14231008</v>
      </c>
      <c r="B9416" t="n">
        <v>52959</v>
      </c>
      <c r="C9416" t="inlineStr">
        <is>
          <t>1423/10/08</t>
        </is>
      </c>
    </row>
    <row r="9417">
      <c r="A9417" t="n">
        <v>14231009</v>
      </c>
      <c r="B9417" t="n">
        <v>52960</v>
      </c>
      <c r="C9417" t="inlineStr">
        <is>
          <t>1423/10/09</t>
        </is>
      </c>
    </row>
    <row r="9418">
      <c r="A9418" t="n">
        <v>14231010</v>
      </c>
      <c r="B9418" t="n">
        <v>52961</v>
      </c>
      <c r="C9418" t="inlineStr">
        <is>
          <t>1423/10/10</t>
        </is>
      </c>
    </row>
    <row r="9419">
      <c r="A9419" t="n">
        <v>14231011</v>
      </c>
      <c r="B9419" t="n">
        <v>52962</v>
      </c>
      <c r="C9419" t="inlineStr">
        <is>
          <t>1423/10/11</t>
        </is>
      </c>
    </row>
    <row r="9420">
      <c r="A9420" t="n">
        <v>14231012</v>
      </c>
      <c r="B9420" t="n">
        <v>52963</v>
      </c>
      <c r="C9420" t="inlineStr">
        <is>
          <t>1423/10/12</t>
        </is>
      </c>
    </row>
    <row r="9421">
      <c r="A9421" t="n">
        <v>14231013</v>
      </c>
      <c r="B9421" t="n">
        <v>52964</v>
      </c>
      <c r="C9421" t="inlineStr">
        <is>
          <t>1423/10/13</t>
        </is>
      </c>
    </row>
    <row r="9422">
      <c r="A9422" t="n">
        <v>14231014</v>
      </c>
      <c r="B9422" t="n">
        <v>52965</v>
      </c>
      <c r="C9422" t="inlineStr">
        <is>
          <t>1423/10/14</t>
        </is>
      </c>
    </row>
    <row r="9423">
      <c r="A9423" t="n">
        <v>14231015</v>
      </c>
      <c r="B9423" t="n">
        <v>52966</v>
      </c>
      <c r="C9423" t="inlineStr">
        <is>
          <t>1423/10/15</t>
        </is>
      </c>
    </row>
    <row r="9424">
      <c r="A9424" t="n">
        <v>14231016</v>
      </c>
      <c r="B9424" t="n">
        <v>52967</v>
      </c>
      <c r="C9424" t="inlineStr">
        <is>
          <t>1423/10/16</t>
        </is>
      </c>
    </row>
    <row r="9425">
      <c r="A9425" t="n">
        <v>14231017</v>
      </c>
      <c r="B9425" t="n">
        <v>52968</v>
      </c>
      <c r="C9425" t="inlineStr">
        <is>
          <t>1423/10/17</t>
        </is>
      </c>
    </row>
    <row r="9426">
      <c r="A9426" t="n">
        <v>14231018</v>
      </c>
      <c r="B9426" t="n">
        <v>52969</v>
      </c>
      <c r="C9426" t="inlineStr">
        <is>
          <t>1423/10/18</t>
        </is>
      </c>
    </row>
    <row r="9427">
      <c r="A9427" t="n">
        <v>14231019</v>
      </c>
      <c r="B9427" t="n">
        <v>52970</v>
      </c>
      <c r="C9427" t="inlineStr">
        <is>
          <t>1423/10/19</t>
        </is>
      </c>
    </row>
    <row r="9428">
      <c r="A9428" t="n">
        <v>14231020</v>
      </c>
      <c r="B9428" t="n">
        <v>52971</v>
      </c>
      <c r="C9428" t="inlineStr">
        <is>
          <t>1423/10/20</t>
        </is>
      </c>
    </row>
    <row r="9429">
      <c r="A9429" t="n">
        <v>14231021</v>
      </c>
      <c r="B9429" t="n">
        <v>52972</v>
      </c>
      <c r="C9429" t="inlineStr">
        <is>
          <t>1423/10/21</t>
        </is>
      </c>
    </row>
    <row r="9430">
      <c r="A9430" t="n">
        <v>14231022</v>
      </c>
      <c r="B9430" t="n">
        <v>52973</v>
      </c>
      <c r="C9430" t="inlineStr">
        <is>
          <t>1423/10/22</t>
        </is>
      </c>
    </row>
    <row r="9431">
      <c r="A9431" t="n">
        <v>14231023</v>
      </c>
      <c r="B9431" t="n">
        <v>52974</v>
      </c>
      <c r="C9431" t="inlineStr">
        <is>
          <t>1423/10/23</t>
        </is>
      </c>
    </row>
    <row r="9432">
      <c r="A9432" t="n">
        <v>14231024</v>
      </c>
      <c r="B9432" t="n">
        <v>52975</v>
      </c>
      <c r="C9432" t="inlineStr">
        <is>
          <t>1423/10/24</t>
        </is>
      </c>
    </row>
    <row r="9433">
      <c r="A9433" t="n">
        <v>14231025</v>
      </c>
      <c r="B9433" t="n">
        <v>52976</v>
      </c>
      <c r="C9433" t="inlineStr">
        <is>
          <t>1423/10/25</t>
        </is>
      </c>
    </row>
    <row r="9434">
      <c r="A9434" t="n">
        <v>14231026</v>
      </c>
      <c r="B9434" t="n">
        <v>52977</v>
      </c>
      <c r="C9434" t="inlineStr">
        <is>
          <t>1423/10/26</t>
        </is>
      </c>
    </row>
    <row r="9435">
      <c r="A9435" t="n">
        <v>14231027</v>
      </c>
      <c r="B9435" t="n">
        <v>52978</v>
      </c>
      <c r="C9435" t="inlineStr">
        <is>
          <t>1423/10/27</t>
        </is>
      </c>
    </row>
    <row r="9436">
      <c r="A9436" t="n">
        <v>14231028</v>
      </c>
      <c r="B9436" t="n">
        <v>52979</v>
      </c>
      <c r="C9436" t="inlineStr">
        <is>
          <t>1423/10/28</t>
        </is>
      </c>
    </row>
    <row r="9437">
      <c r="A9437" t="n">
        <v>14231029</v>
      </c>
      <c r="B9437" t="n">
        <v>52980</v>
      </c>
      <c r="C9437" t="inlineStr">
        <is>
          <t>1423/10/29</t>
        </is>
      </c>
    </row>
    <row r="9438">
      <c r="A9438" t="n">
        <v>14231030</v>
      </c>
      <c r="B9438" t="n">
        <v>52981</v>
      </c>
      <c r="C9438" t="inlineStr">
        <is>
          <t>1423/10/30</t>
        </is>
      </c>
    </row>
    <row r="9439">
      <c r="A9439" t="n">
        <v>14231101</v>
      </c>
      <c r="B9439" t="n">
        <v>52982</v>
      </c>
      <c r="C9439" t="inlineStr">
        <is>
          <t>1423/11/01</t>
        </is>
      </c>
    </row>
    <row r="9440">
      <c r="A9440" t="n">
        <v>14231102</v>
      </c>
      <c r="B9440" t="n">
        <v>52983</v>
      </c>
      <c r="C9440" t="inlineStr">
        <is>
          <t>1423/11/02</t>
        </is>
      </c>
    </row>
    <row r="9441">
      <c r="A9441" t="n">
        <v>14231103</v>
      </c>
      <c r="B9441" t="n">
        <v>52984</v>
      </c>
      <c r="C9441" t="inlineStr">
        <is>
          <t>1423/11/03</t>
        </is>
      </c>
    </row>
    <row r="9442">
      <c r="A9442" t="n">
        <v>14231104</v>
      </c>
      <c r="B9442" t="n">
        <v>52985</v>
      </c>
      <c r="C9442" t="inlineStr">
        <is>
          <t>1423/11/04</t>
        </is>
      </c>
    </row>
    <row r="9443">
      <c r="A9443" t="n">
        <v>14231105</v>
      </c>
      <c r="B9443" t="n">
        <v>52986</v>
      </c>
      <c r="C9443" t="inlineStr">
        <is>
          <t>1423/11/05</t>
        </is>
      </c>
    </row>
    <row r="9444">
      <c r="A9444" t="n">
        <v>14231106</v>
      </c>
      <c r="B9444" t="n">
        <v>52987</v>
      </c>
      <c r="C9444" t="inlineStr">
        <is>
          <t>1423/11/06</t>
        </is>
      </c>
    </row>
    <row r="9445">
      <c r="A9445" t="n">
        <v>14231107</v>
      </c>
      <c r="B9445" t="n">
        <v>52988</v>
      </c>
      <c r="C9445" t="inlineStr">
        <is>
          <t>1423/11/07</t>
        </is>
      </c>
    </row>
    <row r="9446">
      <c r="A9446" t="n">
        <v>14231108</v>
      </c>
      <c r="B9446" t="n">
        <v>52989</v>
      </c>
      <c r="C9446" t="inlineStr">
        <is>
          <t>1423/11/08</t>
        </is>
      </c>
    </row>
    <row r="9447">
      <c r="A9447" t="n">
        <v>14231109</v>
      </c>
      <c r="B9447" t="n">
        <v>52990</v>
      </c>
      <c r="C9447" t="inlineStr">
        <is>
          <t>1423/11/09</t>
        </is>
      </c>
    </row>
    <row r="9448">
      <c r="A9448" t="n">
        <v>14231110</v>
      </c>
      <c r="B9448" t="n">
        <v>52991</v>
      </c>
      <c r="C9448" t="inlineStr">
        <is>
          <t>1423/11/10</t>
        </is>
      </c>
    </row>
    <row r="9449">
      <c r="A9449" t="n">
        <v>14231111</v>
      </c>
      <c r="B9449" t="n">
        <v>52992</v>
      </c>
      <c r="C9449" t="inlineStr">
        <is>
          <t>1423/11/11</t>
        </is>
      </c>
    </row>
    <row r="9450">
      <c r="A9450" t="n">
        <v>14231112</v>
      </c>
      <c r="B9450" t="n">
        <v>52993</v>
      </c>
      <c r="C9450" t="inlineStr">
        <is>
          <t>1423/11/12</t>
        </is>
      </c>
    </row>
    <row r="9451">
      <c r="A9451" t="n">
        <v>14231113</v>
      </c>
      <c r="B9451" t="n">
        <v>52994</v>
      </c>
      <c r="C9451" t="inlineStr">
        <is>
          <t>1423/11/13</t>
        </is>
      </c>
    </row>
    <row r="9452">
      <c r="A9452" t="n">
        <v>14231114</v>
      </c>
      <c r="B9452" t="n">
        <v>52995</v>
      </c>
      <c r="C9452" t="inlineStr">
        <is>
          <t>1423/11/14</t>
        </is>
      </c>
    </row>
    <row r="9453">
      <c r="A9453" t="n">
        <v>14231115</v>
      </c>
      <c r="B9453" t="n">
        <v>52996</v>
      </c>
      <c r="C9453" t="inlineStr">
        <is>
          <t>1423/11/15</t>
        </is>
      </c>
    </row>
    <row r="9454">
      <c r="A9454" t="n">
        <v>14231116</v>
      </c>
      <c r="B9454" t="n">
        <v>52997</v>
      </c>
      <c r="C9454" t="inlineStr">
        <is>
          <t>1423/11/16</t>
        </is>
      </c>
    </row>
    <row r="9455">
      <c r="A9455" t="n">
        <v>14231117</v>
      </c>
      <c r="B9455" t="n">
        <v>52998</v>
      </c>
      <c r="C9455" t="inlineStr">
        <is>
          <t>1423/11/17</t>
        </is>
      </c>
    </row>
    <row r="9456">
      <c r="A9456" t="n">
        <v>14231118</v>
      </c>
      <c r="B9456" t="n">
        <v>52999</v>
      </c>
      <c r="C9456" t="inlineStr">
        <is>
          <t>1423/11/18</t>
        </is>
      </c>
    </row>
    <row r="9457">
      <c r="A9457" t="n">
        <v>14231119</v>
      </c>
      <c r="B9457" t="n">
        <v>53000</v>
      </c>
      <c r="C9457" t="inlineStr">
        <is>
          <t>1423/11/19</t>
        </is>
      </c>
    </row>
    <row r="9458">
      <c r="A9458" t="n">
        <v>14231120</v>
      </c>
      <c r="B9458" t="n">
        <v>53001</v>
      </c>
      <c r="C9458" t="inlineStr">
        <is>
          <t>1423/11/20</t>
        </is>
      </c>
    </row>
    <row r="9459">
      <c r="A9459" t="n">
        <v>14231121</v>
      </c>
      <c r="B9459" t="n">
        <v>53002</v>
      </c>
      <c r="C9459" t="inlineStr">
        <is>
          <t>1423/11/21</t>
        </is>
      </c>
    </row>
    <row r="9460">
      <c r="A9460" t="n">
        <v>14231122</v>
      </c>
      <c r="B9460" t="n">
        <v>53003</v>
      </c>
      <c r="C9460" t="inlineStr">
        <is>
          <t>1423/11/22</t>
        </is>
      </c>
    </row>
    <row r="9461">
      <c r="A9461" t="n">
        <v>14231123</v>
      </c>
      <c r="B9461" t="n">
        <v>53004</v>
      </c>
      <c r="C9461" t="inlineStr">
        <is>
          <t>1423/11/23</t>
        </is>
      </c>
    </row>
    <row r="9462">
      <c r="A9462" t="n">
        <v>14231124</v>
      </c>
      <c r="B9462" t="n">
        <v>53005</v>
      </c>
      <c r="C9462" t="inlineStr">
        <is>
          <t>1423/11/24</t>
        </is>
      </c>
    </row>
    <row r="9463">
      <c r="A9463" t="n">
        <v>14231125</v>
      </c>
      <c r="B9463" t="n">
        <v>53006</v>
      </c>
      <c r="C9463" t="inlineStr">
        <is>
          <t>1423/11/25</t>
        </is>
      </c>
    </row>
    <row r="9464">
      <c r="A9464" t="n">
        <v>14231126</v>
      </c>
      <c r="B9464" t="n">
        <v>53007</v>
      </c>
      <c r="C9464" t="inlineStr">
        <is>
          <t>1423/11/26</t>
        </is>
      </c>
    </row>
    <row r="9465">
      <c r="A9465" t="n">
        <v>14231127</v>
      </c>
      <c r="B9465" t="n">
        <v>53008</v>
      </c>
      <c r="C9465" t="inlineStr">
        <is>
          <t>1423/11/27</t>
        </is>
      </c>
    </row>
    <row r="9466">
      <c r="A9466" t="n">
        <v>14231128</v>
      </c>
      <c r="B9466" t="n">
        <v>53009</v>
      </c>
      <c r="C9466" t="inlineStr">
        <is>
          <t>1423/11/28</t>
        </is>
      </c>
    </row>
    <row r="9467">
      <c r="A9467" t="n">
        <v>14231129</v>
      </c>
      <c r="B9467" t="n">
        <v>53010</v>
      </c>
      <c r="C9467" t="inlineStr">
        <is>
          <t>1423/11/29</t>
        </is>
      </c>
    </row>
    <row r="9468">
      <c r="A9468" t="n">
        <v>14231130</v>
      </c>
      <c r="B9468" t="n">
        <v>53011</v>
      </c>
      <c r="C9468" t="inlineStr">
        <is>
          <t>1423/11/30</t>
        </is>
      </c>
    </row>
    <row r="9469">
      <c r="A9469" t="n">
        <v>14231201</v>
      </c>
      <c r="B9469" t="n">
        <v>53012</v>
      </c>
      <c r="C9469" t="inlineStr">
        <is>
          <t>1423/12/01</t>
        </is>
      </c>
    </row>
    <row r="9470">
      <c r="A9470" t="n">
        <v>14231202</v>
      </c>
      <c r="B9470" t="n">
        <v>53013</v>
      </c>
      <c r="C9470" t="inlineStr">
        <is>
          <t>1423/12/02</t>
        </is>
      </c>
    </row>
    <row r="9471">
      <c r="A9471" t="n">
        <v>14231203</v>
      </c>
      <c r="B9471" t="n">
        <v>53014</v>
      </c>
      <c r="C9471" t="inlineStr">
        <is>
          <t>1423/12/03</t>
        </is>
      </c>
    </row>
    <row r="9472">
      <c r="A9472" t="n">
        <v>14231204</v>
      </c>
      <c r="B9472" t="n">
        <v>53015</v>
      </c>
      <c r="C9472" t="inlineStr">
        <is>
          <t>1423/12/04</t>
        </is>
      </c>
    </row>
    <row r="9473">
      <c r="A9473" t="n">
        <v>14231205</v>
      </c>
      <c r="B9473" t="n">
        <v>53016</v>
      </c>
      <c r="C9473" t="inlineStr">
        <is>
          <t>1423/12/05</t>
        </is>
      </c>
    </row>
    <row r="9474">
      <c r="A9474" t="n">
        <v>14231206</v>
      </c>
      <c r="B9474" t="n">
        <v>53017</v>
      </c>
      <c r="C9474" t="inlineStr">
        <is>
          <t>1423/12/06</t>
        </is>
      </c>
    </row>
    <row r="9475">
      <c r="A9475" t="n">
        <v>14231207</v>
      </c>
      <c r="B9475" t="n">
        <v>53018</v>
      </c>
      <c r="C9475" t="inlineStr">
        <is>
          <t>1423/12/07</t>
        </is>
      </c>
    </row>
    <row r="9476">
      <c r="A9476" t="n">
        <v>14231208</v>
      </c>
      <c r="B9476" t="n">
        <v>53019</v>
      </c>
      <c r="C9476" t="inlineStr">
        <is>
          <t>1423/12/08</t>
        </is>
      </c>
    </row>
    <row r="9477">
      <c r="A9477" t="n">
        <v>14231209</v>
      </c>
      <c r="B9477" t="n">
        <v>53020</v>
      </c>
      <c r="C9477" t="inlineStr">
        <is>
          <t>1423/12/09</t>
        </is>
      </c>
    </row>
    <row r="9478">
      <c r="A9478" t="n">
        <v>14231210</v>
      </c>
      <c r="B9478" t="n">
        <v>53021</v>
      </c>
      <c r="C9478" t="inlineStr">
        <is>
          <t>1423/12/10</t>
        </is>
      </c>
    </row>
    <row r="9479">
      <c r="A9479" t="n">
        <v>14231211</v>
      </c>
      <c r="B9479" t="n">
        <v>53022</v>
      </c>
      <c r="C9479" t="inlineStr">
        <is>
          <t>1423/12/11</t>
        </is>
      </c>
    </row>
    <row r="9480">
      <c r="A9480" t="n">
        <v>14231212</v>
      </c>
      <c r="B9480" t="n">
        <v>53023</v>
      </c>
      <c r="C9480" t="inlineStr">
        <is>
          <t>1423/12/12</t>
        </is>
      </c>
    </row>
    <row r="9481">
      <c r="A9481" t="n">
        <v>14231213</v>
      </c>
      <c r="B9481" t="n">
        <v>53024</v>
      </c>
      <c r="C9481" t="inlineStr">
        <is>
          <t>1423/12/13</t>
        </is>
      </c>
    </row>
    <row r="9482">
      <c r="A9482" t="n">
        <v>14231214</v>
      </c>
      <c r="B9482" t="n">
        <v>53025</v>
      </c>
      <c r="C9482" t="inlineStr">
        <is>
          <t>1423/12/14</t>
        </is>
      </c>
    </row>
    <row r="9483">
      <c r="A9483" t="n">
        <v>14231215</v>
      </c>
      <c r="B9483" t="n">
        <v>53026</v>
      </c>
      <c r="C9483" t="inlineStr">
        <is>
          <t>1423/12/15</t>
        </is>
      </c>
    </row>
    <row r="9484">
      <c r="A9484" t="n">
        <v>14231216</v>
      </c>
      <c r="B9484" t="n">
        <v>53027</v>
      </c>
      <c r="C9484" t="inlineStr">
        <is>
          <t>1423/12/16</t>
        </is>
      </c>
    </row>
    <row r="9485">
      <c r="A9485" t="n">
        <v>14231217</v>
      </c>
      <c r="B9485" t="n">
        <v>53028</v>
      </c>
      <c r="C9485" t="inlineStr">
        <is>
          <t>1423/12/17</t>
        </is>
      </c>
    </row>
    <row r="9486">
      <c r="A9486" t="n">
        <v>14231218</v>
      </c>
      <c r="B9486" t="n">
        <v>53029</v>
      </c>
      <c r="C9486" t="inlineStr">
        <is>
          <t>1423/12/18</t>
        </is>
      </c>
    </row>
    <row r="9487">
      <c r="A9487" t="n">
        <v>14231219</v>
      </c>
      <c r="B9487" t="n">
        <v>53030</v>
      </c>
      <c r="C9487" t="inlineStr">
        <is>
          <t>1423/12/19</t>
        </is>
      </c>
    </row>
    <row r="9488">
      <c r="A9488" t="n">
        <v>14231220</v>
      </c>
      <c r="B9488" t="n">
        <v>53031</v>
      </c>
      <c r="C9488" t="inlineStr">
        <is>
          <t>1423/12/20</t>
        </is>
      </c>
    </row>
    <row r="9489">
      <c r="A9489" t="n">
        <v>14231221</v>
      </c>
      <c r="B9489" t="n">
        <v>53032</v>
      </c>
      <c r="C9489" t="inlineStr">
        <is>
          <t>1423/12/21</t>
        </is>
      </c>
    </row>
    <row r="9490">
      <c r="A9490" t="n">
        <v>14231222</v>
      </c>
      <c r="B9490" t="n">
        <v>53033</v>
      </c>
      <c r="C9490" t="inlineStr">
        <is>
          <t>1423/12/22</t>
        </is>
      </c>
    </row>
    <row r="9491">
      <c r="A9491" t="n">
        <v>14231223</v>
      </c>
      <c r="B9491" t="n">
        <v>53034</v>
      </c>
      <c r="C9491" t="inlineStr">
        <is>
          <t>1423/12/23</t>
        </is>
      </c>
    </row>
    <row r="9492">
      <c r="A9492" t="n">
        <v>14231224</v>
      </c>
      <c r="B9492" t="n">
        <v>53035</v>
      </c>
      <c r="C9492" t="inlineStr">
        <is>
          <t>1423/12/24</t>
        </is>
      </c>
    </row>
    <row r="9493">
      <c r="A9493" t="n">
        <v>14231225</v>
      </c>
      <c r="B9493" t="n">
        <v>53036</v>
      </c>
      <c r="C9493" t="inlineStr">
        <is>
          <t>1423/12/25</t>
        </is>
      </c>
    </row>
    <row r="9494">
      <c r="A9494" t="n">
        <v>14231226</v>
      </c>
      <c r="B9494" t="n">
        <v>53037</v>
      </c>
      <c r="C9494" t="inlineStr">
        <is>
          <t>1423/12/26</t>
        </is>
      </c>
    </row>
    <row r="9495">
      <c r="A9495" t="n">
        <v>14231227</v>
      </c>
      <c r="B9495" t="n">
        <v>53038</v>
      </c>
      <c r="C9495" t="inlineStr">
        <is>
          <t>1423/12/27</t>
        </is>
      </c>
    </row>
    <row r="9496">
      <c r="A9496" t="n">
        <v>14231228</v>
      </c>
      <c r="B9496" t="n">
        <v>53039</v>
      </c>
      <c r="C9496" t="inlineStr">
        <is>
          <t>1423/12/28</t>
        </is>
      </c>
    </row>
    <row r="9497">
      <c r="A9497" t="n">
        <v>14231229</v>
      </c>
      <c r="B9497" t="n">
        <v>53040</v>
      </c>
      <c r="C9497" t="inlineStr">
        <is>
          <t>1423/12/29</t>
        </is>
      </c>
    </row>
    <row r="9498">
      <c r="A9498" t="n">
        <v>14240101</v>
      </c>
      <c r="B9498" t="n">
        <v>53041</v>
      </c>
      <c r="C9498" t="inlineStr">
        <is>
          <t>1424/01/01</t>
        </is>
      </c>
    </row>
    <row r="9499">
      <c r="A9499" t="n">
        <v>14240102</v>
      </c>
      <c r="B9499" t="n">
        <v>53042</v>
      </c>
      <c r="C9499" t="inlineStr">
        <is>
          <t>1424/01/02</t>
        </is>
      </c>
    </row>
    <row r="9500">
      <c r="A9500" t="n">
        <v>14240103</v>
      </c>
      <c r="B9500" t="n">
        <v>53043</v>
      </c>
      <c r="C9500" t="inlineStr">
        <is>
          <t>1424/01/03</t>
        </is>
      </c>
    </row>
    <row r="9501">
      <c r="A9501" t="n">
        <v>14240104</v>
      </c>
      <c r="B9501" t="n">
        <v>53044</v>
      </c>
      <c r="C9501" t="inlineStr">
        <is>
          <t>1424/01/04</t>
        </is>
      </c>
    </row>
    <row r="9502">
      <c r="A9502" t="n">
        <v>14240105</v>
      </c>
      <c r="B9502" t="n">
        <v>53045</v>
      </c>
      <c r="C9502" t="inlineStr">
        <is>
          <t>1424/01/05</t>
        </is>
      </c>
    </row>
    <row r="9503">
      <c r="A9503" t="n">
        <v>14240106</v>
      </c>
      <c r="B9503" t="n">
        <v>53046</v>
      </c>
      <c r="C9503" t="inlineStr">
        <is>
          <t>1424/01/06</t>
        </is>
      </c>
    </row>
    <row r="9504">
      <c r="A9504" t="n">
        <v>14240107</v>
      </c>
      <c r="B9504" t="n">
        <v>53047</v>
      </c>
      <c r="C9504" t="inlineStr">
        <is>
          <t>1424/01/07</t>
        </is>
      </c>
    </row>
    <row r="9505">
      <c r="A9505" t="n">
        <v>14240108</v>
      </c>
      <c r="B9505" t="n">
        <v>53048</v>
      </c>
      <c r="C9505" t="inlineStr">
        <is>
          <t>1424/01/08</t>
        </is>
      </c>
    </row>
    <row r="9506">
      <c r="A9506" t="n">
        <v>14240109</v>
      </c>
      <c r="B9506" t="n">
        <v>53049</v>
      </c>
      <c r="C9506" t="inlineStr">
        <is>
          <t>1424/01/09</t>
        </is>
      </c>
    </row>
    <row r="9507">
      <c r="A9507" t="n">
        <v>14240110</v>
      </c>
      <c r="B9507" t="n">
        <v>53050</v>
      </c>
      <c r="C9507" t="inlineStr">
        <is>
          <t>1424/01/10</t>
        </is>
      </c>
    </row>
    <row r="9508">
      <c r="A9508" t="n">
        <v>14240111</v>
      </c>
      <c r="B9508" t="n">
        <v>53051</v>
      </c>
      <c r="C9508" t="inlineStr">
        <is>
          <t>1424/01/11</t>
        </is>
      </c>
    </row>
    <row r="9509">
      <c r="A9509" t="n">
        <v>14240112</v>
      </c>
      <c r="B9509" t="n">
        <v>53052</v>
      </c>
      <c r="C9509" t="inlineStr">
        <is>
          <t>1424/01/12</t>
        </is>
      </c>
    </row>
    <row r="9510">
      <c r="A9510" t="n">
        <v>14240113</v>
      </c>
      <c r="B9510" t="n">
        <v>53053</v>
      </c>
      <c r="C9510" t="inlineStr">
        <is>
          <t>1424/01/13</t>
        </is>
      </c>
    </row>
    <row r="9511">
      <c r="A9511" t="n">
        <v>14240114</v>
      </c>
      <c r="B9511" t="n">
        <v>53054</v>
      </c>
      <c r="C9511" t="inlineStr">
        <is>
          <t>1424/01/14</t>
        </is>
      </c>
    </row>
    <row r="9512">
      <c r="A9512" t="n">
        <v>14240115</v>
      </c>
      <c r="B9512" t="n">
        <v>53055</v>
      </c>
      <c r="C9512" t="inlineStr">
        <is>
          <t>1424/01/15</t>
        </is>
      </c>
    </row>
    <row r="9513">
      <c r="A9513" t="n">
        <v>14240116</v>
      </c>
      <c r="B9513" t="n">
        <v>53056</v>
      </c>
      <c r="C9513" t="inlineStr">
        <is>
          <t>1424/01/16</t>
        </is>
      </c>
    </row>
    <row r="9514">
      <c r="A9514" t="n">
        <v>14240117</v>
      </c>
      <c r="B9514" t="n">
        <v>53057</v>
      </c>
      <c r="C9514" t="inlineStr">
        <is>
          <t>1424/01/17</t>
        </is>
      </c>
    </row>
    <row r="9515">
      <c r="A9515" t="n">
        <v>14240118</v>
      </c>
      <c r="B9515" t="n">
        <v>53058</v>
      </c>
      <c r="C9515" t="inlineStr">
        <is>
          <t>1424/01/18</t>
        </is>
      </c>
    </row>
    <row r="9516">
      <c r="A9516" t="n">
        <v>14240119</v>
      </c>
      <c r="B9516" t="n">
        <v>53059</v>
      </c>
      <c r="C9516" t="inlineStr">
        <is>
          <t>1424/01/19</t>
        </is>
      </c>
    </row>
    <row r="9517">
      <c r="A9517" t="n">
        <v>14240120</v>
      </c>
      <c r="B9517" t="n">
        <v>53060</v>
      </c>
      <c r="C9517" t="inlineStr">
        <is>
          <t>1424/01/20</t>
        </is>
      </c>
    </row>
    <row r="9518">
      <c r="A9518" t="n">
        <v>14240121</v>
      </c>
      <c r="B9518" t="n">
        <v>53061</v>
      </c>
      <c r="C9518" t="inlineStr">
        <is>
          <t>1424/01/21</t>
        </is>
      </c>
    </row>
    <row r="9519">
      <c r="A9519" t="n">
        <v>14240122</v>
      </c>
      <c r="B9519" t="n">
        <v>53062</v>
      </c>
      <c r="C9519" t="inlineStr">
        <is>
          <t>1424/01/22</t>
        </is>
      </c>
    </row>
    <row r="9520">
      <c r="A9520" t="n">
        <v>14240123</v>
      </c>
      <c r="B9520" t="n">
        <v>53063</v>
      </c>
      <c r="C9520" t="inlineStr">
        <is>
          <t>1424/01/23</t>
        </is>
      </c>
    </row>
    <row r="9521">
      <c r="A9521" t="n">
        <v>14240124</v>
      </c>
      <c r="B9521" t="n">
        <v>53064</v>
      </c>
      <c r="C9521" t="inlineStr">
        <is>
          <t>1424/01/24</t>
        </is>
      </c>
    </row>
    <row r="9522">
      <c r="A9522" t="n">
        <v>14240125</v>
      </c>
      <c r="B9522" t="n">
        <v>53065</v>
      </c>
      <c r="C9522" t="inlineStr">
        <is>
          <t>1424/01/25</t>
        </is>
      </c>
    </row>
    <row r="9523">
      <c r="A9523" t="n">
        <v>14240126</v>
      </c>
      <c r="B9523" t="n">
        <v>53066</v>
      </c>
      <c r="C9523" t="inlineStr">
        <is>
          <t>1424/01/26</t>
        </is>
      </c>
    </row>
    <row r="9524">
      <c r="A9524" t="n">
        <v>14240127</v>
      </c>
      <c r="B9524" t="n">
        <v>53067</v>
      </c>
      <c r="C9524" t="inlineStr">
        <is>
          <t>1424/01/27</t>
        </is>
      </c>
    </row>
    <row r="9525">
      <c r="A9525" t="n">
        <v>14240128</v>
      </c>
      <c r="B9525" t="n">
        <v>53068</v>
      </c>
      <c r="C9525" t="inlineStr">
        <is>
          <t>1424/01/28</t>
        </is>
      </c>
    </row>
    <row r="9526">
      <c r="A9526" t="n">
        <v>14240129</v>
      </c>
      <c r="B9526" t="n">
        <v>53069</v>
      </c>
      <c r="C9526" t="inlineStr">
        <is>
          <t>1424/01/29</t>
        </is>
      </c>
    </row>
    <row r="9527">
      <c r="A9527" t="n">
        <v>14240130</v>
      </c>
      <c r="B9527" t="n">
        <v>53070</v>
      </c>
      <c r="C9527" t="inlineStr">
        <is>
          <t>1424/01/30</t>
        </is>
      </c>
    </row>
    <row r="9528">
      <c r="A9528" t="n">
        <v>14240131</v>
      </c>
      <c r="B9528" t="n">
        <v>53071</v>
      </c>
      <c r="C9528" t="inlineStr">
        <is>
          <t>1424/01/31</t>
        </is>
      </c>
    </row>
    <row r="9529">
      <c r="A9529" t="n">
        <v>14240201</v>
      </c>
      <c r="B9529" t="n">
        <v>53072</v>
      </c>
      <c r="C9529" t="inlineStr">
        <is>
          <t>1424/02/01</t>
        </is>
      </c>
    </row>
    <row r="9530">
      <c r="A9530" t="n">
        <v>14240202</v>
      </c>
      <c r="B9530" t="n">
        <v>53073</v>
      </c>
      <c r="C9530" t="inlineStr">
        <is>
          <t>1424/02/02</t>
        </is>
      </c>
    </row>
    <row r="9531">
      <c r="A9531" t="n">
        <v>14240203</v>
      </c>
      <c r="B9531" t="n">
        <v>53074</v>
      </c>
      <c r="C9531" t="inlineStr">
        <is>
          <t>1424/02/03</t>
        </is>
      </c>
    </row>
    <row r="9532">
      <c r="A9532" t="n">
        <v>14240204</v>
      </c>
      <c r="B9532" t="n">
        <v>53075</v>
      </c>
      <c r="C9532" t="inlineStr">
        <is>
          <t>1424/02/04</t>
        </is>
      </c>
    </row>
    <row r="9533">
      <c r="A9533" t="n">
        <v>14240205</v>
      </c>
      <c r="B9533" t="n">
        <v>53076</v>
      </c>
      <c r="C9533" t="inlineStr">
        <is>
          <t>1424/02/05</t>
        </is>
      </c>
    </row>
    <row r="9534">
      <c r="A9534" t="n">
        <v>14240206</v>
      </c>
      <c r="B9534" t="n">
        <v>53077</v>
      </c>
      <c r="C9534" t="inlineStr">
        <is>
          <t>1424/02/06</t>
        </is>
      </c>
    </row>
    <row r="9535">
      <c r="A9535" t="n">
        <v>14240207</v>
      </c>
      <c r="B9535" t="n">
        <v>53078</v>
      </c>
      <c r="C9535" t="inlineStr">
        <is>
          <t>1424/02/07</t>
        </is>
      </c>
    </row>
    <row r="9536">
      <c r="A9536" t="n">
        <v>14240208</v>
      </c>
      <c r="B9536" t="n">
        <v>53079</v>
      </c>
      <c r="C9536" t="inlineStr">
        <is>
          <t>1424/02/08</t>
        </is>
      </c>
    </row>
    <row r="9537">
      <c r="A9537" t="n">
        <v>14240209</v>
      </c>
      <c r="B9537" t="n">
        <v>53080</v>
      </c>
      <c r="C9537" t="inlineStr">
        <is>
          <t>1424/02/09</t>
        </is>
      </c>
    </row>
    <row r="9538">
      <c r="A9538" t="n">
        <v>14240210</v>
      </c>
      <c r="B9538" t="n">
        <v>53081</v>
      </c>
      <c r="C9538" t="inlineStr">
        <is>
          <t>1424/02/10</t>
        </is>
      </c>
    </row>
    <row r="9539">
      <c r="A9539" t="n">
        <v>14240211</v>
      </c>
      <c r="B9539" t="n">
        <v>53082</v>
      </c>
      <c r="C9539" t="inlineStr">
        <is>
          <t>1424/02/11</t>
        </is>
      </c>
    </row>
    <row r="9540">
      <c r="A9540" t="n">
        <v>14240212</v>
      </c>
      <c r="B9540" t="n">
        <v>53083</v>
      </c>
      <c r="C9540" t="inlineStr">
        <is>
          <t>1424/02/12</t>
        </is>
      </c>
    </row>
    <row r="9541">
      <c r="A9541" t="n">
        <v>14240213</v>
      </c>
      <c r="B9541" t="n">
        <v>53084</v>
      </c>
      <c r="C9541" t="inlineStr">
        <is>
          <t>1424/02/13</t>
        </is>
      </c>
    </row>
    <row r="9542">
      <c r="A9542" t="n">
        <v>14240214</v>
      </c>
      <c r="B9542" t="n">
        <v>53085</v>
      </c>
      <c r="C9542" t="inlineStr">
        <is>
          <t>1424/02/14</t>
        </is>
      </c>
    </row>
    <row r="9543">
      <c r="A9543" t="n">
        <v>14240215</v>
      </c>
      <c r="B9543" t="n">
        <v>53086</v>
      </c>
      <c r="C9543" t="inlineStr">
        <is>
          <t>1424/02/15</t>
        </is>
      </c>
    </row>
    <row r="9544">
      <c r="A9544" t="n">
        <v>14240216</v>
      </c>
      <c r="B9544" t="n">
        <v>53087</v>
      </c>
      <c r="C9544" t="inlineStr">
        <is>
          <t>1424/02/16</t>
        </is>
      </c>
    </row>
    <row r="9545">
      <c r="A9545" t="n">
        <v>14240217</v>
      </c>
      <c r="B9545" t="n">
        <v>53088</v>
      </c>
      <c r="C9545" t="inlineStr">
        <is>
          <t>1424/02/17</t>
        </is>
      </c>
    </row>
    <row r="9546">
      <c r="A9546" t="n">
        <v>14240218</v>
      </c>
      <c r="B9546" t="n">
        <v>53089</v>
      </c>
      <c r="C9546" t="inlineStr">
        <is>
          <t>1424/02/18</t>
        </is>
      </c>
    </row>
    <row r="9547">
      <c r="A9547" t="n">
        <v>14240219</v>
      </c>
      <c r="B9547" t="n">
        <v>53090</v>
      </c>
      <c r="C9547" t="inlineStr">
        <is>
          <t>1424/02/19</t>
        </is>
      </c>
    </row>
    <row r="9548">
      <c r="A9548" t="n">
        <v>14240220</v>
      </c>
      <c r="B9548" t="n">
        <v>53091</v>
      </c>
      <c r="C9548" t="inlineStr">
        <is>
          <t>1424/02/20</t>
        </is>
      </c>
    </row>
    <row r="9549">
      <c r="A9549" t="n">
        <v>14240221</v>
      </c>
      <c r="B9549" t="n">
        <v>53092</v>
      </c>
      <c r="C9549" t="inlineStr">
        <is>
          <t>1424/02/21</t>
        </is>
      </c>
    </row>
    <row r="9550">
      <c r="A9550" t="n">
        <v>14240222</v>
      </c>
      <c r="B9550" t="n">
        <v>53093</v>
      </c>
      <c r="C9550" t="inlineStr">
        <is>
          <t>1424/02/22</t>
        </is>
      </c>
    </row>
    <row r="9551">
      <c r="A9551" t="n">
        <v>14240223</v>
      </c>
      <c r="B9551" t="n">
        <v>53094</v>
      </c>
      <c r="C9551" t="inlineStr">
        <is>
          <t>1424/02/23</t>
        </is>
      </c>
    </row>
    <row r="9552">
      <c r="A9552" t="n">
        <v>14240224</v>
      </c>
      <c r="B9552" t="n">
        <v>53095</v>
      </c>
      <c r="C9552" t="inlineStr">
        <is>
          <t>1424/02/24</t>
        </is>
      </c>
    </row>
    <row r="9553">
      <c r="A9553" t="n">
        <v>14240225</v>
      </c>
      <c r="B9553" t="n">
        <v>53096</v>
      </c>
      <c r="C9553" t="inlineStr">
        <is>
          <t>1424/02/25</t>
        </is>
      </c>
    </row>
    <row r="9554">
      <c r="A9554" t="n">
        <v>14240226</v>
      </c>
      <c r="B9554" t="n">
        <v>53097</v>
      </c>
      <c r="C9554" t="inlineStr">
        <is>
          <t>1424/02/26</t>
        </is>
      </c>
    </row>
    <row r="9555">
      <c r="A9555" t="n">
        <v>14240227</v>
      </c>
      <c r="B9555" t="n">
        <v>53098</v>
      </c>
      <c r="C9555" t="inlineStr">
        <is>
          <t>1424/02/27</t>
        </is>
      </c>
    </row>
    <row r="9556">
      <c r="A9556" t="n">
        <v>14240228</v>
      </c>
      <c r="B9556" t="n">
        <v>53099</v>
      </c>
      <c r="C9556" t="inlineStr">
        <is>
          <t>1424/02/28</t>
        </is>
      </c>
    </row>
    <row r="9557">
      <c r="A9557" t="n">
        <v>14240229</v>
      </c>
      <c r="B9557" t="n">
        <v>53100</v>
      </c>
      <c r="C9557" t="inlineStr">
        <is>
          <t>1424/02/29</t>
        </is>
      </c>
    </row>
    <row r="9558">
      <c r="A9558" t="n">
        <v>14240230</v>
      </c>
      <c r="B9558" t="n">
        <v>53101</v>
      </c>
      <c r="C9558" t="inlineStr">
        <is>
          <t>1424/02/30</t>
        </is>
      </c>
    </row>
    <row r="9559">
      <c r="A9559" t="n">
        <v>14240231</v>
      </c>
      <c r="B9559" t="n">
        <v>53102</v>
      </c>
      <c r="C9559" t="inlineStr">
        <is>
          <t>1424/02/31</t>
        </is>
      </c>
    </row>
    <row r="9560">
      <c r="A9560" t="n">
        <v>14240301</v>
      </c>
      <c r="B9560" t="n">
        <v>53103</v>
      </c>
      <c r="C9560" t="inlineStr">
        <is>
          <t>1424/03/01</t>
        </is>
      </c>
    </row>
    <row r="9561">
      <c r="A9561" t="n">
        <v>14240302</v>
      </c>
      <c r="B9561" t="n">
        <v>53104</v>
      </c>
      <c r="C9561" t="inlineStr">
        <is>
          <t>1424/03/02</t>
        </is>
      </c>
    </row>
    <row r="9562">
      <c r="A9562" t="n">
        <v>14240303</v>
      </c>
      <c r="B9562" t="n">
        <v>53105</v>
      </c>
      <c r="C9562" t="inlineStr">
        <is>
          <t>1424/03/03</t>
        </is>
      </c>
    </row>
    <row r="9563">
      <c r="A9563" t="n">
        <v>14240304</v>
      </c>
      <c r="B9563" t="n">
        <v>53106</v>
      </c>
      <c r="C9563" t="inlineStr">
        <is>
          <t>1424/03/04</t>
        </is>
      </c>
    </row>
    <row r="9564">
      <c r="A9564" t="n">
        <v>14240305</v>
      </c>
      <c r="B9564" t="n">
        <v>53107</v>
      </c>
      <c r="C9564" t="inlineStr">
        <is>
          <t>1424/03/05</t>
        </is>
      </c>
    </row>
    <row r="9565">
      <c r="A9565" t="n">
        <v>14240306</v>
      </c>
      <c r="B9565" t="n">
        <v>53108</v>
      </c>
      <c r="C9565" t="inlineStr">
        <is>
          <t>1424/03/06</t>
        </is>
      </c>
    </row>
    <row r="9566">
      <c r="A9566" t="n">
        <v>14240307</v>
      </c>
      <c r="B9566" t="n">
        <v>53109</v>
      </c>
      <c r="C9566" t="inlineStr">
        <is>
          <t>1424/03/07</t>
        </is>
      </c>
    </row>
    <row r="9567">
      <c r="A9567" t="n">
        <v>14240308</v>
      </c>
      <c r="B9567" t="n">
        <v>53110</v>
      </c>
      <c r="C9567" t="inlineStr">
        <is>
          <t>1424/03/08</t>
        </is>
      </c>
    </row>
    <row r="9568">
      <c r="A9568" t="n">
        <v>14240309</v>
      </c>
      <c r="B9568" t="n">
        <v>53111</v>
      </c>
      <c r="C9568" t="inlineStr">
        <is>
          <t>1424/03/09</t>
        </is>
      </c>
    </row>
    <row r="9569">
      <c r="A9569" t="n">
        <v>14240310</v>
      </c>
      <c r="B9569" t="n">
        <v>53112</v>
      </c>
      <c r="C9569" t="inlineStr">
        <is>
          <t>1424/03/10</t>
        </is>
      </c>
    </row>
    <row r="9570">
      <c r="A9570" t="n">
        <v>14240311</v>
      </c>
      <c r="B9570" t="n">
        <v>53113</v>
      </c>
      <c r="C9570" t="inlineStr">
        <is>
          <t>1424/03/11</t>
        </is>
      </c>
    </row>
    <row r="9571">
      <c r="A9571" t="n">
        <v>14240312</v>
      </c>
      <c r="B9571" t="n">
        <v>53114</v>
      </c>
      <c r="C9571" t="inlineStr">
        <is>
          <t>1424/03/12</t>
        </is>
      </c>
    </row>
    <row r="9572">
      <c r="A9572" t="n">
        <v>14240313</v>
      </c>
      <c r="B9572" t="n">
        <v>53115</v>
      </c>
      <c r="C9572" t="inlineStr">
        <is>
          <t>1424/03/13</t>
        </is>
      </c>
    </row>
    <row r="9573">
      <c r="A9573" t="n">
        <v>14240314</v>
      </c>
      <c r="B9573" t="n">
        <v>53116</v>
      </c>
      <c r="C9573" t="inlineStr">
        <is>
          <t>1424/03/14</t>
        </is>
      </c>
    </row>
    <row r="9574">
      <c r="A9574" t="n">
        <v>14240315</v>
      </c>
      <c r="B9574" t="n">
        <v>53117</v>
      </c>
      <c r="C9574" t="inlineStr">
        <is>
          <t>1424/03/15</t>
        </is>
      </c>
    </row>
    <row r="9575">
      <c r="A9575" t="n">
        <v>14240316</v>
      </c>
      <c r="B9575" t="n">
        <v>53118</v>
      </c>
      <c r="C9575" t="inlineStr">
        <is>
          <t>1424/03/16</t>
        </is>
      </c>
    </row>
    <row r="9576">
      <c r="A9576" t="n">
        <v>14240317</v>
      </c>
      <c r="B9576" t="n">
        <v>53119</v>
      </c>
      <c r="C9576" t="inlineStr">
        <is>
          <t>1424/03/17</t>
        </is>
      </c>
    </row>
    <row r="9577">
      <c r="A9577" t="n">
        <v>14240318</v>
      </c>
      <c r="B9577" t="n">
        <v>53120</v>
      </c>
      <c r="C9577" t="inlineStr">
        <is>
          <t>1424/03/18</t>
        </is>
      </c>
    </row>
    <row r="9578">
      <c r="A9578" t="n">
        <v>14240319</v>
      </c>
      <c r="B9578" t="n">
        <v>53121</v>
      </c>
      <c r="C9578" t="inlineStr">
        <is>
          <t>1424/03/19</t>
        </is>
      </c>
    </row>
    <row r="9579">
      <c r="A9579" t="n">
        <v>14240320</v>
      </c>
      <c r="B9579" t="n">
        <v>53122</v>
      </c>
      <c r="C9579" t="inlineStr">
        <is>
          <t>1424/03/20</t>
        </is>
      </c>
    </row>
    <row r="9580">
      <c r="A9580" t="n">
        <v>14240321</v>
      </c>
      <c r="B9580" t="n">
        <v>53123</v>
      </c>
      <c r="C9580" t="inlineStr">
        <is>
          <t>1424/03/21</t>
        </is>
      </c>
    </row>
    <row r="9581">
      <c r="A9581" t="n">
        <v>14240322</v>
      </c>
      <c r="B9581" t="n">
        <v>53124</v>
      </c>
      <c r="C9581" t="inlineStr">
        <is>
          <t>1424/03/22</t>
        </is>
      </c>
    </row>
    <row r="9582">
      <c r="A9582" t="n">
        <v>14240323</v>
      </c>
      <c r="B9582" t="n">
        <v>53125</v>
      </c>
      <c r="C9582" t="inlineStr">
        <is>
          <t>1424/03/23</t>
        </is>
      </c>
    </row>
    <row r="9583">
      <c r="A9583" t="n">
        <v>14240324</v>
      </c>
      <c r="B9583" t="n">
        <v>53126</v>
      </c>
      <c r="C9583" t="inlineStr">
        <is>
          <t>1424/03/24</t>
        </is>
      </c>
    </row>
    <row r="9584">
      <c r="A9584" t="n">
        <v>14240325</v>
      </c>
      <c r="B9584" t="n">
        <v>53127</v>
      </c>
      <c r="C9584" t="inlineStr">
        <is>
          <t>1424/03/25</t>
        </is>
      </c>
    </row>
    <row r="9585">
      <c r="A9585" t="n">
        <v>14240326</v>
      </c>
      <c r="B9585" t="n">
        <v>53128</v>
      </c>
      <c r="C9585" t="inlineStr">
        <is>
          <t>1424/03/26</t>
        </is>
      </c>
    </row>
    <row r="9586">
      <c r="A9586" t="n">
        <v>14240327</v>
      </c>
      <c r="B9586" t="n">
        <v>53129</v>
      </c>
      <c r="C9586" t="inlineStr">
        <is>
          <t>1424/03/27</t>
        </is>
      </c>
    </row>
    <row r="9587">
      <c r="A9587" t="n">
        <v>14240328</v>
      </c>
      <c r="B9587" t="n">
        <v>53130</v>
      </c>
      <c r="C9587" t="inlineStr">
        <is>
          <t>1424/03/28</t>
        </is>
      </c>
    </row>
    <row r="9588">
      <c r="A9588" t="n">
        <v>14240329</v>
      </c>
      <c r="B9588" t="n">
        <v>53131</v>
      </c>
      <c r="C9588" t="inlineStr">
        <is>
          <t>1424/03/29</t>
        </is>
      </c>
    </row>
    <row r="9589">
      <c r="A9589" t="n">
        <v>14240330</v>
      </c>
      <c r="B9589" t="n">
        <v>53132</v>
      </c>
      <c r="C9589" t="inlineStr">
        <is>
          <t>1424/03/30</t>
        </is>
      </c>
    </row>
    <row r="9590">
      <c r="A9590" t="n">
        <v>14240331</v>
      </c>
      <c r="B9590" t="n">
        <v>53133</v>
      </c>
      <c r="C9590" t="inlineStr">
        <is>
          <t>1424/03/31</t>
        </is>
      </c>
    </row>
    <row r="9591">
      <c r="A9591" t="n">
        <v>14240401</v>
      </c>
      <c r="B9591" t="n">
        <v>53134</v>
      </c>
      <c r="C9591" t="inlineStr">
        <is>
          <t>1424/04/01</t>
        </is>
      </c>
    </row>
    <row r="9592">
      <c r="A9592" t="n">
        <v>14240402</v>
      </c>
      <c r="B9592" t="n">
        <v>53135</v>
      </c>
      <c r="C9592" t="inlineStr">
        <is>
          <t>1424/04/02</t>
        </is>
      </c>
    </row>
    <row r="9593">
      <c r="A9593" t="n">
        <v>14240403</v>
      </c>
      <c r="B9593" t="n">
        <v>53136</v>
      </c>
      <c r="C9593" t="inlineStr">
        <is>
          <t>1424/04/03</t>
        </is>
      </c>
    </row>
    <row r="9594">
      <c r="A9594" t="n">
        <v>14240404</v>
      </c>
      <c r="B9594" t="n">
        <v>53137</v>
      </c>
      <c r="C9594" t="inlineStr">
        <is>
          <t>1424/04/04</t>
        </is>
      </c>
    </row>
    <row r="9595">
      <c r="A9595" t="n">
        <v>14240405</v>
      </c>
      <c r="B9595" t="n">
        <v>53138</v>
      </c>
      <c r="C9595" t="inlineStr">
        <is>
          <t>1424/04/05</t>
        </is>
      </c>
    </row>
    <row r="9596">
      <c r="A9596" t="n">
        <v>14240406</v>
      </c>
      <c r="B9596" t="n">
        <v>53139</v>
      </c>
      <c r="C9596" t="inlineStr">
        <is>
          <t>1424/04/06</t>
        </is>
      </c>
    </row>
    <row r="9597">
      <c r="A9597" t="n">
        <v>14240407</v>
      </c>
      <c r="B9597" t="n">
        <v>53140</v>
      </c>
      <c r="C9597" t="inlineStr">
        <is>
          <t>1424/04/07</t>
        </is>
      </c>
    </row>
    <row r="9598">
      <c r="A9598" t="n">
        <v>14240408</v>
      </c>
      <c r="B9598" t="n">
        <v>53141</v>
      </c>
      <c r="C9598" t="inlineStr">
        <is>
          <t>1424/04/08</t>
        </is>
      </c>
    </row>
    <row r="9599">
      <c r="A9599" t="n">
        <v>14240409</v>
      </c>
      <c r="B9599" t="n">
        <v>53142</v>
      </c>
      <c r="C9599" t="inlineStr">
        <is>
          <t>1424/04/09</t>
        </is>
      </c>
    </row>
    <row r="9600">
      <c r="A9600" t="n">
        <v>14240410</v>
      </c>
      <c r="B9600" t="n">
        <v>53143</v>
      </c>
      <c r="C9600" t="inlineStr">
        <is>
          <t>1424/04/10</t>
        </is>
      </c>
    </row>
    <row r="9601">
      <c r="A9601" t="n">
        <v>14240411</v>
      </c>
      <c r="B9601" t="n">
        <v>53144</v>
      </c>
      <c r="C9601" t="inlineStr">
        <is>
          <t>1424/04/11</t>
        </is>
      </c>
    </row>
    <row r="9602">
      <c r="A9602" t="n">
        <v>14240412</v>
      </c>
      <c r="B9602" t="n">
        <v>53145</v>
      </c>
      <c r="C9602" t="inlineStr">
        <is>
          <t>1424/04/12</t>
        </is>
      </c>
    </row>
    <row r="9603">
      <c r="A9603" t="n">
        <v>14240413</v>
      </c>
      <c r="B9603" t="n">
        <v>53146</v>
      </c>
      <c r="C9603" t="inlineStr">
        <is>
          <t>1424/04/13</t>
        </is>
      </c>
    </row>
    <row r="9604">
      <c r="A9604" t="n">
        <v>14240414</v>
      </c>
      <c r="B9604" t="n">
        <v>53147</v>
      </c>
      <c r="C9604" t="inlineStr">
        <is>
          <t>1424/04/14</t>
        </is>
      </c>
    </row>
    <row r="9605">
      <c r="A9605" t="n">
        <v>14240415</v>
      </c>
      <c r="B9605" t="n">
        <v>53148</v>
      </c>
      <c r="C9605" t="inlineStr">
        <is>
          <t>1424/04/15</t>
        </is>
      </c>
    </row>
    <row r="9606">
      <c r="A9606" t="n">
        <v>14240416</v>
      </c>
      <c r="B9606" t="n">
        <v>53149</v>
      </c>
      <c r="C9606" t="inlineStr">
        <is>
          <t>1424/04/16</t>
        </is>
      </c>
    </row>
    <row r="9607">
      <c r="A9607" t="n">
        <v>14240417</v>
      </c>
      <c r="B9607" t="n">
        <v>53150</v>
      </c>
      <c r="C9607" t="inlineStr">
        <is>
          <t>1424/04/17</t>
        </is>
      </c>
    </row>
    <row r="9608">
      <c r="A9608" t="n">
        <v>14240418</v>
      </c>
      <c r="B9608" t="n">
        <v>53151</v>
      </c>
      <c r="C9608" t="inlineStr">
        <is>
          <t>1424/04/18</t>
        </is>
      </c>
    </row>
    <row r="9609">
      <c r="A9609" t="n">
        <v>14240419</v>
      </c>
      <c r="B9609" t="n">
        <v>53152</v>
      </c>
      <c r="C9609" t="inlineStr">
        <is>
          <t>1424/04/19</t>
        </is>
      </c>
    </row>
    <row r="9610">
      <c r="A9610" t="n">
        <v>14240420</v>
      </c>
      <c r="B9610" t="n">
        <v>53153</v>
      </c>
      <c r="C9610" t="inlineStr">
        <is>
          <t>1424/04/20</t>
        </is>
      </c>
    </row>
    <row r="9611">
      <c r="A9611" t="n">
        <v>14240421</v>
      </c>
      <c r="B9611" t="n">
        <v>53154</v>
      </c>
      <c r="C9611" t="inlineStr">
        <is>
          <t>1424/04/21</t>
        </is>
      </c>
    </row>
    <row r="9612">
      <c r="A9612" t="n">
        <v>14240422</v>
      </c>
      <c r="B9612" t="n">
        <v>53155</v>
      </c>
      <c r="C9612" t="inlineStr">
        <is>
          <t>1424/04/22</t>
        </is>
      </c>
    </row>
    <row r="9613">
      <c r="A9613" t="n">
        <v>14240423</v>
      </c>
      <c r="B9613" t="n">
        <v>53156</v>
      </c>
      <c r="C9613" t="inlineStr">
        <is>
          <t>1424/04/23</t>
        </is>
      </c>
    </row>
    <row r="9614">
      <c r="A9614" t="n">
        <v>14240424</v>
      </c>
      <c r="B9614" t="n">
        <v>53157</v>
      </c>
      <c r="C9614" t="inlineStr">
        <is>
          <t>1424/04/24</t>
        </is>
      </c>
    </row>
    <row r="9615">
      <c r="A9615" t="n">
        <v>14240425</v>
      </c>
      <c r="B9615" t="n">
        <v>53158</v>
      </c>
      <c r="C9615" t="inlineStr">
        <is>
          <t>1424/04/25</t>
        </is>
      </c>
    </row>
    <row r="9616">
      <c r="A9616" t="n">
        <v>14240426</v>
      </c>
      <c r="B9616" t="n">
        <v>53159</v>
      </c>
      <c r="C9616" t="inlineStr">
        <is>
          <t>1424/04/26</t>
        </is>
      </c>
    </row>
    <row r="9617">
      <c r="A9617" t="n">
        <v>14240427</v>
      </c>
      <c r="B9617" t="n">
        <v>53160</v>
      </c>
      <c r="C9617" t="inlineStr">
        <is>
          <t>1424/04/27</t>
        </is>
      </c>
    </row>
    <row r="9618">
      <c r="A9618" t="n">
        <v>14240428</v>
      </c>
      <c r="B9618" t="n">
        <v>53161</v>
      </c>
      <c r="C9618" t="inlineStr">
        <is>
          <t>1424/04/28</t>
        </is>
      </c>
    </row>
    <row r="9619">
      <c r="A9619" t="n">
        <v>14240429</v>
      </c>
      <c r="B9619" t="n">
        <v>53162</v>
      </c>
      <c r="C9619" t="inlineStr">
        <is>
          <t>1424/04/29</t>
        </is>
      </c>
    </row>
    <row r="9620">
      <c r="A9620" t="n">
        <v>14240430</v>
      </c>
      <c r="B9620" t="n">
        <v>53163</v>
      </c>
      <c r="C9620" t="inlineStr">
        <is>
          <t>1424/04/30</t>
        </is>
      </c>
    </row>
    <row r="9621">
      <c r="A9621" t="n">
        <v>14240431</v>
      </c>
      <c r="B9621" t="n">
        <v>53164</v>
      </c>
      <c r="C9621" t="inlineStr">
        <is>
          <t>1424/04/31</t>
        </is>
      </c>
    </row>
    <row r="9622">
      <c r="A9622" t="n">
        <v>14240501</v>
      </c>
      <c r="B9622" t="n">
        <v>53165</v>
      </c>
      <c r="C9622" t="inlineStr">
        <is>
          <t>1424/05/01</t>
        </is>
      </c>
    </row>
    <row r="9623">
      <c r="A9623" t="n">
        <v>14240502</v>
      </c>
      <c r="B9623" t="n">
        <v>53166</v>
      </c>
      <c r="C9623" t="inlineStr">
        <is>
          <t>1424/05/02</t>
        </is>
      </c>
    </row>
    <row r="9624">
      <c r="A9624" t="n">
        <v>14240503</v>
      </c>
      <c r="B9624" t="n">
        <v>53167</v>
      </c>
      <c r="C9624" t="inlineStr">
        <is>
          <t>1424/05/03</t>
        </is>
      </c>
    </row>
    <row r="9625">
      <c r="A9625" t="n">
        <v>14240504</v>
      </c>
      <c r="B9625" t="n">
        <v>53168</v>
      </c>
      <c r="C9625" t="inlineStr">
        <is>
          <t>1424/05/04</t>
        </is>
      </c>
    </row>
    <row r="9626">
      <c r="A9626" t="n">
        <v>14240505</v>
      </c>
      <c r="B9626" t="n">
        <v>53169</v>
      </c>
      <c r="C9626" t="inlineStr">
        <is>
          <t>1424/05/05</t>
        </is>
      </c>
    </row>
    <row r="9627">
      <c r="A9627" t="n">
        <v>14240506</v>
      </c>
      <c r="B9627" t="n">
        <v>53170</v>
      </c>
      <c r="C9627" t="inlineStr">
        <is>
          <t>1424/05/06</t>
        </is>
      </c>
    </row>
    <row r="9628">
      <c r="A9628" t="n">
        <v>14240507</v>
      </c>
      <c r="B9628" t="n">
        <v>53171</v>
      </c>
      <c r="C9628" t="inlineStr">
        <is>
          <t>1424/05/07</t>
        </is>
      </c>
    </row>
    <row r="9629">
      <c r="A9629" t="n">
        <v>14240508</v>
      </c>
      <c r="B9629" t="n">
        <v>53172</v>
      </c>
      <c r="C9629" t="inlineStr">
        <is>
          <t>1424/05/08</t>
        </is>
      </c>
    </row>
    <row r="9630">
      <c r="A9630" t="n">
        <v>14240509</v>
      </c>
      <c r="B9630" t="n">
        <v>53173</v>
      </c>
      <c r="C9630" t="inlineStr">
        <is>
          <t>1424/05/09</t>
        </is>
      </c>
    </row>
    <row r="9631">
      <c r="A9631" t="n">
        <v>14240510</v>
      </c>
      <c r="B9631" t="n">
        <v>53174</v>
      </c>
      <c r="C9631" t="inlineStr">
        <is>
          <t>1424/05/10</t>
        </is>
      </c>
    </row>
    <row r="9632">
      <c r="A9632" t="n">
        <v>14240511</v>
      </c>
      <c r="B9632" t="n">
        <v>53175</v>
      </c>
      <c r="C9632" t="inlineStr">
        <is>
          <t>1424/05/11</t>
        </is>
      </c>
    </row>
    <row r="9633">
      <c r="A9633" t="n">
        <v>14240512</v>
      </c>
      <c r="B9633" t="n">
        <v>53176</v>
      </c>
      <c r="C9633" t="inlineStr">
        <is>
          <t>1424/05/12</t>
        </is>
      </c>
    </row>
    <row r="9634">
      <c r="A9634" t="n">
        <v>14240513</v>
      </c>
      <c r="B9634" t="n">
        <v>53177</v>
      </c>
      <c r="C9634" t="inlineStr">
        <is>
          <t>1424/05/13</t>
        </is>
      </c>
    </row>
    <row r="9635">
      <c r="A9635" t="n">
        <v>14240514</v>
      </c>
      <c r="B9635" t="n">
        <v>53178</v>
      </c>
      <c r="C9635" t="inlineStr">
        <is>
          <t>1424/05/14</t>
        </is>
      </c>
    </row>
    <row r="9636">
      <c r="A9636" t="n">
        <v>14240515</v>
      </c>
      <c r="B9636" t="n">
        <v>53179</v>
      </c>
      <c r="C9636" t="inlineStr">
        <is>
          <t>1424/05/15</t>
        </is>
      </c>
    </row>
    <row r="9637">
      <c r="A9637" t="n">
        <v>14240516</v>
      </c>
      <c r="B9637" t="n">
        <v>53180</v>
      </c>
      <c r="C9637" t="inlineStr">
        <is>
          <t>1424/05/16</t>
        </is>
      </c>
    </row>
    <row r="9638">
      <c r="A9638" t="n">
        <v>14240517</v>
      </c>
      <c r="B9638" t="n">
        <v>53181</v>
      </c>
      <c r="C9638" t="inlineStr">
        <is>
          <t>1424/05/17</t>
        </is>
      </c>
    </row>
    <row r="9639">
      <c r="A9639" t="n">
        <v>14240518</v>
      </c>
      <c r="B9639" t="n">
        <v>53182</v>
      </c>
      <c r="C9639" t="inlineStr">
        <is>
          <t>1424/05/18</t>
        </is>
      </c>
    </row>
    <row r="9640">
      <c r="A9640" t="n">
        <v>14240519</v>
      </c>
      <c r="B9640" t="n">
        <v>53183</v>
      </c>
      <c r="C9640" t="inlineStr">
        <is>
          <t>1424/05/19</t>
        </is>
      </c>
    </row>
    <row r="9641">
      <c r="A9641" t="n">
        <v>14240520</v>
      </c>
      <c r="B9641" t="n">
        <v>53184</v>
      </c>
      <c r="C9641" t="inlineStr">
        <is>
          <t>1424/05/20</t>
        </is>
      </c>
    </row>
    <row r="9642">
      <c r="A9642" t="n">
        <v>14240521</v>
      </c>
      <c r="B9642" t="n">
        <v>53185</v>
      </c>
      <c r="C9642" t="inlineStr">
        <is>
          <t>1424/05/21</t>
        </is>
      </c>
    </row>
    <row r="9643">
      <c r="A9643" t="n">
        <v>14240522</v>
      </c>
      <c r="B9643" t="n">
        <v>53186</v>
      </c>
      <c r="C9643" t="inlineStr">
        <is>
          <t>1424/05/22</t>
        </is>
      </c>
    </row>
    <row r="9644">
      <c r="A9644" t="n">
        <v>14240523</v>
      </c>
      <c r="B9644" t="n">
        <v>53187</v>
      </c>
      <c r="C9644" t="inlineStr">
        <is>
          <t>1424/05/23</t>
        </is>
      </c>
    </row>
    <row r="9645">
      <c r="A9645" t="n">
        <v>14240524</v>
      </c>
      <c r="B9645" t="n">
        <v>53188</v>
      </c>
      <c r="C9645" t="inlineStr">
        <is>
          <t>1424/05/24</t>
        </is>
      </c>
    </row>
    <row r="9646">
      <c r="A9646" t="n">
        <v>14240525</v>
      </c>
      <c r="B9646" t="n">
        <v>53189</v>
      </c>
      <c r="C9646" t="inlineStr">
        <is>
          <t>1424/05/25</t>
        </is>
      </c>
    </row>
    <row r="9647">
      <c r="A9647" t="n">
        <v>14240526</v>
      </c>
      <c r="B9647" t="n">
        <v>53190</v>
      </c>
      <c r="C9647" t="inlineStr">
        <is>
          <t>1424/05/26</t>
        </is>
      </c>
    </row>
    <row r="9648">
      <c r="A9648" t="n">
        <v>14240527</v>
      </c>
      <c r="B9648" t="n">
        <v>53191</v>
      </c>
      <c r="C9648" t="inlineStr">
        <is>
          <t>1424/05/27</t>
        </is>
      </c>
    </row>
    <row r="9649">
      <c r="A9649" t="n">
        <v>14240528</v>
      </c>
      <c r="B9649" t="n">
        <v>53192</v>
      </c>
      <c r="C9649" t="inlineStr">
        <is>
          <t>1424/05/28</t>
        </is>
      </c>
    </row>
    <row r="9650">
      <c r="A9650" t="n">
        <v>14240529</v>
      </c>
      <c r="B9650" t="n">
        <v>53193</v>
      </c>
      <c r="C9650" t="inlineStr">
        <is>
          <t>1424/05/29</t>
        </is>
      </c>
    </row>
    <row r="9651">
      <c r="A9651" t="n">
        <v>14240530</v>
      </c>
      <c r="B9651" t="n">
        <v>53194</v>
      </c>
      <c r="C9651" t="inlineStr">
        <is>
          <t>1424/05/30</t>
        </is>
      </c>
    </row>
    <row r="9652">
      <c r="A9652" t="n">
        <v>14240531</v>
      </c>
      <c r="B9652" t="n">
        <v>53195</v>
      </c>
      <c r="C9652" t="inlineStr">
        <is>
          <t>1424/05/31</t>
        </is>
      </c>
    </row>
    <row r="9653">
      <c r="A9653" t="n">
        <v>14240601</v>
      </c>
      <c r="B9653" t="n">
        <v>53196</v>
      </c>
      <c r="C9653" t="inlineStr">
        <is>
          <t>1424/06/01</t>
        </is>
      </c>
    </row>
    <row r="9654">
      <c r="A9654" t="n">
        <v>14240602</v>
      </c>
      <c r="B9654" t="n">
        <v>53197</v>
      </c>
      <c r="C9654" t="inlineStr">
        <is>
          <t>1424/06/02</t>
        </is>
      </c>
    </row>
    <row r="9655">
      <c r="A9655" t="n">
        <v>14240603</v>
      </c>
      <c r="B9655" t="n">
        <v>53198</v>
      </c>
      <c r="C9655" t="inlineStr">
        <is>
          <t>1424/06/03</t>
        </is>
      </c>
    </row>
    <row r="9656">
      <c r="A9656" t="n">
        <v>14240604</v>
      </c>
      <c r="B9656" t="n">
        <v>53199</v>
      </c>
      <c r="C9656" t="inlineStr">
        <is>
          <t>1424/06/04</t>
        </is>
      </c>
    </row>
    <row r="9657">
      <c r="A9657" t="n">
        <v>14240605</v>
      </c>
      <c r="B9657" t="n">
        <v>53200</v>
      </c>
      <c r="C9657" t="inlineStr">
        <is>
          <t>1424/06/05</t>
        </is>
      </c>
    </row>
    <row r="9658">
      <c r="A9658" t="n">
        <v>14240606</v>
      </c>
      <c r="B9658" t="n">
        <v>53201</v>
      </c>
      <c r="C9658" t="inlineStr">
        <is>
          <t>1424/06/06</t>
        </is>
      </c>
    </row>
    <row r="9659">
      <c r="A9659" t="n">
        <v>14240607</v>
      </c>
      <c r="B9659" t="n">
        <v>53202</v>
      </c>
      <c r="C9659" t="inlineStr">
        <is>
          <t>1424/06/07</t>
        </is>
      </c>
    </row>
    <row r="9660">
      <c r="A9660" t="n">
        <v>14240608</v>
      </c>
      <c r="B9660" t="n">
        <v>53203</v>
      </c>
      <c r="C9660" t="inlineStr">
        <is>
          <t>1424/06/08</t>
        </is>
      </c>
    </row>
    <row r="9661">
      <c r="A9661" t="n">
        <v>14240609</v>
      </c>
      <c r="B9661" t="n">
        <v>53204</v>
      </c>
      <c r="C9661" t="inlineStr">
        <is>
          <t>1424/06/09</t>
        </is>
      </c>
    </row>
    <row r="9662">
      <c r="A9662" t="n">
        <v>14240610</v>
      </c>
      <c r="B9662" t="n">
        <v>53205</v>
      </c>
      <c r="C9662" t="inlineStr">
        <is>
          <t>1424/06/10</t>
        </is>
      </c>
    </row>
    <row r="9663">
      <c r="A9663" t="n">
        <v>14240611</v>
      </c>
      <c r="B9663" t="n">
        <v>53206</v>
      </c>
      <c r="C9663" t="inlineStr">
        <is>
          <t>1424/06/11</t>
        </is>
      </c>
    </row>
    <row r="9664">
      <c r="A9664" t="n">
        <v>14240612</v>
      </c>
      <c r="B9664" t="n">
        <v>53207</v>
      </c>
      <c r="C9664" t="inlineStr">
        <is>
          <t>1424/06/12</t>
        </is>
      </c>
    </row>
    <row r="9665">
      <c r="A9665" t="n">
        <v>14240613</v>
      </c>
      <c r="B9665" t="n">
        <v>53208</v>
      </c>
      <c r="C9665" t="inlineStr">
        <is>
          <t>1424/06/13</t>
        </is>
      </c>
    </row>
    <row r="9666">
      <c r="A9666" t="n">
        <v>14240614</v>
      </c>
      <c r="B9666" t="n">
        <v>53209</v>
      </c>
      <c r="C9666" t="inlineStr">
        <is>
          <t>1424/06/14</t>
        </is>
      </c>
    </row>
    <row r="9667">
      <c r="A9667" t="n">
        <v>14240615</v>
      </c>
      <c r="B9667" t="n">
        <v>53210</v>
      </c>
      <c r="C9667" t="inlineStr">
        <is>
          <t>1424/06/15</t>
        </is>
      </c>
    </row>
    <row r="9668">
      <c r="A9668" t="n">
        <v>14240616</v>
      </c>
      <c r="B9668" t="n">
        <v>53211</v>
      </c>
      <c r="C9668" t="inlineStr">
        <is>
          <t>1424/06/16</t>
        </is>
      </c>
    </row>
    <row r="9669">
      <c r="A9669" t="n">
        <v>14240617</v>
      </c>
      <c r="B9669" t="n">
        <v>53212</v>
      </c>
      <c r="C9669" t="inlineStr">
        <is>
          <t>1424/06/17</t>
        </is>
      </c>
    </row>
    <row r="9670">
      <c r="A9670" t="n">
        <v>14240618</v>
      </c>
      <c r="B9670" t="n">
        <v>53213</v>
      </c>
      <c r="C9670" t="inlineStr">
        <is>
          <t>1424/06/18</t>
        </is>
      </c>
    </row>
    <row r="9671">
      <c r="A9671" t="n">
        <v>14240619</v>
      </c>
      <c r="B9671" t="n">
        <v>53214</v>
      </c>
      <c r="C9671" t="inlineStr">
        <is>
          <t>1424/06/19</t>
        </is>
      </c>
    </row>
    <row r="9672">
      <c r="A9672" t="n">
        <v>14240620</v>
      </c>
      <c r="B9672" t="n">
        <v>53215</v>
      </c>
      <c r="C9672" t="inlineStr">
        <is>
          <t>1424/06/20</t>
        </is>
      </c>
    </row>
    <row r="9673">
      <c r="A9673" t="n">
        <v>14240621</v>
      </c>
      <c r="B9673" t="n">
        <v>53216</v>
      </c>
      <c r="C9673" t="inlineStr">
        <is>
          <t>1424/06/21</t>
        </is>
      </c>
    </row>
    <row r="9674">
      <c r="A9674" t="n">
        <v>14240622</v>
      </c>
      <c r="B9674" t="n">
        <v>53217</v>
      </c>
      <c r="C9674" t="inlineStr">
        <is>
          <t>1424/06/22</t>
        </is>
      </c>
    </row>
    <row r="9675">
      <c r="A9675" t="n">
        <v>14240623</v>
      </c>
      <c r="B9675" t="n">
        <v>53218</v>
      </c>
      <c r="C9675" t="inlineStr">
        <is>
          <t>1424/06/23</t>
        </is>
      </c>
    </row>
    <row r="9676">
      <c r="A9676" t="n">
        <v>14240624</v>
      </c>
      <c r="B9676" t="n">
        <v>53219</v>
      </c>
      <c r="C9676" t="inlineStr">
        <is>
          <t>1424/06/24</t>
        </is>
      </c>
    </row>
    <row r="9677">
      <c r="A9677" t="n">
        <v>14240625</v>
      </c>
      <c r="B9677" t="n">
        <v>53220</v>
      </c>
      <c r="C9677" t="inlineStr">
        <is>
          <t>1424/06/25</t>
        </is>
      </c>
    </row>
    <row r="9678">
      <c r="A9678" t="n">
        <v>14240626</v>
      </c>
      <c r="B9678" t="n">
        <v>53221</v>
      </c>
      <c r="C9678" t="inlineStr">
        <is>
          <t>1424/06/26</t>
        </is>
      </c>
    </row>
    <row r="9679">
      <c r="A9679" t="n">
        <v>14240627</v>
      </c>
      <c r="B9679" t="n">
        <v>53222</v>
      </c>
      <c r="C9679" t="inlineStr">
        <is>
          <t>1424/06/27</t>
        </is>
      </c>
    </row>
    <row r="9680">
      <c r="A9680" t="n">
        <v>14240628</v>
      </c>
      <c r="B9680" t="n">
        <v>53223</v>
      </c>
      <c r="C9680" t="inlineStr">
        <is>
          <t>1424/06/28</t>
        </is>
      </c>
    </row>
    <row r="9681">
      <c r="A9681" t="n">
        <v>14240629</v>
      </c>
      <c r="B9681" t="n">
        <v>53224</v>
      </c>
      <c r="C9681" t="inlineStr">
        <is>
          <t>1424/06/29</t>
        </is>
      </c>
    </row>
    <row r="9682">
      <c r="A9682" t="n">
        <v>14240630</v>
      </c>
      <c r="B9682" t="n">
        <v>53225</v>
      </c>
      <c r="C9682" t="inlineStr">
        <is>
          <t>1424/06/30</t>
        </is>
      </c>
    </row>
    <row r="9683">
      <c r="A9683" t="n">
        <v>14240631</v>
      </c>
      <c r="B9683" t="n">
        <v>53226</v>
      </c>
      <c r="C9683" t="inlineStr">
        <is>
          <t>1424/06/31</t>
        </is>
      </c>
    </row>
    <row r="9684">
      <c r="A9684" t="n">
        <v>14240701</v>
      </c>
      <c r="B9684" t="n">
        <v>53227</v>
      </c>
      <c r="C9684" t="inlineStr">
        <is>
          <t>1424/07/01</t>
        </is>
      </c>
    </row>
    <row r="9685">
      <c r="A9685" t="n">
        <v>14240702</v>
      </c>
      <c r="B9685" t="n">
        <v>53228</v>
      </c>
      <c r="C9685" t="inlineStr">
        <is>
          <t>1424/07/02</t>
        </is>
      </c>
    </row>
    <row r="9686">
      <c r="A9686" t="n">
        <v>14240703</v>
      </c>
      <c r="B9686" t="n">
        <v>53229</v>
      </c>
      <c r="C9686" t="inlineStr">
        <is>
          <t>1424/07/03</t>
        </is>
      </c>
    </row>
    <row r="9687">
      <c r="A9687" t="n">
        <v>14240704</v>
      </c>
      <c r="B9687" t="n">
        <v>53230</v>
      </c>
      <c r="C9687" t="inlineStr">
        <is>
          <t>1424/07/04</t>
        </is>
      </c>
    </row>
    <row r="9688">
      <c r="A9688" t="n">
        <v>14240705</v>
      </c>
      <c r="B9688" t="n">
        <v>53231</v>
      </c>
      <c r="C9688" t="inlineStr">
        <is>
          <t>1424/07/05</t>
        </is>
      </c>
    </row>
    <row r="9689">
      <c r="A9689" t="n">
        <v>14240706</v>
      </c>
      <c r="B9689" t="n">
        <v>53232</v>
      </c>
      <c r="C9689" t="inlineStr">
        <is>
          <t>1424/07/06</t>
        </is>
      </c>
    </row>
    <row r="9690">
      <c r="A9690" t="n">
        <v>14240707</v>
      </c>
      <c r="B9690" t="n">
        <v>53233</v>
      </c>
      <c r="C9690" t="inlineStr">
        <is>
          <t>1424/07/07</t>
        </is>
      </c>
    </row>
    <row r="9691">
      <c r="A9691" t="n">
        <v>14240708</v>
      </c>
      <c r="B9691" t="n">
        <v>53234</v>
      </c>
      <c r="C9691" t="inlineStr">
        <is>
          <t>1424/07/08</t>
        </is>
      </c>
    </row>
    <row r="9692">
      <c r="A9692" t="n">
        <v>14240709</v>
      </c>
      <c r="B9692" t="n">
        <v>53235</v>
      </c>
      <c r="C9692" t="inlineStr">
        <is>
          <t>1424/07/09</t>
        </is>
      </c>
    </row>
    <row r="9693">
      <c r="A9693" t="n">
        <v>14240710</v>
      </c>
      <c r="B9693" t="n">
        <v>53236</v>
      </c>
      <c r="C9693" t="inlineStr">
        <is>
          <t>1424/07/10</t>
        </is>
      </c>
    </row>
    <row r="9694">
      <c r="A9694" t="n">
        <v>14240711</v>
      </c>
      <c r="B9694" t="n">
        <v>53237</v>
      </c>
      <c r="C9694" t="inlineStr">
        <is>
          <t>1424/07/11</t>
        </is>
      </c>
    </row>
    <row r="9695">
      <c r="A9695" t="n">
        <v>14240712</v>
      </c>
      <c r="B9695" t="n">
        <v>53238</v>
      </c>
      <c r="C9695" t="inlineStr">
        <is>
          <t>1424/07/12</t>
        </is>
      </c>
    </row>
    <row r="9696">
      <c r="A9696" t="n">
        <v>14240713</v>
      </c>
      <c r="B9696" t="n">
        <v>53239</v>
      </c>
      <c r="C9696" t="inlineStr">
        <is>
          <t>1424/07/13</t>
        </is>
      </c>
    </row>
    <row r="9697">
      <c r="A9697" t="n">
        <v>14240714</v>
      </c>
      <c r="B9697" t="n">
        <v>53240</v>
      </c>
      <c r="C9697" t="inlineStr">
        <is>
          <t>1424/07/14</t>
        </is>
      </c>
    </row>
    <row r="9698">
      <c r="A9698" t="n">
        <v>14240715</v>
      </c>
      <c r="B9698" t="n">
        <v>53241</v>
      </c>
      <c r="C9698" t="inlineStr">
        <is>
          <t>1424/07/15</t>
        </is>
      </c>
    </row>
    <row r="9699">
      <c r="A9699" t="n">
        <v>14240716</v>
      </c>
      <c r="B9699" t="n">
        <v>53242</v>
      </c>
      <c r="C9699" t="inlineStr">
        <is>
          <t>1424/07/16</t>
        </is>
      </c>
    </row>
    <row r="9700">
      <c r="A9700" t="n">
        <v>14240717</v>
      </c>
      <c r="B9700" t="n">
        <v>53243</v>
      </c>
      <c r="C9700" t="inlineStr">
        <is>
          <t>1424/07/17</t>
        </is>
      </c>
    </row>
    <row r="9701">
      <c r="A9701" t="n">
        <v>14240718</v>
      </c>
      <c r="B9701" t="n">
        <v>53244</v>
      </c>
      <c r="C9701" t="inlineStr">
        <is>
          <t>1424/07/18</t>
        </is>
      </c>
    </row>
    <row r="9702">
      <c r="A9702" t="n">
        <v>14240719</v>
      </c>
      <c r="B9702" t="n">
        <v>53245</v>
      </c>
      <c r="C9702" t="inlineStr">
        <is>
          <t>1424/07/19</t>
        </is>
      </c>
    </row>
    <row r="9703">
      <c r="A9703" t="n">
        <v>14240720</v>
      </c>
      <c r="B9703" t="n">
        <v>53246</v>
      </c>
      <c r="C9703" t="inlineStr">
        <is>
          <t>1424/07/20</t>
        </is>
      </c>
    </row>
    <row r="9704">
      <c r="A9704" t="n">
        <v>14240721</v>
      </c>
      <c r="B9704" t="n">
        <v>53247</v>
      </c>
      <c r="C9704" t="inlineStr">
        <is>
          <t>1424/07/21</t>
        </is>
      </c>
    </row>
    <row r="9705">
      <c r="A9705" t="n">
        <v>14240722</v>
      </c>
      <c r="B9705" t="n">
        <v>53248</v>
      </c>
      <c r="C9705" t="inlineStr">
        <is>
          <t>1424/07/22</t>
        </is>
      </c>
    </row>
    <row r="9706">
      <c r="A9706" t="n">
        <v>14240723</v>
      </c>
      <c r="B9706" t="n">
        <v>53249</v>
      </c>
      <c r="C9706" t="inlineStr">
        <is>
          <t>1424/07/23</t>
        </is>
      </c>
    </row>
    <row r="9707">
      <c r="A9707" t="n">
        <v>14240724</v>
      </c>
      <c r="B9707" t="n">
        <v>53250</v>
      </c>
      <c r="C9707" t="inlineStr">
        <is>
          <t>1424/07/24</t>
        </is>
      </c>
    </row>
    <row r="9708">
      <c r="A9708" t="n">
        <v>14240725</v>
      </c>
      <c r="B9708" t="n">
        <v>53251</v>
      </c>
      <c r="C9708" t="inlineStr">
        <is>
          <t>1424/07/25</t>
        </is>
      </c>
    </row>
    <row r="9709">
      <c r="A9709" t="n">
        <v>14240726</v>
      </c>
      <c r="B9709" t="n">
        <v>53252</v>
      </c>
      <c r="C9709" t="inlineStr">
        <is>
          <t>1424/07/26</t>
        </is>
      </c>
    </row>
    <row r="9710">
      <c r="A9710" t="n">
        <v>14240727</v>
      </c>
      <c r="B9710" t="n">
        <v>53253</v>
      </c>
      <c r="C9710" t="inlineStr">
        <is>
          <t>1424/07/27</t>
        </is>
      </c>
    </row>
    <row r="9711">
      <c r="A9711" t="n">
        <v>14240728</v>
      </c>
      <c r="B9711" t="n">
        <v>53254</v>
      </c>
      <c r="C9711" t="inlineStr">
        <is>
          <t>1424/07/28</t>
        </is>
      </c>
    </row>
    <row r="9712">
      <c r="A9712" t="n">
        <v>14240729</v>
      </c>
      <c r="B9712" t="n">
        <v>53255</v>
      </c>
      <c r="C9712" t="inlineStr">
        <is>
          <t>1424/07/29</t>
        </is>
      </c>
    </row>
    <row r="9713">
      <c r="A9713" t="n">
        <v>14240730</v>
      </c>
      <c r="B9713" t="n">
        <v>53256</v>
      </c>
      <c r="C9713" t="inlineStr">
        <is>
          <t>1424/07/30</t>
        </is>
      </c>
    </row>
    <row r="9714">
      <c r="A9714" t="n">
        <v>14240801</v>
      </c>
      <c r="B9714" t="n">
        <v>53257</v>
      </c>
      <c r="C9714" t="inlineStr">
        <is>
          <t>1424/08/01</t>
        </is>
      </c>
    </row>
    <row r="9715">
      <c r="A9715" t="n">
        <v>14240802</v>
      </c>
      <c r="B9715" t="n">
        <v>53258</v>
      </c>
      <c r="C9715" t="inlineStr">
        <is>
          <t>1424/08/02</t>
        </is>
      </c>
    </row>
    <row r="9716">
      <c r="A9716" t="n">
        <v>14240803</v>
      </c>
      <c r="B9716" t="n">
        <v>53259</v>
      </c>
      <c r="C9716" t="inlineStr">
        <is>
          <t>1424/08/03</t>
        </is>
      </c>
    </row>
    <row r="9717">
      <c r="A9717" t="n">
        <v>14240804</v>
      </c>
      <c r="B9717" t="n">
        <v>53260</v>
      </c>
      <c r="C9717" t="inlineStr">
        <is>
          <t>1424/08/04</t>
        </is>
      </c>
    </row>
    <row r="9718">
      <c r="A9718" t="n">
        <v>14240805</v>
      </c>
      <c r="B9718" t="n">
        <v>53261</v>
      </c>
      <c r="C9718" t="inlineStr">
        <is>
          <t>1424/08/05</t>
        </is>
      </c>
    </row>
    <row r="9719">
      <c r="A9719" t="n">
        <v>14240806</v>
      </c>
      <c r="B9719" t="n">
        <v>53262</v>
      </c>
      <c r="C9719" t="inlineStr">
        <is>
          <t>1424/08/06</t>
        </is>
      </c>
    </row>
    <row r="9720">
      <c r="A9720" t="n">
        <v>14240807</v>
      </c>
      <c r="B9720" t="n">
        <v>53263</v>
      </c>
      <c r="C9720" t="inlineStr">
        <is>
          <t>1424/08/07</t>
        </is>
      </c>
    </row>
    <row r="9721">
      <c r="A9721" t="n">
        <v>14240808</v>
      </c>
      <c r="B9721" t="n">
        <v>53264</v>
      </c>
      <c r="C9721" t="inlineStr">
        <is>
          <t>1424/08/08</t>
        </is>
      </c>
    </row>
    <row r="9722">
      <c r="A9722" t="n">
        <v>14240809</v>
      </c>
      <c r="B9722" t="n">
        <v>53265</v>
      </c>
      <c r="C9722" t="inlineStr">
        <is>
          <t>1424/08/09</t>
        </is>
      </c>
    </row>
    <row r="9723">
      <c r="A9723" t="n">
        <v>14240810</v>
      </c>
      <c r="B9723" t="n">
        <v>53266</v>
      </c>
      <c r="C9723" t="inlineStr">
        <is>
          <t>1424/08/10</t>
        </is>
      </c>
    </row>
    <row r="9724">
      <c r="A9724" t="n">
        <v>14240811</v>
      </c>
      <c r="B9724" t="n">
        <v>53267</v>
      </c>
      <c r="C9724" t="inlineStr">
        <is>
          <t>1424/08/11</t>
        </is>
      </c>
    </row>
    <row r="9725">
      <c r="A9725" t="n">
        <v>14240812</v>
      </c>
      <c r="B9725" t="n">
        <v>53268</v>
      </c>
      <c r="C9725" t="inlineStr">
        <is>
          <t>1424/08/12</t>
        </is>
      </c>
    </row>
    <row r="9726">
      <c r="A9726" t="n">
        <v>14240813</v>
      </c>
      <c r="B9726" t="n">
        <v>53269</v>
      </c>
      <c r="C9726" t="inlineStr">
        <is>
          <t>1424/08/13</t>
        </is>
      </c>
    </row>
    <row r="9727">
      <c r="A9727" t="n">
        <v>14240814</v>
      </c>
      <c r="B9727" t="n">
        <v>53270</v>
      </c>
      <c r="C9727" t="inlineStr">
        <is>
          <t>1424/08/14</t>
        </is>
      </c>
    </row>
    <row r="9728">
      <c r="A9728" t="n">
        <v>14240815</v>
      </c>
      <c r="B9728" t="n">
        <v>53271</v>
      </c>
      <c r="C9728" t="inlineStr">
        <is>
          <t>1424/08/15</t>
        </is>
      </c>
    </row>
    <row r="9729">
      <c r="A9729" t="n">
        <v>14240816</v>
      </c>
      <c r="B9729" t="n">
        <v>53272</v>
      </c>
      <c r="C9729" t="inlineStr">
        <is>
          <t>1424/08/16</t>
        </is>
      </c>
    </row>
    <row r="9730">
      <c r="A9730" t="n">
        <v>14240817</v>
      </c>
      <c r="B9730" t="n">
        <v>53273</v>
      </c>
      <c r="C9730" t="inlineStr">
        <is>
          <t>1424/08/17</t>
        </is>
      </c>
    </row>
    <row r="9731">
      <c r="A9731" t="n">
        <v>14240818</v>
      </c>
      <c r="B9731" t="n">
        <v>53274</v>
      </c>
      <c r="C9731" t="inlineStr">
        <is>
          <t>1424/08/18</t>
        </is>
      </c>
    </row>
    <row r="9732">
      <c r="A9732" t="n">
        <v>14240819</v>
      </c>
      <c r="B9732" t="n">
        <v>53275</v>
      </c>
      <c r="C9732" t="inlineStr">
        <is>
          <t>1424/08/19</t>
        </is>
      </c>
    </row>
    <row r="9733">
      <c r="A9733" t="n">
        <v>14240820</v>
      </c>
      <c r="B9733" t="n">
        <v>53276</v>
      </c>
      <c r="C9733" t="inlineStr">
        <is>
          <t>1424/08/20</t>
        </is>
      </c>
    </row>
    <row r="9734">
      <c r="A9734" t="n">
        <v>14240821</v>
      </c>
      <c r="B9734" t="n">
        <v>53277</v>
      </c>
      <c r="C9734" t="inlineStr">
        <is>
          <t>1424/08/21</t>
        </is>
      </c>
    </row>
    <row r="9735">
      <c r="A9735" t="n">
        <v>14240822</v>
      </c>
      <c r="B9735" t="n">
        <v>53278</v>
      </c>
      <c r="C9735" t="inlineStr">
        <is>
          <t>1424/08/22</t>
        </is>
      </c>
    </row>
    <row r="9736">
      <c r="A9736" t="n">
        <v>14240823</v>
      </c>
      <c r="B9736" t="n">
        <v>53279</v>
      </c>
      <c r="C9736" t="inlineStr">
        <is>
          <t>1424/08/23</t>
        </is>
      </c>
    </row>
    <row r="9737">
      <c r="A9737" t="n">
        <v>14240824</v>
      </c>
      <c r="B9737" t="n">
        <v>53280</v>
      </c>
      <c r="C9737" t="inlineStr">
        <is>
          <t>1424/08/24</t>
        </is>
      </c>
    </row>
    <row r="9738">
      <c r="A9738" t="n">
        <v>14240825</v>
      </c>
      <c r="B9738" t="n">
        <v>53281</v>
      </c>
      <c r="C9738" t="inlineStr">
        <is>
          <t>1424/08/25</t>
        </is>
      </c>
    </row>
    <row r="9739">
      <c r="A9739" t="n">
        <v>14240826</v>
      </c>
      <c r="B9739" t="n">
        <v>53282</v>
      </c>
      <c r="C9739" t="inlineStr">
        <is>
          <t>1424/08/26</t>
        </is>
      </c>
    </row>
    <row r="9740">
      <c r="A9740" t="n">
        <v>14240827</v>
      </c>
      <c r="B9740" t="n">
        <v>53283</v>
      </c>
      <c r="C9740" t="inlineStr">
        <is>
          <t>1424/08/27</t>
        </is>
      </c>
    </row>
    <row r="9741">
      <c r="A9741" t="n">
        <v>14240828</v>
      </c>
      <c r="B9741" t="n">
        <v>53284</v>
      </c>
      <c r="C9741" t="inlineStr">
        <is>
          <t>1424/08/28</t>
        </is>
      </c>
    </row>
    <row r="9742">
      <c r="A9742" t="n">
        <v>14240829</v>
      </c>
      <c r="B9742" t="n">
        <v>53285</v>
      </c>
      <c r="C9742" t="inlineStr">
        <is>
          <t>1424/08/29</t>
        </is>
      </c>
    </row>
    <row r="9743">
      <c r="A9743" t="n">
        <v>14240830</v>
      </c>
      <c r="B9743" t="n">
        <v>53286</v>
      </c>
      <c r="C9743" t="inlineStr">
        <is>
          <t>1424/08/30</t>
        </is>
      </c>
    </row>
    <row r="9744">
      <c r="A9744" t="n">
        <v>14240901</v>
      </c>
      <c r="B9744" t="n">
        <v>53287</v>
      </c>
      <c r="C9744" t="inlineStr">
        <is>
          <t>1424/09/01</t>
        </is>
      </c>
    </row>
    <row r="9745">
      <c r="A9745" t="n">
        <v>14240902</v>
      </c>
      <c r="B9745" t="n">
        <v>53288</v>
      </c>
      <c r="C9745" t="inlineStr">
        <is>
          <t>1424/09/02</t>
        </is>
      </c>
    </row>
    <row r="9746">
      <c r="A9746" t="n">
        <v>14240903</v>
      </c>
      <c r="B9746" t="n">
        <v>53289</v>
      </c>
      <c r="C9746" t="inlineStr">
        <is>
          <t>1424/09/03</t>
        </is>
      </c>
    </row>
    <row r="9747">
      <c r="A9747" t="n">
        <v>14240904</v>
      </c>
      <c r="B9747" t="n">
        <v>53290</v>
      </c>
      <c r="C9747" t="inlineStr">
        <is>
          <t>1424/09/04</t>
        </is>
      </c>
    </row>
    <row r="9748">
      <c r="A9748" t="n">
        <v>14240905</v>
      </c>
      <c r="B9748" t="n">
        <v>53291</v>
      </c>
      <c r="C9748" t="inlineStr">
        <is>
          <t>1424/09/05</t>
        </is>
      </c>
    </row>
    <row r="9749">
      <c r="A9749" t="n">
        <v>14240906</v>
      </c>
      <c r="B9749" t="n">
        <v>53292</v>
      </c>
      <c r="C9749" t="inlineStr">
        <is>
          <t>1424/09/06</t>
        </is>
      </c>
    </row>
    <row r="9750">
      <c r="A9750" t="n">
        <v>14240907</v>
      </c>
      <c r="B9750" t="n">
        <v>53293</v>
      </c>
      <c r="C9750" t="inlineStr">
        <is>
          <t>1424/09/07</t>
        </is>
      </c>
    </row>
    <row r="9751">
      <c r="A9751" t="n">
        <v>14240908</v>
      </c>
      <c r="B9751" t="n">
        <v>53294</v>
      </c>
      <c r="C9751" t="inlineStr">
        <is>
          <t>1424/09/08</t>
        </is>
      </c>
    </row>
    <row r="9752">
      <c r="A9752" t="n">
        <v>14240909</v>
      </c>
      <c r="B9752" t="n">
        <v>53295</v>
      </c>
      <c r="C9752" t="inlineStr">
        <is>
          <t>1424/09/09</t>
        </is>
      </c>
    </row>
    <row r="9753">
      <c r="A9753" t="n">
        <v>14240910</v>
      </c>
      <c r="B9753" t="n">
        <v>53296</v>
      </c>
      <c r="C9753" t="inlineStr">
        <is>
          <t>1424/09/10</t>
        </is>
      </c>
    </row>
    <row r="9754">
      <c r="A9754" t="n">
        <v>14240911</v>
      </c>
      <c r="B9754" t="n">
        <v>53297</v>
      </c>
      <c r="C9754" t="inlineStr">
        <is>
          <t>1424/09/11</t>
        </is>
      </c>
    </row>
    <row r="9755">
      <c r="A9755" t="n">
        <v>14240912</v>
      </c>
      <c r="B9755" t="n">
        <v>53298</v>
      </c>
      <c r="C9755" t="inlineStr">
        <is>
          <t>1424/09/12</t>
        </is>
      </c>
    </row>
    <row r="9756">
      <c r="A9756" t="n">
        <v>14240913</v>
      </c>
      <c r="B9756" t="n">
        <v>53299</v>
      </c>
      <c r="C9756" t="inlineStr">
        <is>
          <t>1424/09/13</t>
        </is>
      </c>
    </row>
    <row r="9757">
      <c r="A9757" t="n">
        <v>14240914</v>
      </c>
      <c r="B9757" t="n">
        <v>53300</v>
      </c>
      <c r="C9757" t="inlineStr">
        <is>
          <t>1424/09/14</t>
        </is>
      </c>
    </row>
    <row r="9758">
      <c r="A9758" t="n">
        <v>14240915</v>
      </c>
      <c r="B9758" t="n">
        <v>53301</v>
      </c>
      <c r="C9758" t="inlineStr">
        <is>
          <t>1424/09/15</t>
        </is>
      </c>
    </row>
    <row r="9759">
      <c r="A9759" t="n">
        <v>14240916</v>
      </c>
      <c r="B9759" t="n">
        <v>53302</v>
      </c>
      <c r="C9759" t="inlineStr">
        <is>
          <t>1424/09/16</t>
        </is>
      </c>
    </row>
    <row r="9760">
      <c r="A9760" t="n">
        <v>14240917</v>
      </c>
      <c r="B9760" t="n">
        <v>53303</v>
      </c>
      <c r="C9760" t="inlineStr">
        <is>
          <t>1424/09/17</t>
        </is>
      </c>
    </row>
    <row r="9761">
      <c r="A9761" t="n">
        <v>14240918</v>
      </c>
      <c r="B9761" t="n">
        <v>53304</v>
      </c>
      <c r="C9761" t="inlineStr">
        <is>
          <t>1424/09/18</t>
        </is>
      </c>
    </row>
    <row r="9762">
      <c r="A9762" t="n">
        <v>14240919</v>
      </c>
      <c r="B9762" t="n">
        <v>53305</v>
      </c>
      <c r="C9762" t="inlineStr">
        <is>
          <t>1424/09/19</t>
        </is>
      </c>
    </row>
    <row r="9763">
      <c r="A9763" t="n">
        <v>14240920</v>
      </c>
      <c r="B9763" t="n">
        <v>53306</v>
      </c>
      <c r="C9763" t="inlineStr">
        <is>
          <t>1424/09/20</t>
        </is>
      </c>
    </row>
    <row r="9764">
      <c r="A9764" t="n">
        <v>14240921</v>
      </c>
      <c r="B9764" t="n">
        <v>53307</v>
      </c>
      <c r="C9764" t="inlineStr">
        <is>
          <t>1424/09/21</t>
        </is>
      </c>
    </row>
    <row r="9765">
      <c r="A9765" t="n">
        <v>14240922</v>
      </c>
      <c r="B9765" t="n">
        <v>53308</v>
      </c>
      <c r="C9765" t="inlineStr">
        <is>
          <t>1424/09/22</t>
        </is>
      </c>
    </row>
    <row r="9766">
      <c r="A9766" t="n">
        <v>14240923</v>
      </c>
      <c r="B9766" t="n">
        <v>53309</v>
      </c>
      <c r="C9766" t="inlineStr">
        <is>
          <t>1424/09/23</t>
        </is>
      </c>
    </row>
    <row r="9767">
      <c r="A9767" t="n">
        <v>14240924</v>
      </c>
      <c r="B9767" t="n">
        <v>53310</v>
      </c>
      <c r="C9767" t="inlineStr">
        <is>
          <t>1424/09/24</t>
        </is>
      </c>
    </row>
    <row r="9768">
      <c r="A9768" t="n">
        <v>14240925</v>
      </c>
      <c r="B9768" t="n">
        <v>53311</v>
      </c>
      <c r="C9768" t="inlineStr">
        <is>
          <t>1424/09/25</t>
        </is>
      </c>
    </row>
    <row r="9769">
      <c r="A9769" t="n">
        <v>14240926</v>
      </c>
      <c r="B9769" t="n">
        <v>53312</v>
      </c>
      <c r="C9769" t="inlineStr">
        <is>
          <t>1424/09/26</t>
        </is>
      </c>
    </row>
    <row r="9770">
      <c r="A9770" t="n">
        <v>14240927</v>
      </c>
      <c r="B9770" t="n">
        <v>53313</v>
      </c>
      <c r="C9770" t="inlineStr">
        <is>
          <t>1424/09/27</t>
        </is>
      </c>
    </row>
    <row r="9771">
      <c r="A9771" t="n">
        <v>14240928</v>
      </c>
      <c r="B9771" t="n">
        <v>53314</v>
      </c>
      <c r="C9771" t="inlineStr">
        <is>
          <t>1424/09/28</t>
        </is>
      </c>
    </row>
    <row r="9772">
      <c r="A9772" t="n">
        <v>14240929</v>
      </c>
      <c r="B9772" t="n">
        <v>53315</v>
      </c>
      <c r="C9772" t="inlineStr">
        <is>
          <t>1424/09/29</t>
        </is>
      </c>
    </row>
    <row r="9773">
      <c r="A9773" t="n">
        <v>14240930</v>
      </c>
      <c r="B9773" t="n">
        <v>53316</v>
      </c>
      <c r="C9773" t="inlineStr">
        <is>
          <t>1424/09/30</t>
        </is>
      </c>
    </row>
    <row r="9774">
      <c r="A9774" t="n">
        <v>14241001</v>
      </c>
      <c r="B9774" t="n">
        <v>53317</v>
      </c>
      <c r="C9774" t="inlineStr">
        <is>
          <t>1424/10/01</t>
        </is>
      </c>
    </row>
    <row r="9775">
      <c r="A9775" t="n">
        <v>14241002</v>
      </c>
      <c r="B9775" t="n">
        <v>53318</v>
      </c>
      <c r="C9775" t="inlineStr">
        <is>
          <t>1424/10/02</t>
        </is>
      </c>
    </row>
    <row r="9776">
      <c r="A9776" t="n">
        <v>14241003</v>
      </c>
      <c r="B9776" t="n">
        <v>53319</v>
      </c>
      <c r="C9776" t="inlineStr">
        <is>
          <t>1424/10/03</t>
        </is>
      </c>
    </row>
    <row r="9777">
      <c r="A9777" t="n">
        <v>14241004</v>
      </c>
      <c r="B9777" t="n">
        <v>53320</v>
      </c>
      <c r="C9777" t="inlineStr">
        <is>
          <t>1424/10/04</t>
        </is>
      </c>
    </row>
    <row r="9778">
      <c r="A9778" t="n">
        <v>14241005</v>
      </c>
      <c r="B9778" t="n">
        <v>53321</v>
      </c>
      <c r="C9778" t="inlineStr">
        <is>
          <t>1424/10/05</t>
        </is>
      </c>
    </row>
    <row r="9779">
      <c r="A9779" t="n">
        <v>14241006</v>
      </c>
      <c r="B9779" t="n">
        <v>53322</v>
      </c>
      <c r="C9779" t="inlineStr">
        <is>
          <t>1424/10/06</t>
        </is>
      </c>
    </row>
    <row r="9780">
      <c r="A9780" t="n">
        <v>14241007</v>
      </c>
      <c r="B9780" t="n">
        <v>53323</v>
      </c>
      <c r="C9780" t="inlineStr">
        <is>
          <t>1424/10/07</t>
        </is>
      </c>
    </row>
    <row r="9781">
      <c r="A9781" t="n">
        <v>14241008</v>
      </c>
      <c r="B9781" t="n">
        <v>53324</v>
      </c>
      <c r="C9781" t="inlineStr">
        <is>
          <t>1424/10/08</t>
        </is>
      </c>
    </row>
    <row r="9782">
      <c r="A9782" t="n">
        <v>14241009</v>
      </c>
      <c r="B9782" t="n">
        <v>53325</v>
      </c>
      <c r="C9782" t="inlineStr">
        <is>
          <t>1424/10/09</t>
        </is>
      </c>
    </row>
    <row r="9783">
      <c r="A9783" t="n">
        <v>14241010</v>
      </c>
      <c r="B9783" t="n">
        <v>53326</v>
      </c>
      <c r="C9783" t="inlineStr">
        <is>
          <t>1424/10/10</t>
        </is>
      </c>
    </row>
    <row r="9784">
      <c r="A9784" t="n">
        <v>14241011</v>
      </c>
      <c r="B9784" t="n">
        <v>53327</v>
      </c>
      <c r="C9784" t="inlineStr">
        <is>
          <t>1424/10/11</t>
        </is>
      </c>
    </row>
    <row r="9785">
      <c r="A9785" t="n">
        <v>14241012</v>
      </c>
      <c r="B9785" t="n">
        <v>53328</v>
      </c>
      <c r="C9785" t="inlineStr">
        <is>
          <t>1424/10/12</t>
        </is>
      </c>
    </row>
    <row r="9786">
      <c r="A9786" t="n">
        <v>14241013</v>
      </c>
      <c r="B9786" t="n">
        <v>53329</v>
      </c>
      <c r="C9786" t="inlineStr">
        <is>
          <t>1424/10/13</t>
        </is>
      </c>
    </row>
    <row r="9787">
      <c r="A9787" t="n">
        <v>14241014</v>
      </c>
      <c r="B9787" t="n">
        <v>53330</v>
      </c>
      <c r="C9787" t="inlineStr">
        <is>
          <t>1424/10/14</t>
        </is>
      </c>
    </row>
    <row r="9788">
      <c r="A9788" t="n">
        <v>14241015</v>
      </c>
      <c r="B9788" t="n">
        <v>53331</v>
      </c>
      <c r="C9788" t="inlineStr">
        <is>
          <t>1424/10/15</t>
        </is>
      </c>
    </row>
    <row r="9789">
      <c r="A9789" t="n">
        <v>14241016</v>
      </c>
      <c r="B9789" t="n">
        <v>53332</v>
      </c>
      <c r="C9789" t="inlineStr">
        <is>
          <t>1424/10/16</t>
        </is>
      </c>
    </row>
    <row r="9790">
      <c r="A9790" t="n">
        <v>14241017</v>
      </c>
      <c r="B9790" t="n">
        <v>53333</v>
      </c>
      <c r="C9790" t="inlineStr">
        <is>
          <t>1424/10/17</t>
        </is>
      </c>
    </row>
    <row r="9791">
      <c r="A9791" t="n">
        <v>14241018</v>
      </c>
      <c r="B9791" t="n">
        <v>53334</v>
      </c>
      <c r="C9791" t="inlineStr">
        <is>
          <t>1424/10/18</t>
        </is>
      </c>
    </row>
    <row r="9792">
      <c r="A9792" t="n">
        <v>14241019</v>
      </c>
      <c r="B9792" t="n">
        <v>53335</v>
      </c>
      <c r="C9792" t="inlineStr">
        <is>
          <t>1424/10/19</t>
        </is>
      </c>
    </row>
    <row r="9793">
      <c r="A9793" t="n">
        <v>14241020</v>
      </c>
      <c r="B9793" t="n">
        <v>53336</v>
      </c>
      <c r="C9793" t="inlineStr">
        <is>
          <t>1424/10/20</t>
        </is>
      </c>
    </row>
    <row r="9794">
      <c r="A9794" t="n">
        <v>14241021</v>
      </c>
      <c r="B9794" t="n">
        <v>53337</v>
      </c>
      <c r="C9794" t="inlineStr">
        <is>
          <t>1424/10/21</t>
        </is>
      </c>
    </row>
    <row r="9795">
      <c r="A9795" t="n">
        <v>14241022</v>
      </c>
      <c r="B9795" t="n">
        <v>53338</v>
      </c>
      <c r="C9795" t="inlineStr">
        <is>
          <t>1424/10/22</t>
        </is>
      </c>
    </row>
    <row r="9796">
      <c r="A9796" t="n">
        <v>14241023</v>
      </c>
      <c r="B9796" t="n">
        <v>53339</v>
      </c>
      <c r="C9796" t="inlineStr">
        <is>
          <t>1424/10/23</t>
        </is>
      </c>
    </row>
    <row r="9797">
      <c r="A9797" t="n">
        <v>14241024</v>
      </c>
      <c r="B9797" t="n">
        <v>53340</v>
      </c>
      <c r="C9797" t="inlineStr">
        <is>
          <t>1424/10/24</t>
        </is>
      </c>
    </row>
    <row r="9798">
      <c r="A9798" t="n">
        <v>14241025</v>
      </c>
      <c r="B9798" t="n">
        <v>53341</v>
      </c>
      <c r="C9798" t="inlineStr">
        <is>
          <t>1424/10/25</t>
        </is>
      </c>
    </row>
    <row r="9799">
      <c r="A9799" t="n">
        <v>14241026</v>
      </c>
      <c r="B9799" t="n">
        <v>53342</v>
      </c>
      <c r="C9799" t="inlineStr">
        <is>
          <t>1424/10/26</t>
        </is>
      </c>
    </row>
    <row r="9800">
      <c r="A9800" t="n">
        <v>14241027</v>
      </c>
      <c r="B9800" t="n">
        <v>53343</v>
      </c>
      <c r="C9800" t="inlineStr">
        <is>
          <t>1424/10/27</t>
        </is>
      </c>
    </row>
    <row r="9801">
      <c r="A9801" t="n">
        <v>14241028</v>
      </c>
      <c r="B9801" t="n">
        <v>53344</v>
      </c>
      <c r="C9801" t="inlineStr">
        <is>
          <t>1424/10/28</t>
        </is>
      </c>
    </row>
    <row r="9802">
      <c r="A9802" t="n">
        <v>14241029</v>
      </c>
      <c r="B9802" t="n">
        <v>53345</v>
      </c>
      <c r="C9802" t="inlineStr">
        <is>
          <t>1424/10/29</t>
        </is>
      </c>
    </row>
    <row r="9803">
      <c r="A9803" t="n">
        <v>14241030</v>
      </c>
      <c r="B9803" t="n">
        <v>53346</v>
      </c>
      <c r="C9803" t="inlineStr">
        <is>
          <t>1424/10/30</t>
        </is>
      </c>
    </row>
    <row r="9804">
      <c r="A9804" t="n">
        <v>14241101</v>
      </c>
      <c r="B9804" t="n">
        <v>53347</v>
      </c>
      <c r="C9804" t="inlineStr">
        <is>
          <t>1424/11/01</t>
        </is>
      </c>
    </row>
    <row r="9805">
      <c r="A9805" t="n">
        <v>14241102</v>
      </c>
      <c r="B9805" t="n">
        <v>53348</v>
      </c>
      <c r="C9805" t="inlineStr">
        <is>
          <t>1424/11/02</t>
        </is>
      </c>
    </row>
    <row r="9806">
      <c r="A9806" t="n">
        <v>14241103</v>
      </c>
      <c r="B9806" t="n">
        <v>53349</v>
      </c>
      <c r="C9806" t="inlineStr">
        <is>
          <t>1424/11/03</t>
        </is>
      </c>
    </row>
    <row r="9807">
      <c r="A9807" t="n">
        <v>14241104</v>
      </c>
      <c r="B9807" t="n">
        <v>53350</v>
      </c>
      <c r="C9807" t="inlineStr">
        <is>
          <t>1424/11/04</t>
        </is>
      </c>
    </row>
    <row r="9808">
      <c r="A9808" t="n">
        <v>14241105</v>
      </c>
      <c r="B9808" t="n">
        <v>53351</v>
      </c>
      <c r="C9808" t="inlineStr">
        <is>
          <t>1424/11/05</t>
        </is>
      </c>
    </row>
    <row r="9809">
      <c r="A9809" t="n">
        <v>14241106</v>
      </c>
      <c r="B9809" t="n">
        <v>53352</v>
      </c>
      <c r="C9809" t="inlineStr">
        <is>
          <t>1424/11/06</t>
        </is>
      </c>
    </row>
    <row r="9810">
      <c r="A9810" t="n">
        <v>14241107</v>
      </c>
      <c r="B9810" t="n">
        <v>53353</v>
      </c>
      <c r="C9810" t="inlineStr">
        <is>
          <t>1424/11/07</t>
        </is>
      </c>
    </row>
    <row r="9811">
      <c r="A9811" t="n">
        <v>14241108</v>
      </c>
      <c r="B9811" t="n">
        <v>53354</v>
      </c>
      <c r="C9811" t="inlineStr">
        <is>
          <t>1424/11/08</t>
        </is>
      </c>
    </row>
    <row r="9812">
      <c r="A9812" t="n">
        <v>14241109</v>
      </c>
      <c r="B9812" t="n">
        <v>53355</v>
      </c>
      <c r="C9812" t="inlineStr">
        <is>
          <t>1424/11/09</t>
        </is>
      </c>
    </row>
    <row r="9813">
      <c r="A9813" t="n">
        <v>14241110</v>
      </c>
      <c r="B9813" t="n">
        <v>53356</v>
      </c>
      <c r="C9813" t="inlineStr">
        <is>
          <t>1424/11/10</t>
        </is>
      </c>
    </row>
    <row r="9814">
      <c r="A9814" t="n">
        <v>14241111</v>
      </c>
      <c r="B9814" t="n">
        <v>53357</v>
      </c>
      <c r="C9814" t="inlineStr">
        <is>
          <t>1424/11/11</t>
        </is>
      </c>
    </row>
    <row r="9815">
      <c r="A9815" t="n">
        <v>14241112</v>
      </c>
      <c r="B9815" t="n">
        <v>53358</v>
      </c>
      <c r="C9815" t="inlineStr">
        <is>
          <t>1424/11/12</t>
        </is>
      </c>
    </row>
    <row r="9816">
      <c r="A9816" t="n">
        <v>14241113</v>
      </c>
      <c r="B9816" t="n">
        <v>53359</v>
      </c>
      <c r="C9816" t="inlineStr">
        <is>
          <t>1424/11/13</t>
        </is>
      </c>
    </row>
    <row r="9817">
      <c r="A9817" t="n">
        <v>14241114</v>
      </c>
      <c r="B9817" t="n">
        <v>53360</v>
      </c>
      <c r="C9817" t="inlineStr">
        <is>
          <t>1424/11/14</t>
        </is>
      </c>
    </row>
    <row r="9818">
      <c r="A9818" t="n">
        <v>14241115</v>
      </c>
      <c r="B9818" t="n">
        <v>53361</v>
      </c>
      <c r="C9818" t="inlineStr">
        <is>
          <t>1424/11/15</t>
        </is>
      </c>
    </row>
    <row r="9819">
      <c r="A9819" t="n">
        <v>14241116</v>
      </c>
      <c r="B9819" t="n">
        <v>53362</v>
      </c>
      <c r="C9819" t="inlineStr">
        <is>
          <t>1424/11/16</t>
        </is>
      </c>
    </row>
    <row r="9820">
      <c r="A9820" t="n">
        <v>14241117</v>
      </c>
      <c r="B9820" t="n">
        <v>53363</v>
      </c>
      <c r="C9820" t="inlineStr">
        <is>
          <t>1424/11/17</t>
        </is>
      </c>
    </row>
    <row r="9821">
      <c r="A9821" t="n">
        <v>14241118</v>
      </c>
      <c r="B9821" t="n">
        <v>53364</v>
      </c>
      <c r="C9821" t="inlineStr">
        <is>
          <t>1424/11/18</t>
        </is>
      </c>
    </row>
    <row r="9822">
      <c r="A9822" t="n">
        <v>14241119</v>
      </c>
      <c r="B9822" t="n">
        <v>53365</v>
      </c>
      <c r="C9822" t="inlineStr">
        <is>
          <t>1424/11/19</t>
        </is>
      </c>
    </row>
    <row r="9823">
      <c r="A9823" t="n">
        <v>14241120</v>
      </c>
      <c r="B9823" t="n">
        <v>53366</v>
      </c>
      <c r="C9823" t="inlineStr">
        <is>
          <t>1424/11/20</t>
        </is>
      </c>
    </row>
    <row r="9824">
      <c r="A9824" t="n">
        <v>14241121</v>
      </c>
      <c r="B9824" t="n">
        <v>53367</v>
      </c>
      <c r="C9824" t="inlineStr">
        <is>
          <t>1424/11/21</t>
        </is>
      </c>
    </row>
    <row r="9825">
      <c r="A9825" t="n">
        <v>14241122</v>
      </c>
      <c r="B9825" t="n">
        <v>53368</v>
      </c>
      <c r="C9825" t="inlineStr">
        <is>
          <t>1424/11/22</t>
        </is>
      </c>
    </row>
    <row r="9826">
      <c r="A9826" t="n">
        <v>14241123</v>
      </c>
      <c r="B9826" t="n">
        <v>53369</v>
      </c>
      <c r="C9826" t="inlineStr">
        <is>
          <t>1424/11/23</t>
        </is>
      </c>
    </row>
    <row r="9827">
      <c r="A9827" t="n">
        <v>14241124</v>
      </c>
      <c r="B9827" t="n">
        <v>53370</v>
      </c>
      <c r="C9827" t="inlineStr">
        <is>
          <t>1424/11/24</t>
        </is>
      </c>
    </row>
    <row r="9828">
      <c r="A9828" t="n">
        <v>14241125</v>
      </c>
      <c r="B9828" t="n">
        <v>53371</v>
      </c>
      <c r="C9828" t="inlineStr">
        <is>
          <t>1424/11/25</t>
        </is>
      </c>
    </row>
    <row r="9829">
      <c r="A9829" t="n">
        <v>14241126</v>
      </c>
      <c r="B9829" t="n">
        <v>53372</v>
      </c>
      <c r="C9829" t="inlineStr">
        <is>
          <t>1424/11/26</t>
        </is>
      </c>
    </row>
    <row r="9830">
      <c r="A9830" t="n">
        <v>14241127</v>
      </c>
      <c r="B9830" t="n">
        <v>53373</v>
      </c>
      <c r="C9830" t="inlineStr">
        <is>
          <t>1424/11/27</t>
        </is>
      </c>
    </row>
    <row r="9831">
      <c r="A9831" t="n">
        <v>14241128</v>
      </c>
      <c r="B9831" t="n">
        <v>53374</v>
      </c>
      <c r="C9831" t="inlineStr">
        <is>
          <t>1424/11/28</t>
        </is>
      </c>
    </row>
    <row r="9832">
      <c r="A9832" t="n">
        <v>14241129</v>
      </c>
      <c r="B9832" t="n">
        <v>53375</v>
      </c>
      <c r="C9832" t="inlineStr">
        <is>
          <t>1424/11/29</t>
        </is>
      </c>
    </row>
    <row r="9833">
      <c r="A9833" t="n">
        <v>14241130</v>
      </c>
      <c r="B9833" t="n">
        <v>53376</v>
      </c>
      <c r="C9833" t="inlineStr">
        <is>
          <t>1424/11/30</t>
        </is>
      </c>
    </row>
    <row r="9834">
      <c r="A9834" t="n">
        <v>14241201</v>
      </c>
      <c r="B9834" t="n">
        <v>53377</v>
      </c>
      <c r="C9834" t="inlineStr">
        <is>
          <t>1424/12/01</t>
        </is>
      </c>
    </row>
    <row r="9835">
      <c r="A9835" t="n">
        <v>14241202</v>
      </c>
      <c r="B9835" t="n">
        <v>53378</v>
      </c>
      <c r="C9835" t="inlineStr">
        <is>
          <t>1424/12/02</t>
        </is>
      </c>
    </row>
    <row r="9836">
      <c r="A9836" t="n">
        <v>14241203</v>
      </c>
      <c r="B9836" t="n">
        <v>53379</v>
      </c>
      <c r="C9836" t="inlineStr">
        <is>
          <t>1424/12/03</t>
        </is>
      </c>
    </row>
    <row r="9837">
      <c r="A9837" t="n">
        <v>14241204</v>
      </c>
      <c r="B9837" t="n">
        <v>53380</v>
      </c>
      <c r="C9837" t="inlineStr">
        <is>
          <t>1424/12/04</t>
        </is>
      </c>
    </row>
    <row r="9838">
      <c r="A9838" t="n">
        <v>14241205</v>
      </c>
      <c r="B9838" t="n">
        <v>53381</v>
      </c>
      <c r="C9838" t="inlineStr">
        <is>
          <t>1424/12/05</t>
        </is>
      </c>
    </row>
    <row r="9839">
      <c r="A9839" t="n">
        <v>14241206</v>
      </c>
      <c r="B9839" t="n">
        <v>53382</v>
      </c>
      <c r="C9839" t="inlineStr">
        <is>
          <t>1424/12/06</t>
        </is>
      </c>
    </row>
    <row r="9840">
      <c r="A9840" t="n">
        <v>14241207</v>
      </c>
      <c r="B9840" t="n">
        <v>53383</v>
      </c>
      <c r="C9840" t="inlineStr">
        <is>
          <t>1424/12/07</t>
        </is>
      </c>
    </row>
    <row r="9841">
      <c r="A9841" t="n">
        <v>14241208</v>
      </c>
      <c r="B9841" t="n">
        <v>53384</v>
      </c>
      <c r="C9841" t="inlineStr">
        <is>
          <t>1424/12/08</t>
        </is>
      </c>
    </row>
    <row r="9842">
      <c r="A9842" t="n">
        <v>14241209</v>
      </c>
      <c r="B9842" t="n">
        <v>53385</v>
      </c>
      <c r="C9842" t="inlineStr">
        <is>
          <t>1424/12/09</t>
        </is>
      </c>
    </row>
    <row r="9843">
      <c r="A9843" t="n">
        <v>14241210</v>
      </c>
      <c r="B9843" t="n">
        <v>53386</v>
      </c>
      <c r="C9843" t="inlineStr">
        <is>
          <t>1424/12/10</t>
        </is>
      </c>
    </row>
    <row r="9844">
      <c r="A9844" t="n">
        <v>14241211</v>
      </c>
      <c r="B9844" t="n">
        <v>53387</v>
      </c>
      <c r="C9844" t="inlineStr">
        <is>
          <t>1424/12/11</t>
        </is>
      </c>
    </row>
    <row r="9845">
      <c r="A9845" t="n">
        <v>14241212</v>
      </c>
      <c r="B9845" t="n">
        <v>53388</v>
      </c>
      <c r="C9845" t="inlineStr">
        <is>
          <t>1424/12/12</t>
        </is>
      </c>
    </row>
    <row r="9846">
      <c r="A9846" t="n">
        <v>14241213</v>
      </c>
      <c r="B9846" t="n">
        <v>53389</v>
      </c>
      <c r="C9846" t="inlineStr">
        <is>
          <t>1424/12/13</t>
        </is>
      </c>
    </row>
    <row r="9847">
      <c r="A9847" t="n">
        <v>14241214</v>
      </c>
      <c r="B9847" t="n">
        <v>53390</v>
      </c>
      <c r="C9847" t="inlineStr">
        <is>
          <t>1424/12/14</t>
        </is>
      </c>
    </row>
    <row r="9848">
      <c r="A9848" t="n">
        <v>14241215</v>
      </c>
      <c r="B9848" t="n">
        <v>53391</v>
      </c>
      <c r="C9848" t="inlineStr">
        <is>
          <t>1424/12/15</t>
        </is>
      </c>
    </row>
    <row r="9849">
      <c r="A9849" t="n">
        <v>14241216</v>
      </c>
      <c r="B9849" t="n">
        <v>53392</v>
      </c>
      <c r="C9849" t="inlineStr">
        <is>
          <t>1424/12/16</t>
        </is>
      </c>
    </row>
    <row r="9850">
      <c r="A9850" t="n">
        <v>14241217</v>
      </c>
      <c r="B9850" t="n">
        <v>53393</v>
      </c>
      <c r="C9850" t="inlineStr">
        <is>
          <t>1424/12/17</t>
        </is>
      </c>
    </row>
    <row r="9851">
      <c r="A9851" t="n">
        <v>14241218</v>
      </c>
      <c r="B9851" t="n">
        <v>53394</v>
      </c>
      <c r="C9851" t="inlineStr">
        <is>
          <t>1424/12/18</t>
        </is>
      </c>
    </row>
    <row r="9852">
      <c r="A9852" t="n">
        <v>14241219</v>
      </c>
      <c r="B9852" t="n">
        <v>53395</v>
      </c>
      <c r="C9852" t="inlineStr">
        <is>
          <t>1424/12/19</t>
        </is>
      </c>
    </row>
    <row r="9853">
      <c r="A9853" t="n">
        <v>14241220</v>
      </c>
      <c r="B9853" t="n">
        <v>53396</v>
      </c>
      <c r="C9853" t="inlineStr">
        <is>
          <t>1424/12/20</t>
        </is>
      </c>
    </row>
    <row r="9854">
      <c r="A9854" t="n">
        <v>14241221</v>
      </c>
      <c r="B9854" t="n">
        <v>53397</v>
      </c>
      <c r="C9854" t="inlineStr">
        <is>
          <t>1424/12/21</t>
        </is>
      </c>
    </row>
    <row r="9855">
      <c r="A9855" t="n">
        <v>14241222</v>
      </c>
      <c r="B9855" t="n">
        <v>53398</v>
      </c>
      <c r="C9855" t="inlineStr">
        <is>
          <t>1424/12/22</t>
        </is>
      </c>
    </row>
    <row r="9856">
      <c r="A9856" t="n">
        <v>14241223</v>
      </c>
      <c r="B9856" t="n">
        <v>53399</v>
      </c>
      <c r="C9856" t="inlineStr">
        <is>
          <t>1424/12/23</t>
        </is>
      </c>
    </row>
    <row r="9857">
      <c r="A9857" t="n">
        <v>14241224</v>
      </c>
      <c r="B9857" t="n">
        <v>53400</v>
      </c>
      <c r="C9857" t="inlineStr">
        <is>
          <t>1424/12/24</t>
        </is>
      </c>
    </row>
    <row r="9858">
      <c r="A9858" t="n">
        <v>14241225</v>
      </c>
      <c r="B9858" t="n">
        <v>53401</v>
      </c>
      <c r="C9858" t="inlineStr">
        <is>
          <t>1424/12/25</t>
        </is>
      </c>
    </row>
    <row r="9859">
      <c r="A9859" t="n">
        <v>14241226</v>
      </c>
      <c r="B9859" t="n">
        <v>53402</v>
      </c>
      <c r="C9859" t="inlineStr">
        <is>
          <t>1424/12/26</t>
        </is>
      </c>
    </row>
    <row r="9860">
      <c r="A9860" t="n">
        <v>14241227</v>
      </c>
      <c r="B9860" t="n">
        <v>53403</v>
      </c>
      <c r="C9860" t="inlineStr">
        <is>
          <t>1424/12/27</t>
        </is>
      </c>
    </row>
    <row r="9861">
      <c r="A9861" t="n">
        <v>14241228</v>
      </c>
      <c r="B9861" t="n">
        <v>53404</v>
      </c>
      <c r="C9861" t="inlineStr">
        <is>
          <t>1424/12/28</t>
        </is>
      </c>
    </row>
    <row r="9862">
      <c r="A9862" t="n">
        <v>14241229</v>
      </c>
      <c r="B9862" t="n">
        <v>53405</v>
      </c>
      <c r="C9862" t="inlineStr">
        <is>
          <t>1424/12/29</t>
        </is>
      </c>
    </row>
    <row r="9863">
      <c r="A9863" t="n">
        <v>14241230</v>
      </c>
      <c r="B9863" t="n">
        <v>53406</v>
      </c>
      <c r="C9863" t="inlineStr">
        <is>
          <t>1424/12/30</t>
        </is>
      </c>
    </row>
    <row r="9864">
      <c r="A9864" t="n">
        <v>14250101</v>
      </c>
      <c r="B9864" t="n">
        <v>53407</v>
      </c>
      <c r="C9864" t="inlineStr">
        <is>
          <t>1425/01/01</t>
        </is>
      </c>
    </row>
    <row r="9865">
      <c r="A9865" t="n">
        <v>14250102</v>
      </c>
      <c r="B9865" t="n">
        <v>53408</v>
      </c>
      <c r="C9865" t="inlineStr">
        <is>
          <t>1425/01/02</t>
        </is>
      </c>
    </row>
    <row r="9866">
      <c r="A9866" t="n">
        <v>14250103</v>
      </c>
      <c r="B9866" t="n">
        <v>53409</v>
      </c>
      <c r="C9866" t="inlineStr">
        <is>
          <t>1425/01/03</t>
        </is>
      </c>
    </row>
    <row r="9867">
      <c r="A9867" t="n">
        <v>14250104</v>
      </c>
      <c r="B9867" t="n">
        <v>53410</v>
      </c>
      <c r="C9867" t="inlineStr">
        <is>
          <t>1425/01/04</t>
        </is>
      </c>
    </row>
    <row r="9868">
      <c r="A9868" t="n">
        <v>14250105</v>
      </c>
      <c r="B9868" t="n">
        <v>53411</v>
      </c>
      <c r="C9868" t="inlineStr">
        <is>
          <t>1425/01/05</t>
        </is>
      </c>
    </row>
    <row r="9869">
      <c r="A9869" t="n">
        <v>14250106</v>
      </c>
      <c r="B9869" t="n">
        <v>53412</v>
      </c>
      <c r="C9869" t="inlineStr">
        <is>
          <t>1425/01/06</t>
        </is>
      </c>
    </row>
    <row r="9870">
      <c r="A9870" t="n">
        <v>14250107</v>
      </c>
      <c r="B9870" t="n">
        <v>53413</v>
      </c>
      <c r="C9870" t="inlineStr">
        <is>
          <t>1425/01/07</t>
        </is>
      </c>
    </row>
    <row r="9871">
      <c r="A9871" t="n">
        <v>14250108</v>
      </c>
      <c r="B9871" t="n">
        <v>53414</v>
      </c>
      <c r="C9871" t="inlineStr">
        <is>
          <t>1425/01/08</t>
        </is>
      </c>
    </row>
    <row r="9872">
      <c r="A9872" t="n">
        <v>14250109</v>
      </c>
      <c r="B9872" t="n">
        <v>53415</v>
      </c>
      <c r="C9872" t="inlineStr">
        <is>
          <t>1425/01/09</t>
        </is>
      </c>
    </row>
    <row r="9873">
      <c r="A9873" t="n">
        <v>14250110</v>
      </c>
      <c r="B9873" t="n">
        <v>53416</v>
      </c>
      <c r="C9873" t="inlineStr">
        <is>
          <t>1425/01/10</t>
        </is>
      </c>
    </row>
    <row r="9874">
      <c r="A9874" t="n">
        <v>14250111</v>
      </c>
      <c r="B9874" t="n">
        <v>53417</v>
      </c>
      <c r="C9874" t="inlineStr">
        <is>
          <t>1425/01/11</t>
        </is>
      </c>
    </row>
    <row r="9875">
      <c r="A9875" t="n">
        <v>14250112</v>
      </c>
      <c r="B9875" t="n">
        <v>53418</v>
      </c>
      <c r="C9875" t="inlineStr">
        <is>
          <t>1425/01/12</t>
        </is>
      </c>
    </row>
    <row r="9876">
      <c r="A9876" t="n">
        <v>14250113</v>
      </c>
      <c r="B9876" t="n">
        <v>53419</v>
      </c>
      <c r="C9876" t="inlineStr">
        <is>
          <t>1425/01/13</t>
        </is>
      </c>
    </row>
    <row r="9877">
      <c r="A9877" t="n">
        <v>14250114</v>
      </c>
      <c r="B9877" t="n">
        <v>53420</v>
      </c>
      <c r="C9877" t="inlineStr">
        <is>
          <t>1425/01/14</t>
        </is>
      </c>
    </row>
    <row r="9878">
      <c r="A9878" t="n">
        <v>14250115</v>
      </c>
      <c r="B9878" t="n">
        <v>53421</v>
      </c>
      <c r="C9878" t="inlineStr">
        <is>
          <t>1425/01/15</t>
        </is>
      </c>
    </row>
    <row r="9879">
      <c r="A9879" t="n">
        <v>14250116</v>
      </c>
      <c r="B9879" t="n">
        <v>53422</v>
      </c>
      <c r="C9879" t="inlineStr">
        <is>
          <t>1425/01/16</t>
        </is>
      </c>
    </row>
    <row r="9880">
      <c r="A9880" t="n">
        <v>14250117</v>
      </c>
      <c r="B9880" t="n">
        <v>53423</v>
      </c>
      <c r="C9880" t="inlineStr">
        <is>
          <t>1425/01/17</t>
        </is>
      </c>
    </row>
    <row r="9881">
      <c r="A9881" t="n">
        <v>14250118</v>
      </c>
      <c r="B9881" t="n">
        <v>53424</v>
      </c>
      <c r="C9881" t="inlineStr">
        <is>
          <t>1425/01/18</t>
        </is>
      </c>
    </row>
    <row r="9882">
      <c r="A9882" t="n">
        <v>14250119</v>
      </c>
      <c r="B9882" t="n">
        <v>53425</v>
      </c>
      <c r="C9882" t="inlineStr">
        <is>
          <t>1425/01/19</t>
        </is>
      </c>
    </row>
    <row r="9883">
      <c r="A9883" t="n">
        <v>14250120</v>
      </c>
      <c r="B9883" t="n">
        <v>53426</v>
      </c>
      <c r="C9883" t="inlineStr">
        <is>
          <t>1425/01/20</t>
        </is>
      </c>
    </row>
    <row r="9884">
      <c r="A9884" t="n">
        <v>14250121</v>
      </c>
      <c r="B9884" t="n">
        <v>53427</v>
      </c>
      <c r="C9884" t="inlineStr">
        <is>
          <t>1425/01/21</t>
        </is>
      </c>
    </row>
    <row r="9885">
      <c r="A9885" t="n">
        <v>14250122</v>
      </c>
      <c r="B9885" t="n">
        <v>53428</v>
      </c>
      <c r="C9885" t="inlineStr">
        <is>
          <t>1425/01/22</t>
        </is>
      </c>
    </row>
    <row r="9886">
      <c r="A9886" t="n">
        <v>14250123</v>
      </c>
      <c r="B9886" t="n">
        <v>53429</v>
      </c>
      <c r="C9886" t="inlineStr">
        <is>
          <t>1425/01/23</t>
        </is>
      </c>
    </row>
    <row r="9887">
      <c r="A9887" t="n">
        <v>14250124</v>
      </c>
      <c r="B9887" t="n">
        <v>53430</v>
      </c>
      <c r="C9887" t="inlineStr">
        <is>
          <t>1425/01/24</t>
        </is>
      </c>
    </row>
    <row r="9888">
      <c r="A9888" t="n">
        <v>14250125</v>
      </c>
      <c r="B9888" t="n">
        <v>53431</v>
      </c>
      <c r="C9888" t="inlineStr">
        <is>
          <t>1425/01/25</t>
        </is>
      </c>
    </row>
    <row r="9889">
      <c r="A9889" t="n">
        <v>14250126</v>
      </c>
      <c r="B9889" t="n">
        <v>53432</v>
      </c>
      <c r="C9889" t="inlineStr">
        <is>
          <t>1425/01/26</t>
        </is>
      </c>
    </row>
    <row r="9890">
      <c r="A9890" t="n">
        <v>14250127</v>
      </c>
      <c r="B9890" t="n">
        <v>53433</v>
      </c>
      <c r="C9890" t="inlineStr">
        <is>
          <t>1425/01/27</t>
        </is>
      </c>
    </row>
    <row r="9891">
      <c r="A9891" t="n">
        <v>14250128</v>
      </c>
      <c r="B9891" t="n">
        <v>53434</v>
      </c>
      <c r="C9891" t="inlineStr">
        <is>
          <t>1425/01/28</t>
        </is>
      </c>
    </row>
    <row r="9892">
      <c r="A9892" t="n">
        <v>14250129</v>
      </c>
      <c r="B9892" t="n">
        <v>53435</v>
      </c>
      <c r="C9892" t="inlineStr">
        <is>
          <t>1425/01/29</t>
        </is>
      </c>
    </row>
    <row r="9893">
      <c r="A9893" t="n">
        <v>14250130</v>
      </c>
      <c r="B9893" t="n">
        <v>53436</v>
      </c>
      <c r="C9893" t="inlineStr">
        <is>
          <t>1425/01/30</t>
        </is>
      </c>
    </row>
    <row r="9894">
      <c r="A9894" t="n">
        <v>14250131</v>
      </c>
      <c r="B9894" t="n">
        <v>53437</v>
      </c>
      <c r="C9894" t="inlineStr">
        <is>
          <t>1425/01/31</t>
        </is>
      </c>
    </row>
    <row r="9895">
      <c r="A9895" t="n">
        <v>14250201</v>
      </c>
      <c r="B9895" t="n">
        <v>53438</v>
      </c>
      <c r="C9895" t="inlineStr">
        <is>
          <t>1425/02/01</t>
        </is>
      </c>
    </row>
    <row r="9896">
      <c r="A9896" t="n">
        <v>14250202</v>
      </c>
      <c r="B9896" t="n">
        <v>53439</v>
      </c>
      <c r="C9896" t="inlineStr">
        <is>
          <t>1425/02/02</t>
        </is>
      </c>
    </row>
    <row r="9897">
      <c r="A9897" t="n">
        <v>14250203</v>
      </c>
      <c r="B9897" t="n">
        <v>53440</v>
      </c>
      <c r="C9897" t="inlineStr">
        <is>
          <t>1425/02/03</t>
        </is>
      </c>
    </row>
    <row r="9898">
      <c r="A9898" t="n">
        <v>14250204</v>
      </c>
      <c r="B9898" t="n">
        <v>53441</v>
      </c>
      <c r="C9898" t="inlineStr">
        <is>
          <t>1425/02/04</t>
        </is>
      </c>
    </row>
    <row r="9899">
      <c r="A9899" t="n">
        <v>14250205</v>
      </c>
      <c r="B9899" t="n">
        <v>53442</v>
      </c>
      <c r="C9899" t="inlineStr">
        <is>
          <t>1425/02/05</t>
        </is>
      </c>
    </row>
    <row r="9900">
      <c r="A9900" t="n">
        <v>14250206</v>
      </c>
      <c r="B9900" t="n">
        <v>53443</v>
      </c>
      <c r="C9900" t="inlineStr">
        <is>
          <t>1425/02/06</t>
        </is>
      </c>
    </row>
    <row r="9901">
      <c r="A9901" t="n">
        <v>14250207</v>
      </c>
      <c r="B9901" t="n">
        <v>53444</v>
      </c>
      <c r="C9901" t="inlineStr">
        <is>
          <t>1425/02/07</t>
        </is>
      </c>
    </row>
    <row r="9902">
      <c r="A9902" t="n">
        <v>14250208</v>
      </c>
      <c r="B9902" t="n">
        <v>53445</v>
      </c>
      <c r="C9902" t="inlineStr">
        <is>
          <t>1425/02/08</t>
        </is>
      </c>
    </row>
    <row r="9903">
      <c r="A9903" t="n">
        <v>14250209</v>
      </c>
      <c r="B9903" t="n">
        <v>53446</v>
      </c>
      <c r="C9903" t="inlineStr">
        <is>
          <t>1425/02/09</t>
        </is>
      </c>
    </row>
    <row r="9904">
      <c r="A9904" t="n">
        <v>14250210</v>
      </c>
      <c r="B9904" t="n">
        <v>53447</v>
      </c>
      <c r="C9904" t="inlineStr">
        <is>
          <t>1425/02/10</t>
        </is>
      </c>
    </row>
    <row r="9905">
      <c r="A9905" t="n">
        <v>14250211</v>
      </c>
      <c r="B9905" t="n">
        <v>53448</v>
      </c>
      <c r="C9905" t="inlineStr">
        <is>
          <t>1425/02/11</t>
        </is>
      </c>
    </row>
    <row r="9906">
      <c r="A9906" t="n">
        <v>14250212</v>
      </c>
      <c r="B9906" t="n">
        <v>53449</v>
      </c>
      <c r="C9906" t="inlineStr">
        <is>
          <t>1425/02/12</t>
        </is>
      </c>
    </row>
    <row r="9907">
      <c r="A9907" t="n">
        <v>14250213</v>
      </c>
      <c r="B9907" t="n">
        <v>53450</v>
      </c>
      <c r="C9907" t="inlineStr">
        <is>
          <t>1425/02/13</t>
        </is>
      </c>
    </row>
    <row r="9908">
      <c r="A9908" t="n">
        <v>14250214</v>
      </c>
      <c r="B9908" t="n">
        <v>53451</v>
      </c>
      <c r="C9908" t="inlineStr">
        <is>
          <t>1425/02/14</t>
        </is>
      </c>
    </row>
    <row r="9909">
      <c r="A9909" t="n">
        <v>14250215</v>
      </c>
      <c r="B9909" t="n">
        <v>53452</v>
      </c>
      <c r="C9909" t="inlineStr">
        <is>
          <t>1425/02/15</t>
        </is>
      </c>
    </row>
    <row r="9910">
      <c r="A9910" t="n">
        <v>14250216</v>
      </c>
      <c r="B9910" t="n">
        <v>53453</v>
      </c>
      <c r="C9910" t="inlineStr">
        <is>
          <t>1425/02/16</t>
        </is>
      </c>
    </row>
    <row r="9911">
      <c r="A9911" t="n">
        <v>14250217</v>
      </c>
      <c r="B9911" t="n">
        <v>53454</v>
      </c>
      <c r="C9911" t="inlineStr">
        <is>
          <t>1425/02/17</t>
        </is>
      </c>
    </row>
    <row r="9912">
      <c r="A9912" t="n">
        <v>14250218</v>
      </c>
      <c r="B9912" t="n">
        <v>53455</v>
      </c>
      <c r="C9912" t="inlineStr">
        <is>
          <t>1425/02/18</t>
        </is>
      </c>
    </row>
    <row r="9913">
      <c r="A9913" t="n">
        <v>14250219</v>
      </c>
      <c r="B9913" t="n">
        <v>53456</v>
      </c>
      <c r="C9913" t="inlineStr">
        <is>
          <t>1425/02/19</t>
        </is>
      </c>
    </row>
    <row r="9914">
      <c r="A9914" t="n">
        <v>14250220</v>
      </c>
      <c r="B9914" t="n">
        <v>53457</v>
      </c>
      <c r="C9914" t="inlineStr">
        <is>
          <t>1425/02/20</t>
        </is>
      </c>
    </row>
    <row r="9915">
      <c r="A9915" t="n">
        <v>14250221</v>
      </c>
      <c r="B9915" t="n">
        <v>53458</v>
      </c>
      <c r="C9915" t="inlineStr">
        <is>
          <t>1425/02/21</t>
        </is>
      </c>
    </row>
    <row r="9916">
      <c r="A9916" t="n">
        <v>14250222</v>
      </c>
      <c r="B9916" t="n">
        <v>53459</v>
      </c>
      <c r="C9916" t="inlineStr">
        <is>
          <t>1425/02/22</t>
        </is>
      </c>
    </row>
    <row r="9917">
      <c r="A9917" t="n">
        <v>14250223</v>
      </c>
      <c r="B9917" t="n">
        <v>53460</v>
      </c>
      <c r="C9917" t="inlineStr">
        <is>
          <t>1425/02/23</t>
        </is>
      </c>
    </row>
    <row r="9918">
      <c r="A9918" t="n">
        <v>14250224</v>
      </c>
      <c r="B9918" t="n">
        <v>53461</v>
      </c>
      <c r="C9918" t="inlineStr">
        <is>
          <t>1425/02/24</t>
        </is>
      </c>
    </row>
    <row r="9919">
      <c r="A9919" t="n">
        <v>14250225</v>
      </c>
      <c r="B9919" t="n">
        <v>53462</v>
      </c>
      <c r="C9919" t="inlineStr">
        <is>
          <t>1425/02/25</t>
        </is>
      </c>
    </row>
    <row r="9920">
      <c r="A9920" t="n">
        <v>14250226</v>
      </c>
      <c r="B9920" t="n">
        <v>53463</v>
      </c>
      <c r="C9920" t="inlineStr">
        <is>
          <t>1425/02/26</t>
        </is>
      </c>
    </row>
    <row r="9921">
      <c r="A9921" t="n">
        <v>14250227</v>
      </c>
      <c r="B9921" t="n">
        <v>53464</v>
      </c>
      <c r="C9921" t="inlineStr">
        <is>
          <t>1425/02/27</t>
        </is>
      </c>
    </row>
    <row r="9922">
      <c r="A9922" t="n">
        <v>14250228</v>
      </c>
      <c r="B9922" t="n">
        <v>53465</v>
      </c>
      <c r="C9922" t="inlineStr">
        <is>
          <t>1425/02/28</t>
        </is>
      </c>
    </row>
    <row r="9923">
      <c r="A9923" t="n">
        <v>14250229</v>
      </c>
      <c r="B9923" t="n">
        <v>53466</v>
      </c>
      <c r="C9923" t="inlineStr">
        <is>
          <t>1425/02/29</t>
        </is>
      </c>
    </row>
    <row r="9924">
      <c r="A9924" t="n">
        <v>14250230</v>
      </c>
      <c r="B9924" t="n">
        <v>53467</v>
      </c>
      <c r="C9924" t="inlineStr">
        <is>
          <t>1425/02/30</t>
        </is>
      </c>
    </row>
    <row r="9925">
      <c r="A9925" t="n">
        <v>14250231</v>
      </c>
      <c r="B9925" t="n">
        <v>53468</v>
      </c>
      <c r="C9925" t="inlineStr">
        <is>
          <t>1425/02/31</t>
        </is>
      </c>
    </row>
    <row r="9926">
      <c r="A9926" t="n">
        <v>14250301</v>
      </c>
      <c r="B9926" t="n">
        <v>53469</v>
      </c>
      <c r="C9926" t="inlineStr">
        <is>
          <t>1425/03/01</t>
        </is>
      </c>
    </row>
    <row r="9927">
      <c r="A9927" t="n">
        <v>14250302</v>
      </c>
      <c r="B9927" t="n">
        <v>53470</v>
      </c>
      <c r="C9927" t="inlineStr">
        <is>
          <t>1425/03/02</t>
        </is>
      </c>
    </row>
    <row r="9928">
      <c r="A9928" t="n">
        <v>14250303</v>
      </c>
      <c r="B9928" t="n">
        <v>53471</v>
      </c>
      <c r="C9928" t="inlineStr">
        <is>
          <t>1425/03/03</t>
        </is>
      </c>
    </row>
    <row r="9929">
      <c r="A9929" t="n">
        <v>14250304</v>
      </c>
      <c r="B9929" t="n">
        <v>53472</v>
      </c>
      <c r="C9929" t="inlineStr">
        <is>
          <t>1425/03/04</t>
        </is>
      </c>
    </row>
    <row r="9930">
      <c r="A9930" t="n">
        <v>14250305</v>
      </c>
      <c r="B9930" t="n">
        <v>53473</v>
      </c>
      <c r="C9930" t="inlineStr">
        <is>
          <t>1425/03/05</t>
        </is>
      </c>
    </row>
    <row r="9931">
      <c r="A9931" t="n">
        <v>14250306</v>
      </c>
      <c r="B9931" t="n">
        <v>53474</v>
      </c>
      <c r="C9931" t="inlineStr">
        <is>
          <t>1425/03/06</t>
        </is>
      </c>
    </row>
    <row r="9932">
      <c r="A9932" t="n">
        <v>14250307</v>
      </c>
      <c r="B9932" t="n">
        <v>53475</v>
      </c>
      <c r="C9932" t="inlineStr">
        <is>
          <t>1425/03/07</t>
        </is>
      </c>
    </row>
    <row r="9933">
      <c r="A9933" t="n">
        <v>14250308</v>
      </c>
      <c r="B9933" t="n">
        <v>53476</v>
      </c>
      <c r="C9933" t="inlineStr">
        <is>
          <t>1425/03/08</t>
        </is>
      </c>
    </row>
    <row r="9934">
      <c r="A9934" t="n">
        <v>14250309</v>
      </c>
      <c r="B9934" t="n">
        <v>53477</v>
      </c>
      <c r="C9934" t="inlineStr">
        <is>
          <t>1425/03/09</t>
        </is>
      </c>
    </row>
    <row r="9935">
      <c r="A9935" t="n">
        <v>14250310</v>
      </c>
      <c r="B9935" t="n">
        <v>53478</v>
      </c>
      <c r="C9935" t="inlineStr">
        <is>
          <t>1425/03/10</t>
        </is>
      </c>
    </row>
    <row r="9936">
      <c r="A9936" t="n">
        <v>14250311</v>
      </c>
      <c r="B9936" t="n">
        <v>53479</v>
      </c>
      <c r="C9936" t="inlineStr">
        <is>
          <t>1425/03/11</t>
        </is>
      </c>
    </row>
    <row r="9937">
      <c r="A9937" t="n">
        <v>14250312</v>
      </c>
      <c r="B9937" t="n">
        <v>53480</v>
      </c>
      <c r="C9937" t="inlineStr">
        <is>
          <t>1425/03/12</t>
        </is>
      </c>
    </row>
    <row r="9938">
      <c r="A9938" t="n">
        <v>14250313</v>
      </c>
      <c r="B9938" t="n">
        <v>53481</v>
      </c>
      <c r="C9938" t="inlineStr">
        <is>
          <t>1425/03/13</t>
        </is>
      </c>
    </row>
    <row r="9939">
      <c r="A9939" t="n">
        <v>14250314</v>
      </c>
      <c r="B9939" t="n">
        <v>53482</v>
      </c>
      <c r="C9939" t="inlineStr">
        <is>
          <t>1425/03/14</t>
        </is>
      </c>
    </row>
    <row r="9940">
      <c r="A9940" t="n">
        <v>14250315</v>
      </c>
      <c r="B9940" t="n">
        <v>53483</v>
      </c>
      <c r="C9940" t="inlineStr">
        <is>
          <t>1425/03/15</t>
        </is>
      </c>
    </row>
    <row r="9941">
      <c r="A9941" t="n">
        <v>14250316</v>
      </c>
      <c r="B9941" t="n">
        <v>53484</v>
      </c>
      <c r="C9941" t="inlineStr">
        <is>
          <t>1425/03/16</t>
        </is>
      </c>
    </row>
    <row r="9942">
      <c r="A9942" t="n">
        <v>14250317</v>
      </c>
      <c r="B9942" t="n">
        <v>53485</v>
      </c>
      <c r="C9942" t="inlineStr">
        <is>
          <t>1425/03/17</t>
        </is>
      </c>
    </row>
    <row r="9943">
      <c r="A9943" t="n">
        <v>14250318</v>
      </c>
      <c r="B9943" t="n">
        <v>53486</v>
      </c>
      <c r="C9943" t="inlineStr">
        <is>
          <t>1425/03/18</t>
        </is>
      </c>
    </row>
    <row r="9944">
      <c r="A9944" t="n">
        <v>14250319</v>
      </c>
      <c r="B9944" t="n">
        <v>53487</v>
      </c>
      <c r="C9944" t="inlineStr">
        <is>
          <t>1425/03/19</t>
        </is>
      </c>
    </row>
    <row r="9945">
      <c r="A9945" t="n">
        <v>14250320</v>
      </c>
      <c r="B9945" t="n">
        <v>53488</v>
      </c>
      <c r="C9945" t="inlineStr">
        <is>
          <t>1425/03/20</t>
        </is>
      </c>
    </row>
    <row r="9946">
      <c r="A9946" t="n">
        <v>14250321</v>
      </c>
      <c r="B9946" t="n">
        <v>53489</v>
      </c>
      <c r="C9946" t="inlineStr">
        <is>
          <t>1425/03/21</t>
        </is>
      </c>
    </row>
    <row r="9947">
      <c r="A9947" t="n">
        <v>14250322</v>
      </c>
      <c r="B9947" t="n">
        <v>53490</v>
      </c>
      <c r="C9947" t="inlineStr">
        <is>
          <t>1425/03/22</t>
        </is>
      </c>
    </row>
    <row r="9948">
      <c r="A9948" t="n">
        <v>14250323</v>
      </c>
      <c r="B9948" t="n">
        <v>53491</v>
      </c>
      <c r="C9948" t="inlineStr">
        <is>
          <t>1425/03/23</t>
        </is>
      </c>
    </row>
    <row r="9949">
      <c r="A9949" t="n">
        <v>14250324</v>
      </c>
      <c r="B9949" t="n">
        <v>53492</v>
      </c>
      <c r="C9949" t="inlineStr">
        <is>
          <t>1425/03/24</t>
        </is>
      </c>
    </row>
    <row r="9950">
      <c r="A9950" t="n">
        <v>14250325</v>
      </c>
      <c r="B9950" t="n">
        <v>53493</v>
      </c>
      <c r="C9950" t="inlineStr">
        <is>
          <t>1425/03/25</t>
        </is>
      </c>
    </row>
    <row r="9951">
      <c r="A9951" t="n">
        <v>14250326</v>
      </c>
      <c r="B9951" t="n">
        <v>53494</v>
      </c>
      <c r="C9951" t="inlineStr">
        <is>
          <t>1425/03/26</t>
        </is>
      </c>
    </row>
    <row r="9952">
      <c r="A9952" t="n">
        <v>14250327</v>
      </c>
      <c r="B9952" t="n">
        <v>53495</v>
      </c>
      <c r="C9952" t="inlineStr">
        <is>
          <t>1425/03/27</t>
        </is>
      </c>
    </row>
    <row r="9953">
      <c r="A9953" t="n">
        <v>14250328</v>
      </c>
      <c r="B9953" t="n">
        <v>53496</v>
      </c>
      <c r="C9953" t="inlineStr">
        <is>
          <t>1425/03/28</t>
        </is>
      </c>
    </row>
    <row r="9954">
      <c r="A9954" t="n">
        <v>14250329</v>
      </c>
      <c r="B9954" t="n">
        <v>53497</v>
      </c>
      <c r="C9954" t="inlineStr">
        <is>
          <t>1425/03/29</t>
        </is>
      </c>
    </row>
    <row r="9955">
      <c r="A9955" t="n">
        <v>14250330</v>
      </c>
      <c r="B9955" t="n">
        <v>53498</v>
      </c>
      <c r="C9955" t="inlineStr">
        <is>
          <t>1425/03/30</t>
        </is>
      </c>
    </row>
    <row r="9956">
      <c r="A9956" t="n">
        <v>14250331</v>
      </c>
      <c r="B9956" t="n">
        <v>53499</v>
      </c>
      <c r="C9956" t="inlineStr">
        <is>
          <t>1425/03/31</t>
        </is>
      </c>
    </row>
    <row r="9957">
      <c r="A9957" t="n">
        <v>14250401</v>
      </c>
      <c r="B9957" t="n">
        <v>53500</v>
      </c>
      <c r="C9957" t="inlineStr">
        <is>
          <t>1425/04/01</t>
        </is>
      </c>
    </row>
    <row r="9958">
      <c r="A9958" t="n">
        <v>14250402</v>
      </c>
      <c r="B9958" t="n">
        <v>53501</v>
      </c>
      <c r="C9958" t="inlineStr">
        <is>
          <t>1425/04/02</t>
        </is>
      </c>
    </row>
    <row r="9959">
      <c r="A9959" t="n">
        <v>14250403</v>
      </c>
      <c r="B9959" t="n">
        <v>53502</v>
      </c>
      <c r="C9959" t="inlineStr">
        <is>
          <t>1425/04/03</t>
        </is>
      </c>
    </row>
    <row r="9960">
      <c r="A9960" t="n">
        <v>14250404</v>
      </c>
      <c r="B9960" t="n">
        <v>53503</v>
      </c>
      <c r="C9960" t="inlineStr">
        <is>
          <t>1425/04/04</t>
        </is>
      </c>
    </row>
    <row r="9961">
      <c r="A9961" t="n">
        <v>14250405</v>
      </c>
      <c r="B9961" t="n">
        <v>53504</v>
      </c>
      <c r="C9961" t="inlineStr">
        <is>
          <t>1425/04/05</t>
        </is>
      </c>
    </row>
    <row r="9962">
      <c r="A9962" t="n">
        <v>14250406</v>
      </c>
      <c r="B9962" t="n">
        <v>53505</v>
      </c>
      <c r="C9962" t="inlineStr">
        <is>
          <t>1425/04/06</t>
        </is>
      </c>
    </row>
    <row r="9963">
      <c r="A9963" t="n">
        <v>14250407</v>
      </c>
      <c r="B9963" t="n">
        <v>53506</v>
      </c>
      <c r="C9963" t="inlineStr">
        <is>
          <t>1425/04/07</t>
        </is>
      </c>
    </row>
    <row r="9964">
      <c r="A9964" t="n">
        <v>14250408</v>
      </c>
      <c r="B9964" t="n">
        <v>53507</v>
      </c>
      <c r="C9964" t="inlineStr">
        <is>
          <t>1425/04/08</t>
        </is>
      </c>
    </row>
    <row r="9965">
      <c r="A9965" t="n">
        <v>14250409</v>
      </c>
      <c r="B9965" t="n">
        <v>53508</v>
      </c>
      <c r="C9965" t="inlineStr">
        <is>
          <t>1425/04/09</t>
        </is>
      </c>
    </row>
    <row r="9966">
      <c r="A9966" t="n">
        <v>14250410</v>
      </c>
      <c r="B9966" t="n">
        <v>53509</v>
      </c>
      <c r="C9966" t="inlineStr">
        <is>
          <t>1425/04/10</t>
        </is>
      </c>
    </row>
    <row r="9967">
      <c r="A9967" t="n">
        <v>14250411</v>
      </c>
      <c r="B9967" t="n">
        <v>53510</v>
      </c>
      <c r="C9967" t="inlineStr">
        <is>
          <t>1425/04/11</t>
        </is>
      </c>
    </row>
    <row r="9968">
      <c r="A9968" t="n">
        <v>14250412</v>
      </c>
      <c r="B9968" t="n">
        <v>53511</v>
      </c>
      <c r="C9968" t="inlineStr">
        <is>
          <t>1425/04/12</t>
        </is>
      </c>
    </row>
    <row r="9969">
      <c r="A9969" t="n">
        <v>14250413</v>
      </c>
      <c r="B9969" t="n">
        <v>53512</v>
      </c>
      <c r="C9969" t="inlineStr">
        <is>
          <t>1425/04/13</t>
        </is>
      </c>
    </row>
    <row r="9970">
      <c r="A9970" t="n">
        <v>14250414</v>
      </c>
      <c r="B9970" t="n">
        <v>53513</v>
      </c>
      <c r="C9970" t="inlineStr">
        <is>
          <t>1425/04/14</t>
        </is>
      </c>
    </row>
    <row r="9971">
      <c r="A9971" t="n">
        <v>14250415</v>
      </c>
      <c r="B9971" t="n">
        <v>53514</v>
      </c>
      <c r="C9971" t="inlineStr">
        <is>
          <t>1425/04/15</t>
        </is>
      </c>
    </row>
    <row r="9972">
      <c r="A9972" t="n">
        <v>14250416</v>
      </c>
      <c r="B9972" t="n">
        <v>53515</v>
      </c>
      <c r="C9972" t="inlineStr">
        <is>
          <t>1425/04/16</t>
        </is>
      </c>
    </row>
    <row r="9973">
      <c r="A9973" t="n">
        <v>14250417</v>
      </c>
      <c r="B9973" t="n">
        <v>53516</v>
      </c>
      <c r="C9973" t="inlineStr">
        <is>
          <t>1425/04/17</t>
        </is>
      </c>
    </row>
    <row r="9974">
      <c r="A9974" t="n">
        <v>14250418</v>
      </c>
      <c r="B9974" t="n">
        <v>53517</v>
      </c>
      <c r="C9974" t="inlineStr">
        <is>
          <t>1425/04/18</t>
        </is>
      </c>
    </row>
    <row r="9975">
      <c r="A9975" t="n">
        <v>14250419</v>
      </c>
      <c r="B9975" t="n">
        <v>53518</v>
      </c>
      <c r="C9975" t="inlineStr">
        <is>
          <t>1425/04/19</t>
        </is>
      </c>
    </row>
    <row r="9976">
      <c r="A9976" t="n">
        <v>14250420</v>
      </c>
      <c r="B9976" t="n">
        <v>53519</v>
      </c>
      <c r="C9976" t="inlineStr">
        <is>
          <t>1425/04/20</t>
        </is>
      </c>
    </row>
    <row r="9977">
      <c r="A9977" t="n">
        <v>14250421</v>
      </c>
      <c r="B9977" t="n">
        <v>53520</v>
      </c>
      <c r="C9977" t="inlineStr">
        <is>
          <t>1425/04/21</t>
        </is>
      </c>
    </row>
    <row r="9978">
      <c r="A9978" t="n">
        <v>14250422</v>
      </c>
      <c r="B9978" t="n">
        <v>53521</v>
      </c>
      <c r="C9978" t="inlineStr">
        <is>
          <t>1425/04/22</t>
        </is>
      </c>
    </row>
    <row r="9979">
      <c r="A9979" t="n">
        <v>14250423</v>
      </c>
      <c r="B9979" t="n">
        <v>53522</v>
      </c>
      <c r="C9979" t="inlineStr">
        <is>
          <t>1425/04/23</t>
        </is>
      </c>
    </row>
    <row r="9980">
      <c r="A9980" t="n">
        <v>14250424</v>
      </c>
      <c r="B9980" t="n">
        <v>53523</v>
      </c>
      <c r="C9980" t="inlineStr">
        <is>
          <t>1425/04/24</t>
        </is>
      </c>
    </row>
    <row r="9981">
      <c r="A9981" t="n">
        <v>14250425</v>
      </c>
      <c r="B9981" t="n">
        <v>53524</v>
      </c>
      <c r="C9981" t="inlineStr">
        <is>
          <t>1425/04/25</t>
        </is>
      </c>
    </row>
    <row r="9982">
      <c r="A9982" t="n">
        <v>14250426</v>
      </c>
      <c r="B9982" t="n">
        <v>53525</v>
      </c>
      <c r="C9982" t="inlineStr">
        <is>
          <t>1425/04/26</t>
        </is>
      </c>
    </row>
    <row r="9983">
      <c r="A9983" t="n">
        <v>14250427</v>
      </c>
      <c r="B9983" t="n">
        <v>53526</v>
      </c>
      <c r="C9983" t="inlineStr">
        <is>
          <t>1425/04/27</t>
        </is>
      </c>
    </row>
    <row r="9984">
      <c r="A9984" t="n">
        <v>14250428</v>
      </c>
      <c r="B9984" t="n">
        <v>53527</v>
      </c>
      <c r="C9984" t="inlineStr">
        <is>
          <t>1425/04/28</t>
        </is>
      </c>
    </row>
    <row r="9985">
      <c r="A9985" t="n">
        <v>14250429</v>
      </c>
      <c r="B9985" t="n">
        <v>53528</v>
      </c>
      <c r="C9985" t="inlineStr">
        <is>
          <t>1425/04/29</t>
        </is>
      </c>
    </row>
    <row r="9986">
      <c r="A9986" t="n">
        <v>14250430</v>
      </c>
      <c r="B9986" t="n">
        <v>53529</v>
      </c>
      <c r="C9986" t="inlineStr">
        <is>
          <t>1425/04/30</t>
        </is>
      </c>
    </row>
    <row r="9987">
      <c r="A9987" t="n">
        <v>14250431</v>
      </c>
      <c r="B9987" t="n">
        <v>53530</v>
      </c>
      <c r="C9987" t="inlineStr">
        <is>
          <t>1425/04/31</t>
        </is>
      </c>
    </row>
    <row r="9988">
      <c r="A9988" t="n">
        <v>14250501</v>
      </c>
      <c r="B9988" t="n">
        <v>53531</v>
      </c>
      <c r="C9988" t="inlineStr">
        <is>
          <t>1425/05/01</t>
        </is>
      </c>
    </row>
    <row r="9989">
      <c r="A9989" t="n">
        <v>14250502</v>
      </c>
      <c r="B9989" t="n">
        <v>53532</v>
      </c>
      <c r="C9989" t="inlineStr">
        <is>
          <t>1425/05/02</t>
        </is>
      </c>
    </row>
    <row r="9990">
      <c r="A9990" t="n">
        <v>14250503</v>
      </c>
      <c r="B9990" t="n">
        <v>53533</v>
      </c>
      <c r="C9990" t="inlineStr">
        <is>
          <t>1425/05/03</t>
        </is>
      </c>
    </row>
    <row r="9991">
      <c r="A9991" t="n">
        <v>14250504</v>
      </c>
      <c r="B9991" t="n">
        <v>53534</v>
      </c>
      <c r="C9991" t="inlineStr">
        <is>
          <t>1425/05/04</t>
        </is>
      </c>
    </row>
    <row r="9992">
      <c r="A9992" t="n">
        <v>14250505</v>
      </c>
      <c r="B9992" t="n">
        <v>53535</v>
      </c>
      <c r="C9992" t="inlineStr">
        <is>
          <t>1425/05/05</t>
        </is>
      </c>
    </row>
    <row r="9993">
      <c r="A9993" t="n">
        <v>14250506</v>
      </c>
      <c r="B9993" t="n">
        <v>53536</v>
      </c>
      <c r="C9993" t="inlineStr">
        <is>
          <t>1425/05/06</t>
        </is>
      </c>
    </row>
    <row r="9994">
      <c r="A9994" t="n">
        <v>14250507</v>
      </c>
      <c r="B9994" t="n">
        <v>53537</v>
      </c>
      <c r="C9994" t="inlineStr">
        <is>
          <t>1425/05/07</t>
        </is>
      </c>
    </row>
    <row r="9995">
      <c r="A9995" t="n">
        <v>14250508</v>
      </c>
      <c r="B9995" t="n">
        <v>53538</v>
      </c>
      <c r="C9995" t="inlineStr">
        <is>
          <t>1425/05/08</t>
        </is>
      </c>
    </row>
    <row r="9996">
      <c r="A9996" t="n">
        <v>14250509</v>
      </c>
      <c r="B9996" t="n">
        <v>53539</v>
      </c>
      <c r="C9996" t="inlineStr">
        <is>
          <t>1425/05/09</t>
        </is>
      </c>
    </row>
    <row r="9997">
      <c r="A9997" t="n">
        <v>14250510</v>
      </c>
      <c r="B9997" t="n">
        <v>53540</v>
      </c>
      <c r="C9997" t="inlineStr">
        <is>
          <t>1425/05/10</t>
        </is>
      </c>
    </row>
    <row r="9998">
      <c r="A9998" t="n">
        <v>14250511</v>
      </c>
      <c r="B9998" t="n">
        <v>53541</v>
      </c>
      <c r="C9998" t="inlineStr">
        <is>
          <t>1425/05/11</t>
        </is>
      </c>
    </row>
    <row r="9999">
      <c r="A9999" t="n">
        <v>14250512</v>
      </c>
      <c r="B9999" t="n">
        <v>53542</v>
      </c>
      <c r="C9999" t="inlineStr">
        <is>
          <t>1425/05/12</t>
        </is>
      </c>
    </row>
    <row r="10000">
      <c r="A10000" t="n">
        <v>14250513</v>
      </c>
      <c r="B10000" t="n">
        <v>53543</v>
      </c>
      <c r="C10000" t="inlineStr">
        <is>
          <t>1425/05/13</t>
        </is>
      </c>
    </row>
    <row r="10001">
      <c r="A10001" t="n">
        <v>14250514</v>
      </c>
      <c r="B10001" t="n">
        <v>53544</v>
      </c>
      <c r="C10001" t="inlineStr">
        <is>
          <t>1425/05/14</t>
        </is>
      </c>
    </row>
    <row r="10002">
      <c r="A10002" t="n">
        <v>14250515</v>
      </c>
      <c r="B10002" t="n">
        <v>53545</v>
      </c>
      <c r="C10002" t="inlineStr">
        <is>
          <t>1425/05/15</t>
        </is>
      </c>
    </row>
    <row r="10003">
      <c r="A10003" t="n">
        <v>14250516</v>
      </c>
      <c r="B10003" t="n">
        <v>53546</v>
      </c>
      <c r="C10003" t="inlineStr">
        <is>
          <t>1425/05/16</t>
        </is>
      </c>
    </row>
    <row r="10004">
      <c r="A10004" t="n">
        <v>14250517</v>
      </c>
      <c r="B10004" t="n">
        <v>53547</v>
      </c>
      <c r="C10004" t="inlineStr">
        <is>
          <t>1425/05/17</t>
        </is>
      </c>
    </row>
    <row r="10005">
      <c r="A10005" t="n">
        <v>14250518</v>
      </c>
      <c r="B10005" t="n">
        <v>53548</v>
      </c>
      <c r="C10005" t="inlineStr">
        <is>
          <t>1425/05/18</t>
        </is>
      </c>
    </row>
    <row r="10006">
      <c r="A10006" t="n">
        <v>14250519</v>
      </c>
      <c r="B10006" t="n">
        <v>53549</v>
      </c>
      <c r="C10006" t="inlineStr">
        <is>
          <t>1425/05/19</t>
        </is>
      </c>
    </row>
    <row r="10007">
      <c r="A10007" t="n">
        <v>14250520</v>
      </c>
      <c r="B10007" t="n">
        <v>53550</v>
      </c>
      <c r="C10007" t="inlineStr">
        <is>
          <t>1425/05/20</t>
        </is>
      </c>
    </row>
    <row r="10008">
      <c r="A10008" t="n">
        <v>14250521</v>
      </c>
      <c r="B10008" t="n">
        <v>53551</v>
      </c>
      <c r="C10008" t="inlineStr">
        <is>
          <t>1425/05/21</t>
        </is>
      </c>
    </row>
    <row r="10009">
      <c r="A10009" t="n">
        <v>14250522</v>
      </c>
      <c r="B10009" t="n">
        <v>53552</v>
      </c>
      <c r="C10009" t="inlineStr">
        <is>
          <t>1425/05/22</t>
        </is>
      </c>
    </row>
    <row r="10010">
      <c r="A10010" t="n">
        <v>14250523</v>
      </c>
      <c r="B10010" t="n">
        <v>53553</v>
      </c>
      <c r="C10010" t="inlineStr">
        <is>
          <t>1425/05/23</t>
        </is>
      </c>
    </row>
    <row r="10011">
      <c r="A10011" t="n">
        <v>14250524</v>
      </c>
      <c r="B10011" t="n">
        <v>53554</v>
      </c>
      <c r="C10011" t="inlineStr">
        <is>
          <t>1425/05/24</t>
        </is>
      </c>
    </row>
    <row r="10012">
      <c r="A10012" t="n">
        <v>14250525</v>
      </c>
      <c r="B10012" t="n">
        <v>53555</v>
      </c>
      <c r="C10012" t="inlineStr">
        <is>
          <t>1425/05/25</t>
        </is>
      </c>
    </row>
    <row r="10013">
      <c r="A10013" t="n">
        <v>14250526</v>
      </c>
      <c r="B10013" t="n">
        <v>53556</v>
      </c>
      <c r="C10013" t="inlineStr">
        <is>
          <t>1425/05/26</t>
        </is>
      </c>
    </row>
    <row r="10014">
      <c r="A10014" t="n">
        <v>14250527</v>
      </c>
      <c r="B10014" t="n">
        <v>53557</v>
      </c>
      <c r="C10014" t="inlineStr">
        <is>
          <t>1425/05/27</t>
        </is>
      </c>
    </row>
    <row r="10015">
      <c r="A10015" t="n">
        <v>14250528</v>
      </c>
      <c r="B10015" t="n">
        <v>53558</v>
      </c>
      <c r="C10015" t="inlineStr">
        <is>
          <t>1425/05/28</t>
        </is>
      </c>
    </row>
    <row r="10016">
      <c r="A10016" t="n">
        <v>14250529</v>
      </c>
      <c r="B10016" t="n">
        <v>53559</v>
      </c>
      <c r="C10016" t="inlineStr">
        <is>
          <t>1425/05/29</t>
        </is>
      </c>
    </row>
    <row r="10017">
      <c r="A10017" t="n">
        <v>14250530</v>
      </c>
      <c r="B10017" t="n">
        <v>53560</v>
      </c>
      <c r="C10017" t="inlineStr">
        <is>
          <t>1425/05/30</t>
        </is>
      </c>
    </row>
    <row r="10018">
      <c r="A10018" t="n">
        <v>14250531</v>
      </c>
      <c r="B10018" t="n">
        <v>53561</v>
      </c>
      <c r="C10018" t="inlineStr">
        <is>
          <t>1425/05/31</t>
        </is>
      </c>
    </row>
    <row r="10019">
      <c r="A10019" t="n">
        <v>14250601</v>
      </c>
      <c r="B10019" t="n">
        <v>53562</v>
      </c>
      <c r="C10019" t="inlineStr">
        <is>
          <t>1425/06/01</t>
        </is>
      </c>
    </row>
    <row r="10020">
      <c r="A10020" t="n">
        <v>14250602</v>
      </c>
      <c r="B10020" t="n">
        <v>53563</v>
      </c>
      <c r="C10020" t="inlineStr">
        <is>
          <t>1425/06/02</t>
        </is>
      </c>
    </row>
    <row r="10021">
      <c r="A10021" t="n">
        <v>14250603</v>
      </c>
      <c r="B10021" t="n">
        <v>53564</v>
      </c>
      <c r="C10021" t="inlineStr">
        <is>
          <t>1425/06/03</t>
        </is>
      </c>
    </row>
    <row r="10022">
      <c r="A10022" t="n">
        <v>14250604</v>
      </c>
      <c r="B10022" t="n">
        <v>53565</v>
      </c>
      <c r="C10022" t="inlineStr">
        <is>
          <t>1425/06/04</t>
        </is>
      </c>
    </row>
    <row r="10023">
      <c r="A10023" t="n">
        <v>14250605</v>
      </c>
      <c r="B10023" t="n">
        <v>53566</v>
      </c>
      <c r="C10023" t="inlineStr">
        <is>
          <t>1425/06/05</t>
        </is>
      </c>
    </row>
    <row r="10024">
      <c r="A10024" t="n">
        <v>14250606</v>
      </c>
      <c r="B10024" t="n">
        <v>53567</v>
      </c>
      <c r="C10024" t="inlineStr">
        <is>
          <t>1425/06/06</t>
        </is>
      </c>
    </row>
    <row r="10025">
      <c r="A10025" t="n">
        <v>14250607</v>
      </c>
      <c r="B10025" t="n">
        <v>53568</v>
      </c>
      <c r="C10025" t="inlineStr">
        <is>
          <t>1425/06/07</t>
        </is>
      </c>
    </row>
    <row r="10026">
      <c r="A10026" t="n">
        <v>14250608</v>
      </c>
      <c r="B10026" t="n">
        <v>53569</v>
      </c>
      <c r="C10026" t="inlineStr">
        <is>
          <t>1425/06/08</t>
        </is>
      </c>
    </row>
    <row r="10027">
      <c r="A10027" t="n">
        <v>14250609</v>
      </c>
      <c r="B10027" t="n">
        <v>53570</v>
      </c>
      <c r="C10027" t="inlineStr">
        <is>
          <t>1425/06/09</t>
        </is>
      </c>
    </row>
    <row r="10028">
      <c r="A10028" t="n">
        <v>14250610</v>
      </c>
      <c r="B10028" t="n">
        <v>53571</v>
      </c>
      <c r="C10028" t="inlineStr">
        <is>
          <t>1425/06/10</t>
        </is>
      </c>
    </row>
    <row r="10029">
      <c r="A10029" t="n">
        <v>14250611</v>
      </c>
      <c r="B10029" t="n">
        <v>53572</v>
      </c>
      <c r="C10029" t="inlineStr">
        <is>
          <t>1425/06/11</t>
        </is>
      </c>
    </row>
    <row r="10030">
      <c r="A10030" t="n">
        <v>14250612</v>
      </c>
      <c r="B10030" t="n">
        <v>53573</v>
      </c>
      <c r="C10030" t="inlineStr">
        <is>
          <t>1425/06/12</t>
        </is>
      </c>
    </row>
    <row r="10031">
      <c r="A10031" t="n">
        <v>14250613</v>
      </c>
      <c r="B10031" t="n">
        <v>53574</v>
      </c>
      <c r="C10031" t="inlineStr">
        <is>
          <t>1425/06/13</t>
        </is>
      </c>
    </row>
    <row r="10032">
      <c r="A10032" t="n">
        <v>14250614</v>
      </c>
      <c r="B10032" t="n">
        <v>53575</v>
      </c>
      <c r="C10032" t="inlineStr">
        <is>
          <t>1425/06/14</t>
        </is>
      </c>
    </row>
    <row r="10033">
      <c r="A10033" t="n">
        <v>14250615</v>
      </c>
      <c r="B10033" t="n">
        <v>53576</v>
      </c>
      <c r="C10033" t="inlineStr">
        <is>
          <t>1425/06/15</t>
        </is>
      </c>
    </row>
    <row r="10034">
      <c r="A10034" t="n">
        <v>14250616</v>
      </c>
      <c r="B10034" t="n">
        <v>53577</v>
      </c>
      <c r="C10034" t="inlineStr">
        <is>
          <t>1425/06/16</t>
        </is>
      </c>
    </row>
    <row r="10035">
      <c r="A10035" t="n">
        <v>14250617</v>
      </c>
      <c r="B10035" t="n">
        <v>53578</v>
      </c>
      <c r="C10035" t="inlineStr">
        <is>
          <t>1425/06/17</t>
        </is>
      </c>
    </row>
    <row r="10036">
      <c r="A10036" t="n">
        <v>14250618</v>
      </c>
      <c r="B10036" t="n">
        <v>53579</v>
      </c>
      <c r="C10036" t="inlineStr">
        <is>
          <t>1425/06/18</t>
        </is>
      </c>
    </row>
    <row r="10037">
      <c r="A10037" t="n">
        <v>14250619</v>
      </c>
      <c r="B10037" t="n">
        <v>53580</v>
      </c>
      <c r="C10037" t="inlineStr">
        <is>
          <t>1425/06/19</t>
        </is>
      </c>
    </row>
    <row r="10038">
      <c r="A10038" t="n">
        <v>14250620</v>
      </c>
      <c r="B10038" t="n">
        <v>53581</v>
      </c>
      <c r="C10038" t="inlineStr">
        <is>
          <t>1425/06/20</t>
        </is>
      </c>
    </row>
    <row r="10039">
      <c r="A10039" t="n">
        <v>14250621</v>
      </c>
      <c r="B10039" t="n">
        <v>53582</v>
      </c>
      <c r="C10039" t="inlineStr">
        <is>
          <t>1425/06/21</t>
        </is>
      </c>
    </row>
    <row r="10040">
      <c r="A10040" t="n">
        <v>14250622</v>
      </c>
      <c r="B10040" t="n">
        <v>53583</v>
      </c>
      <c r="C10040" t="inlineStr">
        <is>
          <t>1425/06/22</t>
        </is>
      </c>
    </row>
    <row r="10041">
      <c r="A10041" t="n">
        <v>14250623</v>
      </c>
      <c r="B10041" t="n">
        <v>53584</v>
      </c>
      <c r="C10041" t="inlineStr">
        <is>
          <t>1425/06/23</t>
        </is>
      </c>
    </row>
    <row r="10042">
      <c r="A10042" t="n">
        <v>14250624</v>
      </c>
      <c r="B10042" t="n">
        <v>53585</v>
      </c>
      <c r="C10042" t="inlineStr">
        <is>
          <t>1425/06/24</t>
        </is>
      </c>
    </row>
    <row r="10043">
      <c r="A10043" t="n">
        <v>14250625</v>
      </c>
      <c r="B10043" t="n">
        <v>53586</v>
      </c>
      <c r="C10043" t="inlineStr">
        <is>
          <t>1425/06/25</t>
        </is>
      </c>
    </row>
    <row r="10044">
      <c r="A10044" t="n">
        <v>14250626</v>
      </c>
      <c r="B10044" t="n">
        <v>53587</v>
      </c>
      <c r="C10044" t="inlineStr">
        <is>
          <t>1425/06/26</t>
        </is>
      </c>
    </row>
    <row r="10045">
      <c r="A10045" t="n">
        <v>14250627</v>
      </c>
      <c r="B10045" t="n">
        <v>53588</v>
      </c>
      <c r="C10045" t="inlineStr">
        <is>
          <t>1425/06/27</t>
        </is>
      </c>
    </row>
    <row r="10046">
      <c r="A10046" t="n">
        <v>14250628</v>
      </c>
      <c r="B10046" t="n">
        <v>53589</v>
      </c>
      <c r="C10046" t="inlineStr">
        <is>
          <t>1425/06/28</t>
        </is>
      </c>
    </row>
    <row r="10047">
      <c r="A10047" t="n">
        <v>14250629</v>
      </c>
      <c r="B10047" t="n">
        <v>53590</v>
      </c>
      <c r="C10047" t="inlineStr">
        <is>
          <t>1425/06/29</t>
        </is>
      </c>
    </row>
    <row r="10048">
      <c r="A10048" t="n">
        <v>14250630</v>
      </c>
      <c r="B10048" t="n">
        <v>53591</v>
      </c>
      <c r="C10048" t="inlineStr">
        <is>
          <t>1425/06/30</t>
        </is>
      </c>
    </row>
    <row r="10049">
      <c r="A10049" t="n">
        <v>14250631</v>
      </c>
      <c r="B10049" t="n">
        <v>53592</v>
      </c>
      <c r="C10049" t="inlineStr">
        <is>
          <t>1425/06/31</t>
        </is>
      </c>
    </row>
    <row r="10050">
      <c r="A10050" t="n">
        <v>14250701</v>
      </c>
      <c r="B10050" t="n">
        <v>53593</v>
      </c>
      <c r="C10050" t="inlineStr">
        <is>
          <t>1425/07/01</t>
        </is>
      </c>
    </row>
    <row r="10051">
      <c r="A10051" t="n">
        <v>14250702</v>
      </c>
      <c r="B10051" t="n">
        <v>53594</v>
      </c>
      <c r="C10051" t="inlineStr">
        <is>
          <t>1425/07/02</t>
        </is>
      </c>
    </row>
    <row r="10052">
      <c r="A10052" t="n">
        <v>14250703</v>
      </c>
      <c r="B10052" t="n">
        <v>53595</v>
      </c>
      <c r="C10052" t="inlineStr">
        <is>
          <t>1425/07/03</t>
        </is>
      </c>
    </row>
    <row r="10053">
      <c r="A10053" t="n">
        <v>14250704</v>
      </c>
      <c r="B10053" t="n">
        <v>53596</v>
      </c>
      <c r="C10053" t="inlineStr">
        <is>
          <t>1425/07/04</t>
        </is>
      </c>
    </row>
    <row r="10054">
      <c r="A10054" t="n">
        <v>14250705</v>
      </c>
      <c r="B10054" t="n">
        <v>53597</v>
      </c>
      <c r="C10054" t="inlineStr">
        <is>
          <t>1425/07/05</t>
        </is>
      </c>
    </row>
    <row r="10055">
      <c r="A10055" t="n">
        <v>14250706</v>
      </c>
      <c r="B10055" t="n">
        <v>53598</v>
      </c>
      <c r="C10055" t="inlineStr">
        <is>
          <t>1425/07/06</t>
        </is>
      </c>
    </row>
    <row r="10056">
      <c r="A10056" t="n">
        <v>14250707</v>
      </c>
      <c r="B10056" t="n">
        <v>53599</v>
      </c>
      <c r="C10056" t="inlineStr">
        <is>
          <t>1425/07/07</t>
        </is>
      </c>
    </row>
    <row r="10057">
      <c r="A10057" t="n">
        <v>14250708</v>
      </c>
      <c r="B10057" t="n">
        <v>53600</v>
      </c>
      <c r="C10057" t="inlineStr">
        <is>
          <t>1425/07/08</t>
        </is>
      </c>
    </row>
    <row r="10058">
      <c r="A10058" t="n">
        <v>14250709</v>
      </c>
      <c r="B10058" t="n">
        <v>53601</v>
      </c>
      <c r="C10058" t="inlineStr">
        <is>
          <t>1425/07/09</t>
        </is>
      </c>
    </row>
    <row r="10059">
      <c r="A10059" t="n">
        <v>14250710</v>
      </c>
      <c r="B10059" t="n">
        <v>53602</v>
      </c>
      <c r="C10059" t="inlineStr">
        <is>
          <t>1425/07/10</t>
        </is>
      </c>
    </row>
    <row r="10060">
      <c r="A10060" t="n">
        <v>14250711</v>
      </c>
      <c r="B10060" t="n">
        <v>53603</v>
      </c>
      <c r="C10060" t="inlineStr">
        <is>
          <t>1425/07/11</t>
        </is>
      </c>
    </row>
    <row r="10061">
      <c r="A10061" t="n">
        <v>14250712</v>
      </c>
      <c r="B10061" t="n">
        <v>53604</v>
      </c>
      <c r="C10061" t="inlineStr">
        <is>
          <t>1425/07/12</t>
        </is>
      </c>
    </row>
    <row r="10062">
      <c r="A10062" t="n">
        <v>14250713</v>
      </c>
      <c r="B10062" t="n">
        <v>53605</v>
      </c>
      <c r="C10062" t="inlineStr">
        <is>
          <t>1425/07/13</t>
        </is>
      </c>
    </row>
    <row r="10063">
      <c r="A10063" t="n">
        <v>14250714</v>
      </c>
      <c r="B10063" t="n">
        <v>53606</v>
      </c>
      <c r="C10063" t="inlineStr">
        <is>
          <t>1425/07/14</t>
        </is>
      </c>
    </row>
    <row r="10064">
      <c r="A10064" t="n">
        <v>14250715</v>
      </c>
      <c r="B10064" t="n">
        <v>53607</v>
      </c>
      <c r="C10064" t="inlineStr">
        <is>
          <t>1425/07/15</t>
        </is>
      </c>
    </row>
    <row r="10065">
      <c r="A10065" t="n">
        <v>14250716</v>
      </c>
      <c r="B10065" t="n">
        <v>53608</v>
      </c>
      <c r="C10065" t="inlineStr">
        <is>
          <t>1425/07/16</t>
        </is>
      </c>
    </row>
    <row r="10066">
      <c r="A10066" t="n">
        <v>14250717</v>
      </c>
      <c r="B10066" t="n">
        <v>53609</v>
      </c>
      <c r="C10066" t="inlineStr">
        <is>
          <t>1425/07/17</t>
        </is>
      </c>
    </row>
    <row r="10067">
      <c r="A10067" t="n">
        <v>14250718</v>
      </c>
      <c r="B10067" t="n">
        <v>53610</v>
      </c>
      <c r="C10067" t="inlineStr">
        <is>
          <t>1425/07/18</t>
        </is>
      </c>
    </row>
    <row r="10068">
      <c r="A10068" t="n">
        <v>14250719</v>
      </c>
      <c r="B10068" t="n">
        <v>53611</v>
      </c>
      <c r="C10068" t="inlineStr">
        <is>
          <t>1425/07/19</t>
        </is>
      </c>
    </row>
    <row r="10069">
      <c r="A10069" t="n">
        <v>14250720</v>
      </c>
      <c r="B10069" t="n">
        <v>53612</v>
      </c>
      <c r="C10069" t="inlineStr">
        <is>
          <t>1425/07/20</t>
        </is>
      </c>
    </row>
    <row r="10070">
      <c r="A10070" t="n">
        <v>14250721</v>
      </c>
      <c r="B10070" t="n">
        <v>53613</v>
      </c>
      <c r="C10070" t="inlineStr">
        <is>
          <t>1425/07/21</t>
        </is>
      </c>
    </row>
    <row r="10071">
      <c r="A10071" t="n">
        <v>14250722</v>
      </c>
      <c r="B10071" t="n">
        <v>53614</v>
      </c>
      <c r="C10071" t="inlineStr">
        <is>
          <t>1425/07/22</t>
        </is>
      </c>
    </row>
    <row r="10072">
      <c r="A10072" t="n">
        <v>14250723</v>
      </c>
      <c r="B10072" t="n">
        <v>53615</v>
      </c>
      <c r="C10072" t="inlineStr">
        <is>
          <t>1425/07/23</t>
        </is>
      </c>
    </row>
    <row r="10073">
      <c r="A10073" t="n">
        <v>14250724</v>
      </c>
      <c r="B10073" t="n">
        <v>53616</v>
      </c>
      <c r="C10073" t="inlineStr">
        <is>
          <t>1425/07/24</t>
        </is>
      </c>
    </row>
    <row r="10074">
      <c r="A10074" t="n">
        <v>14250725</v>
      </c>
      <c r="B10074" t="n">
        <v>53617</v>
      </c>
      <c r="C10074" t="inlineStr">
        <is>
          <t>1425/07/25</t>
        </is>
      </c>
    </row>
    <row r="10075">
      <c r="A10075" t="n">
        <v>14250726</v>
      </c>
      <c r="B10075" t="n">
        <v>53618</v>
      </c>
      <c r="C10075" t="inlineStr">
        <is>
          <t>1425/07/26</t>
        </is>
      </c>
    </row>
    <row r="10076">
      <c r="A10076" t="n">
        <v>14250727</v>
      </c>
      <c r="B10076" t="n">
        <v>53619</v>
      </c>
      <c r="C10076" t="inlineStr">
        <is>
          <t>1425/07/27</t>
        </is>
      </c>
    </row>
    <row r="10077">
      <c r="A10077" t="n">
        <v>14250728</v>
      </c>
      <c r="B10077" t="n">
        <v>53620</v>
      </c>
      <c r="C10077" t="inlineStr">
        <is>
          <t>1425/07/28</t>
        </is>
      </c>
    </row>
    <row r="10078">
      <c r="A10078" t="n">
        <v>14250729</v>
      </c>
      <c r="B10078" t="n">
        <v>53621</v>
      </c>
      <c r="C10078" t="inlineStr">
        <is>
          <t>1425/07/29</t>
        </is>
      </c>
    </row>
    <row r="10079">
      <c r="A10079" t="n">
        <v>14250730</v>
      </c>
      <c r="B10079" t="n">
        <v>53622</v>
      </c>
      <c r="C10079" t="inlineStr">
        <is>
          <t>1425/07/30</t>
        </is>
      </c>
    </row>
    <row r="10080">
      <c r="A10080" t="n">
        <v>14250801</v>
      </c>
      <c r="B10080" t="n">
        <v>53623</v>
      </c>
      <c r="C10080" t="inlineStr">
        <is>
          <t>1425/08/01</t>
        </is>
      </c>
    </row>
    <row r="10081">
      <c r="A10081" t="n">
        <v>14250802</v>
      </c>
      <c r="B10081" t="n">
        <v>53624</v>
      </c>
      <c r="C10081" t="inlineStr">
        <is>
          <t>1425/08/02</t>
        </is>
      </c>
    </row>
    <row r="10082">
      <c r="A10082" t="n">
        <v>14250803</v>
      </c>
      <c r="B10082" t="n">
        <v>53625</v>
      </c>
      <c r="C10082" t="inlineStr">
        <is>
          <t>1425/08/03</t>
        </is>
      </c>
    </row>
    <row r="10083">
      <c r="A10083" t="n">
        <v>14250804</v>
      </c>
      <c r="B10083" t="n">
        <v>53626</v>
      </c>
      <c r="C10083" t="inlineStr">
        <is>
          <t>1425/08/04</t>
        </is>
      </c>
    </row>
    <row r="10084">
      <c r="A10084" t="n">
        <v>14250805</v>
      </c>
      <c r="B10084" t="n">
        <v>53627</v>
      </c>
      <c r="C10084" t="inlineStr">
        <is>
          <t>1425/08/05</t>
        </is>
      </c>
    </row>
    <row r="10085">
      <c r="A10085" t="n">
        <v>14250806</v>
      </c>
      <c r="B10085" t="n">
        <v>53628</v>
      </c>
      <c r="C10085" t="inlineStr">
        <is>
          <t>1425/08/06</t>
        </is>
      </c>
    </row>
    <row r="10086">
      <c r="A10086" t="n">
        <v>14250807</v>
      </c>
      <c r="B10086" t="n">
        <v>53629</v>
      </c>
      <c r="C10086" t="inlineStr">
        <is>
          <t>1425/08/07</t>
        </is>
      </c>
    </row>
    <row r="10087">
      <c r="A10087" t="n">
        <v>14250808</v>
      </c>
      <c r="B10087" t="n">
        <v>53630</v>
      </c>
      <c r="C10087" t="inlineStr">
        <is>
          <t>1425/08/08</t>
        </is>
      </c>
    </row>
    <row r="10088">
      <c r="A10088" t="n">
        <v>14250809</v>
      </c>
      <c r="B10088" t="n">
        <v>53631</v>
      </c>
      <c r="C10088" t="inlineStr">
        <is>
          <t>1425/08/09</t>
        </is>
      </c>
    </row>
    <row r="10089">
      <c r="A10089" t="n">
        <v>14250810</v>
      </c>
      <c r="B10089" t="n">
        <v>53632</v>
      </c>
      <c r="C10089" t="inlineStr">
        <is>
          <t>1425/08/10</t>
        </is>
      </c>
    </row>
    <row r="10090">
      <c r="A10090" t="n">
        <v>14250811</v>
      </c>
      <c r="B10090" t="n">
        <v>53633</v>
      </c>
      <c r="C10090" t="inlineStr">
        <is>
          <t>1425/08/11</t>
        </is>
      </c>
    </row>
    <row r="10091">
      <c r="A10091" t="n">
        <v>14250812</v>
      </c>
      <c r="B10091" t="n">
        <v>53634</v>
      </c>
      <c r="C10091" t="inlineStr">
        <is>
          <t>1425/08/12</t>
        </is>
      </c>
    </row>
    <row r="10092">
      <c r="A10092" t="n">
        <v>14250813</v>
      </c>
      <c r="B10092" t="n">
        <v>53635</v>
      </c>
      <c r="C10092" t="inlineStr">
        <is>
          <t>1425/08/13</t>
        </is>
      </c>
    </row>
    <row r="10093">
      <c r="A10093" t="n">
        <v>14250814</v>
      </c>
      <c r="B10093" t="n">
        <v>53636</v>
      </c>
      <c r="C10093" t="inlineStr">
        <is>
          <t>1425/08/14</t>
        </is>
      </c>
    </row>
    <row r="10094">
      <c r="A10094" t="n">
        <v>14250815</v>
      </c>
      <c r="B10094" t="n">
        <v>53637</v>
      </c>
      <c r="C10094" t="inlineStr">
        <is>
          <t>1425/08/15</t>
        </is>
      </c>
    </row>
    <row r="10095">
      <c r="A10095" t="n">
        <v>14250816</v>
      </c>
      <c r="B10095" t="n">
        <v>53638</v>
      </c>
      <c r="C10095" t="inlineStr">
        <is>
          <t>1425/08/16</t>
        </is>
      </c>
    </row>
    <row r="10096">
      <c r="A10096" t="n">
        <v>14250817</v>
      </c>
      <c r="B10096" t="n">
        <v>53639</v>
      </c>
      <c r="C10096" t="inlineStr">
        <is>
          <t>1425/08/17</t>
        </is>
      </c>
    </row>
    <row r="10097">
      <c r="A10097" t="n">
        <v>14250818</v>
      </c>
      <c r="B10097" t="n">
        <v>53640</v>
      </c>
      <c r="C10097" t="inlineStr">
        <is>
          <t>1425/08/18</t>
        </is>
      </c>
    </row>
    <row r="10098">
      <c r="A10098" t="n">
        <v>14250819</v>
      </c>
      <c r="B10098" t="n">
        <v>53641</v>
      </c>
      <c r="C10098" t="inlineStr">
        <is>
          <t>1425/08/19</t>
        </is>
      </c>
    </row>
    <row r="10099">
      <c r="A10099" t="n">
        <v>14250820</v>
      </c>
      <c r="B10099" t="n">
        <v>53642</v>
      </c>
      <c r="C10099" t="inlineStr">
        <is>
          <t>1425/08/20</t>
        </is>
      </c>
    </row>
    <row r="10100">
      <c r="A10100" t="n">
        <v>14250821</v>
      </c>
      <c r="B10100" t="n">
        <v>53643</v>
      </c>
      <c r="C10100" t="inlineStr">
        <is>
          <t>1425/08/21</t>
        </is>
      </c>
    </row>
    <row r="10101">
      <c r="A10101" t="n">
        <v>14250822</v>
      </c>
      <c r="B10101" t="n">
        <v>53644</v>
      </c>
      <c r="C10101" t="inlineStr">
        <is>
          <t>1425/08/22</t>
        </is>
      </c>
    </row>
    <row r="10102">
      <c r="A10102" t="n">
        <v>14250823</v>
      </c>
      <c r="B10102" t="n">
        <v>53645</v>
      </c>
      <c r="C10102" t="inlineStr">
        <is>
          <t>1425/08/23</t>
        </is>
      </c>
    </row>
    <row r="10103">
      <c r="A10103" t="n">
        <v>14250824</v>
      </c>
      <c r="B10103" t="n">
        <v>53646</v>
      </c>
      <c r="C10103" t="inlineStr">
        <is>
          <t>1425/08/24</t>
        </is>
      </c>
    </row>
    <row r="10104">
      <c r="A10104" t="n">
        <v>14250825</v>
      </c>
      <c r="B10104" t="n">
        <v>53647</v>
      </c>
      <c r="C10104" t="inlineStr">
        <is>
          <t>1425/08/25</t>
        </is>
      </c>
    </row>
    <row r="10105">
      <c r="A10105" t="n">
        <v>14250826</v>
      </c>
      <c r="B10105" t="n">
        <v>53648</v>
      </c>
      <c r="C10105" t="inlineStr">
        <is>
          <t>1425/08/26</t>
        </is>
      </c>
    </row>
    <row r="10106">
      <c r="A10106" t="n">
        <v>14250827</v>
      </c>
      <c r="B10106" t="n">
        <v>53649</v>
      </c>
      <c r="C10106" t="inlineStr">
        <is>
          <t>1425/08/27</t>
        </is>
      </c>
    </row>
    <row r="10107">
      <c r="A10107" t="n">
        <v>14250828</v>
      </c>
      <c r="B10107" t="n">
        <v>53650</v>
      </c>
      <c r="C10107" t="inlineStr">
        <is>
          <t>1425/08/28</t>
        </is>
      </c>
    </row>
    <row r="10108">
      <c r="A10108" t="n">
        <v>14250829</v>
      </c>
      <c r="B10108" t="n">
        <v>53651</v>
      </c>
      <c r="C10108" t="inlineStr">
        <is>
          <t>1425/08/29</t>
        </is>
      </c>
    </row>
    <row r="10109">
      <c r="A10109" t="n">
        <v>14250830</v>
      </c>
      <c r="B10109" t="n">
        <v>53652</v>
      </c>
      <c r="C10109" t="inlineStr">
        <is>
          <t>1425/08/30</t>
        </is>
      </c>
    </row>
    <row r="10110">
      <c r="A10110" t="n">
        <v>14250901</v>
      </c>
      <c r="B10110" t="n">
        <v>53653</v>
      </c>
      <c r="C10110" t="inlineStr">
        <is>
          <t>1425/09/01</t>
        </is>
      </c>
    </row>
    <row r="10111">
      <c r="A10111" t="n">
        <v>14250902</v>
      </c>
      <c r="B10111" t="n">
        <v>53654</v>
      </c>
      <c r="C10111" t="inlineStr">
        <is>
          <t>1425/09/02</t>
        </is>
      </c>
    </row>
    <row r="10112">
      <c r="A10112" t="n">
        <v>14250903</v>
      </c>
      <c r="B10112" t="n">
        <v>53655</v>
      </c>
      <c r="C10112" t="inlineStr">
        <is>
          <t>1425/09/03</t>
        </is>
      </c>
    </row>
    <row r="10113">
      <c r="A10113" t="n">
        <v>14250904</v>
      </c>
      <c r="B10113" t="n">
        <v>53656</v>
      </c>
      <c r="C10113" t="inlineStr">
        <is>
          <t>1425/09/04</t>
        </is>
      </c>
    </row>
    <row r="10114">
      <c r="A10114" t="n">
        <v>14250905</v>
      </c>
      <c r="B10114" t="n">
        <v>53657</v>
      </c>
      <c r="C10114" t="inlineStr">
        <is>
          <t>1425/09/05</t>
        </is>
      </c>
    </row>
    <row r="10115">
      <c r="A10115" t="n">
        <v>14250906</v>
      </c>
      <c r="B10115" t="n">
        <v>53658</v>
      </c>
      <c r="C10115" t="inlineStr">
        <is>
          <t>1425/09/06</t>
        </is>
      </c>
    </row>
    <row r="10116">
      <c r="A10116" t="n">
        <v>14250907</v>
      </c>
      <c r="B10116" t="n">
        <v>53659</v>
      </c>
      <c r="C10116" t="inlineStr">
        <is>
          <t>1425/09/07</t>
        </is>
      </c>
    </row>
    <row r="10117">
      <c r="A10117" t="n">
        <v>14250908</v>
      </c>
      <c r="B10117" t="n">
        <v>53660</v>
      </c>
      <c r="C10117" t="inlineStr">
        <is>
          <t>1425/09/08</t>
        </is>
      </c>
    </row>
    <row r="10118">
      <c r="A10118" t="n">
        <v>14250909</v>
      </c>
      <c r="B10118" t="n">
        <v>53661</v>
      </c>
      <c r="C10118" t="inlineStr">
        <is>
          <t>1425/09/09</t>
        </is>
      </c>
    </row>
    <row r="10119">
      <c r="A10119" t="n">
        <v>14250910</v>
      </c>
      <c r="B10119" t="n">
        <v>53662</v>
      </c>
      <c r="C10119" t="inlineStr">
        <is>
          <t>1425/09/10</t>
        </is>
      </c>
    </row>
    <row r="10120">
      <c r="A10120" t="n">
        <v>14250911</v>
      </c>
      <c r="B10120" t="n">
        <v>53663</v>
      </c>
      <c r="C10120" t="inlineStr">
        <is>
          <t>1425/09/11</t>
        </is>
      </c>
    </row>
    <row r="10121">
      <c r="A10121" t="n">
        <v>14250912</v>
      </c>
      <c r="B10121" t="n">
        <v>53664</v>
      </c>
      <c r="C10121" t="inlineStr">
        <is>
          <t>1425/09/12</t>
        </is>
      </c>
    </row>
    <row r="10122">
      <c r="A10122" t="n">
        <v>14250913</v>
      </c>
      <c r="B10122" t="n">
        <v>53665</v>
      </c>
      <c r="C10122" t="inlineStr">
        <is>
          <t>1425/09/13</t>
        </is>
      </c>
    </row>
    <row r="10123">
      <c r="A10123" t="n">
        <v>14250914</v>
      </c>
      <c r="B10123" t="n">
        <v>53666</v>
      </c>
      <c r="C10123" t="inlineStr">
        <is>
          <t>1425/09/14</t>
        </is>
      </c>
    </row>
    <row r="10124">
      <c r="A10124" t="n">
        <v>14250915</v>
      </c>
      <c r="B10124" t="n">
        <v>53667</v>
      </c>
      <c r="C10124" t="inlineStr">
        <is>
          <t>1425/09/15</t>
        </is>
      </c>
    </row>
    <row r="10125">
      <c r="A10125" t="n">
        <v>14250916</v>
      </c>
      <c r="B10125" t="n">
        <v>53668</v>
      </c>
      <c r="C10125" t="inlineStr">
        <is>
          <t>1425/09/16</t>
        </is>
      </c>
    </row>
    <row r="10126">
      <c r="A10126" t="n">
        <v>14250917</v>
      </c>
      <c r="B10126" t="n">
        <v>53669</v>
      </c>
      <c r="C10126" t="inlineStr">
        <is>
          <t>1425/09/17</t>
        </is>
      </c>
    </row>
    <row r="10127">
      <c r="A10127" t="n">
        <v>14250918</v>
      </c>
      <c r="B10127" t="n">
        <v>53670</v>
      </c>
      <c r="C10127" t="inlineStr">
        <is>
          <t>1425/09/18</t>
        </is>
      </c>
    </row>
    <row r="10128">
      <c r="A10128" t="n">
        <v>14250919</v>
      </c>
      <c r="B10128" t="n">
        <v>53671</v>
      </c>
      <c r="C10128" t="inlineStr">
        <is>
          <t>1425/09/19</t>
        </is>
      </c>
    </row>
    <row r="10129">
      <c r="A10129" t="n">
        <v>14250920</v>
      </c>
      <c r="B10129" t="n">
        <v>53672</v>
      </c>
      <c r="C10129" t="inlineStr">
        <is>
          <t>1425/09/20</t>
        </is>
      </c>
    </row>
    <row r="10130">
      <c r="A10130" t="n">
        <v>14250921</v>
      </c>
      <c r="B10130" t="n">
        <v>53673</v>
      </c>
      <c r="C10130" t="inlineStr">
        <is>
          <t>1425/09/21</t>
        </is>
      </c>
    </row>
    <row r="10131">
      <c r="A10131" t="n">
        <v>14250922</v>
      </c>
      <c r="B10131" t="n">
        <v>53674</v>
      </c>
      <c r="C10131" t="inlineStr">
        <is>
          <t>1425/09/22</t>
        </is>
      </c>
    </row>
    <row r="10132">
      <c r="A10132" t="n">
        <v>14250923</v>
      </c>
      <c r="B10132" t="n">
        <v>53675</v>
      </c>
      <c r="C10132" t="inlineStr">
        <is>
          <t>1425/09/23</t>
        </is>
      </c>
    </row>
    <row r="10133">
      <c r="A10133" t="n">
        <v>14250924</v>
      </c>
      <c r="B10133" t="n">
        <v>53676</v>
      </c>
      <c r="C10133" t="inlineStr">
        <is>
          <t>1425/09/24</t>
        </is>
      </c>
    </row>
    <row r="10134">
      <c r="A10134" t="n">
        <v>14250925</v>
      </c>
      <c r="B10134" t="n">
        <v>53677</v>
      </c>
      <c r="C10134" t="inlineStr">
        <is>
          <t>1425/09/25</t>
        </is>
      </c>
    </row>
    <row r="10135">
      <c r="A10135" t="n">
        <v>14250926</v>
      </c>
      <c r="B10135" t="n">
        <v>53678</v>
      </c>
      <c r="C10135" t="inlineStr">
        <is>
          <t>1425/09/26</t>
        </is>
      </c>
    </row>
    <row r="10136">
      <c r="A10136" t="n">
        <v>14250927</v>
      </c>
      <c r="B10136" t="n">
        <v>53679</v>
      </c>
      <c r="C10136" t="inlineStr">
        <is>
          <t>1425/09/27</t>
        </is>
      </c>
    </row>
    <row r="10137">
      <c r="A10137" t="n">
        <v>14250928</v>
      </c>
      <c r="B10137" t="n">
        <v>53680</v>
      </c>
      <c r="C10137" t="inlineStr">
        <is>
          <t>1425/09/28</t>
        </is>
      </c>
    </row>
    <row r="10138">
      <c r="A10138" t="n">
        <v>14250929</v>
      </c>
      <c r="B10138" t="n">
        <v>53681</v>
      </c>
      <c r="C10138" t="inlineStr">
        <is>
          <t>1425/09/29</t>
        </is>
      </c>
    </row>
    <row r="10139">
      <c r="A10139" t="n">
        <v>14250930</v>
      </c>
      <c r="B10139" t="n">
        <v>53682</v>
      </c>
      <c r="C10139" t="inlineStr">
        <is>
          <t>1425/09/30</t>
        </is>
      </c>
    </row>
    <row r="10140">
      <c r="A10140" t="n">
        <v>14251001</v>
      </c>
      <c r="B10140" t="n">
        <v>53683</v>
      </c>
      <c r="C10140" t="inlineStr">
        <is>
          <t>1425/10/01</t>
        </is>
      </c>
    </row>
    <row r="10141">
      <c r="A10141" t="n">
        <v>14251002</v>
      </c>
      <c r="B10141" t="n">
        <v>53684</v>
      </c>
      <c r="C10141" t="inlineStr">
        <is>
          <t>1425/10/02</t>
        </is>
      </c>
    </row>
    <row r="10142">
      <c r="A10142" t="n">
        <v>14251003</v>
      </c>
      <c r="B10142" t="n">
        <v>53685</v>
      </c>
      <c r="C10142" t="inlineStr">
        <is>
          <t>1425/10/03</t>
        </is>
      </c>
    </row>
    <row r="10143">
      <c r="A10143" t="n">
        <v>14251004</v>
      </c>
      <c r="B10143" t="n">
        <v>53686</v>
      </c>
      <c r="C10143" t="inlineStr">
        <is>
          <t>1425/10/04</t>
        </is>
      </c>
    </row>
    <row r="10144">
      <c r="A10144" t="n">
        <v>14251005</v>
      </c>
      <c r="B10144" t="n">
        <v>53687</v>
      </c>
      <c r="C10144" t="inlineStr">
        <is>
          <t>1425/10/05</t>
        </is>
      </c>
    </row>
    <row r="10145">
      <c r="A10145" t="n">
        <v>14251006</v>
      </c>
      <c r="B10145" t="n">
        <v>53688</v>
      </c>
      <c r="C10145" t="inlineStr">
        <is>
          <t>1425/10/06</t>
        </is>
      </c>
    </row>
    <row r="10146">
      <c r="A10146" t="n">
        <v>14251007</v>
      </c>
      <c r="B10146" t="n">
        <v>53689</v>
      </c>
      <c r="C10146" t="inlineStr">
        <is>
          <t>1425/10/07</t>
        </is>
      </c>
    </row>
    <row r="10147">
      <c r="A10147" t="n">
        <v>14251008</v>
      </c>
      <c r="B10147" t="n">
        <v>53690</v>
      </c>
      <c r="C10147" t="inlineStr">
        <is>
          <t>1425/10/08</t>
        </is>
      </c>
    </row>
    <row r="10148">
      <c r="A10148" t="n">
        <v>14251009</v>
      </c>
      <c r="B10148" t="n">
        <v>53691</v>
      </c>
      <c r="C10148" t="inlineStr">
        <is>
          <t>1425/10/09</t>
        </is>
      </c>
    </row>
    <row r="10149">
      <c r="A10149" t="n">
        <v>14251010</v>
      </c>
      <c r="B10149" t="n">
        <v>53692</v>
      </c>
      <c r="C10149" t="inlineStr">
        <is>
          <t>1425/10/10</t>
        </is>
      </c>
    </row>
    <row r="10150">
      <c r="A10150" t="n">
        <v>14251011</v>
      </c>
      <c r="B10150" t="n">
        <v>53693</v>
      </c>
      <c r="C10150" t="inlineStr">
        <is>
          <t>1425/10/11</t>
        </is>
      </c>
    </row>
    <row r="10151">
      <c r="A10151" t="n">
        <v>14251012</v>
      </c>
      <c r="B10151" t="n">
        <v>53694</v>
      </c>
      <c r="C10151" t="inlineStr">
        <is>
          <t>1425/10/12</t>
        </is>
      </c>
    </row>
    <row r="10152">
      <c r="A10152" t="n">
        <v>14251013</v>
      </c>
      <c r="B10152" t="n">
        <v>53695</v>
      </c>
      <c r="C10152" t="inlineStr">
        <is>
          <t>1425/10/13</t>
        </is>
      </c>
    </row>
    <row r="10153">
      <c r="A10153" t="n">
        <v>14251014</v>
      </c>
      <c r="B10153" t="n">
        <v>53696</v>
      </c>
      <c r="C10153" t="inlineStr">
        <is>
          <t>1425/10/14</t>
        </is>
      </c>
    </row>
    <row r="10154">
      <c r="A10154" t="n">
        <v>14251015</v>
      </c>
      <c r="B10154" t="n">
        <v>53697</v>
      </c>
      <c r="C10154" t="inlineStr">
        <is>
          <t>1425/10/15</t>
        </is>
      </c>
    </row>
    <row r="10155">
      <c r="A10155" t="n">
        <v>14251016</v>
      </c>
      <c r="B10155" t="n">
        <v>53698</v>
      </c>
      <c r="C10155" t="inlineStr">
        <is>
          <t>1425/10/16</t>
        </is>
      </c>
    </row>
    <row r="10156">
      <c r="A10156" t="n">
        <v>14251017</v>
      </c>
      <c r="B10156" t="n">
        <v>53699</v>
      </c>
      <c r="C10156" t="inlineStr">
        <is>
          <t>1425/10/17</t>
        </is>
      </c>
    </row>
    <row r="10157">
      <c r="A10157" t="n">
        <v>14251018</v>
      </c>
      <c r="B10157" t="n">
        <v>53700</v>
      </c>
      <c r="C10157" t="inlineStr">
        <is>
          <t>1425/10/18</t>
        </is>
      </c>
    </row>
    <row r="10158">
      <c r="A10158" t="n">
        <v>14251019</v>
      </c>
      <c r="B10158" t="n">
        <v>53701</v>
      </c>
      <c r="C10158" t="inlineStr">
        <is>
          <t>1425/10/19</t>
        </is>
      </c>
    </row>
    <row r="10159">
      <c r="A10159" t="n">
        <v>14251020</v>
      </c>
      <c r="B10159" t="n">
        <v>53702</v>
      </c>
      <c r="C10159" t="inlineStr">
        <is>
          <t>1425/10/20</t>
        </is>
      </c>
    </row>
    <row r="10160">
      <c r="A10160" t="n">
        <v>14251021</v>
      </c>
      <c r="B10160" t="n">
        <v>53703</v>
      </c>
      <c r="C10160" t="inlineStr">
        <is>
          <t>1425/10/21</t>
        </is>
      </c>
    </row>
    <row r="10161">
      <c r="A10161" t="n">
        <v>14251022</v>
      </c>
      <c r="B10161" t="n">
        <v>53704</v>
      </c>
      <c r="C10161" t="inlineStr">
        <is>
          <t>1425/10/22</t>
        </is>
      </c>
    </row>
    <row r="10162">
      <c r="A10162" t="n">
        <v>14251023</v>
      </c>
      <c r="B10162" t="n">
        <v>53705</v>
      </c>
      <c r="C10162" t="inlineStr">
        <is>
          <t>1425/10/23</t>
        </is>
      </c>
    </row>
    <row r="10163">
      <c r="A10163" t="n">
        <v>14251024</v>
      </c>
      <c r="B10163" t="n">
        <v>53706</v>
      </c>
      <c r="C10163" t="inlineStr">
        <is>
          <t>1425/10/24</t>
        </is>
      </c>
    </row>
    <row r="10164">
      <c r="A10164" t="n">
        <v>14251025</v>
      </c>
      <c r="B10164" t="n">
        <v>53707</v>
      </c>
      <c r="C10164" t="inlineStr">
        <is>
          <t>1425/10/25</t>
        </is>
      </c>
    </row>
    <row r="10165">
      <c r="A10165" t="n">
        <v>14251026</v>
      </c>
      <c r="B10165" t="n">
        <v>53708</v>
      </c>
      <c r="C10165" t="inlineStr">
        <is>
          <t>1425/10/26</t>
        </is>
      </c>
    </row>
    <row r="10166">
      <c r="A10166" t="n">
        <v>14251027</v>
      </c>
      <c r="B10166" t="n">
        <v>53709</v>
      </c>
      <c r="C10166" t="inlineStr">
        <is>
          <t>1425/10/27</t>
        </is>
      </c>
    </row>
    <row r="10167">
      <c r="A10167" t="n">
        <v>14251028</v>
      </c>
      <c r="B10167" t="n">
        <v>53710</v>
      </c>
      <c r="C10167" t="inlineStr">
        <is>
          <t>1425/10/28</t>
        </is>
      </c>
    </row>
    <row r="10168">
      <c r="A10168" t="n">
        <v>14251029</v>
      </c>
      <c r="B10168" t="n">
        <v>53711</v>
      </c>
      <c r="C10168" t="inlineStr">
        <is>
          <t>1425/10/29</t>
        </is>
      </c>
    </row>
    <row r="10169">
      <c r="A10169" t="n">
        <v>14251030</v>
      </c>
      <c r="B10169" t="n">
        <v>53712</v>
      </c>
      <c r="C10169" t="inlineStr">
        <is>
          <t>1425/10/30</t>
        </is>
      </c>
    </row>
    <row r="10170">
      <c r="A10170" t="n">
        <v>14251101</v>
      </c>
      <c r="B10170" t="n">
        <v>53713</v>
      </c>
      <c r="C10170" t="inlineStr">
        <is>
          <t>1425/11/01</t>
        </is>
      </c>
    </row>
    <row r="10171">
      <c r="A10171" t="n">
        <v>14251102</v>
      </c>
      <c r="B10171" t="n">
        <v>53714</v>
      </c>
      <c r="C10171" t="inlineStr">
        <is>
          <t>1425/11/02</t>
        </is>
      </c>
    </row>
    <row r="10172">
      <c r="A10172" t="n">
        <v>14251103</v>
      </c>
      <c r="B10172" t="n">
        <v>53715</v>
      </c>
      <c r="C10172" t="inlineStr">
        <is>
          <t>1425/11/03</t>
        </is>
      </c>
    </row>
    <row r="10173">
      <c r="A10173" t="n">
        <v>14251104</v>
      </c>
      <c r="B10173" t="n">
        <v>53716</v>
      </c>
      <c r="C10173" t="inlineStr">
        <is>
          <t>1425/11/04</t>
        </is>
      </c>
    </row>
    <row r="10174">
      <c r="A10174" t="n">
        <v>14251105</v>
      </c>
      <c r="B10174" t="n">
        <v>53717</v>
      </c>
      <c r="C10174" t="inlineStr">
        <is>
          <t>1425/11/05</t>
        </is>
      </c>
    </row>
    <row r="10175">
      <c r="A10175" t="n">
        <v>14251106</v>
      </c>
      <c r="B10175" t="n">
        <v>53718</v>
      </c>
      <c r="C10175" t="inlineStr">
        <is>
          <t>1425/11/06</t>
        </is>
      </c>
    </row>
    <row r="10176">
      <c r="A10176" t="n">
        <v>14251107</v>
      </c>
      <c r="B10176" t="n">
        <v>53719</v>
      </c>
      <c r="C10176" t="inlineStr">
        <is>
          <t>1425/11/07</t>
        </is>
      </c>
    </row>
    <row r="10177">
      <c r="A10177" t="n">
        <v>14251108</v>
      </c>
      <c r="B10177" t="n">
        <v>53720</v>
      </c>
      <c r="C10177" t="inlineStr">
        <is>
          <t>1425/11/08</t>
        </is>
      </c>
    </row>
    <row r="10178">
      <c r="A10178" t="n">
        <v>14251109</v>
      </c>
      <c r="B10178" t="n">
        <v>53721</v>
      </c>
      <c r="C10178" t="inlineStr">
        <is>
          <t>1425/11/09</t>
        </is>
      </c>
    </row>
    <row r="10179">
      <c r="A10179" t="n">
        <v>14251110</v>
      </c>
      <c r="B10179" t="n">
        <v>53722</v>
      </c>
      <c r="C10179" t="inlineStr">
        <is>
          <t>1425/11/10</t>
        </is>
      </c>
    </row>
    <row r="10180">
      <c r="A10180" t="n">
        <v>14251111</v>
      </c>
      <c r="B10180" t="n">
        <v>53723</v>
      </c>
      <c r="C10180" t="inlineStr">
        <is>
          <t>1425/11/11</t>
        </is>
      </c>
    </row>
    <row r="10181">
      <c r="A10181" t="n">
        <v>14251112</v>
      </c>
      <c r="B10181" t="n">
        <v>53724</v>
      </c>
      <c r="C10181" t="inlineStr">
        <is>
          <t>1425/11/12</t>
        </is>
      </c>
    </row>
    <row r="10182">
      <c r="A10182" t="n">
        <v>14251113</v>
      </c>
      <c r="B10182" t="n">
        <v>53725</v>
      </c>
      <c r="C10182" t="inlineStr">
        <is>
          <t>1425/11/13</t>
        </is>
      </c>
    </row>
    <row r="10183">
      <c r="A10183" t="n">
        <v>14251114</v>
      </c>
      <c r="B10183" t="n">
        <v>53726</v>
      </c>
      <c r="C10183" t="inlineStr">
        <is>
          <t>1425/11/14</t>
        </is>
      </c>
    </row>
    <row r="10184">
      <c r="A10184" t="n">
        <v>14251115</v>
      </c>
      <c r="B10184" t="n">
        <v>53727</v>
      </c>
      <c r="C10184" t="inlineStr">
        <is>
          <t>1425/11/15</t>
        </is>
      </c>
    </row>
    <row r="10185">
      <c r="A10185" t="n">
        <v>14251116</v>
      </c>
      <c r="B10185" t="n">
        <v>53728</v>
      </c>
      <c r="C10185" t="inlineStr">
        <is>
          <t>1425/11/16</t>
        </is>
      </c>
    </row>
    <row r="10186">
      <c r="A10186" t="n">
        <v>14251117</v>
      </c>
      <c r="B10186" t="n">
        <v>53729</v>
      </c>
      <c r="C10186" t="inlineStr">
        <is>
          <t>1425/11/17</t>
        </is>
      </c>
    </row>
    <row r="10187">
      <c r="A10187" t="n">
        <v>14251118</v>
      </c>
      <c r="B10187" t="n">
        <v>53730</v>
      </c>
      <c r="C10187" t="inlineStr">
        <is>
          <t>1425/11/18</t>
        </is>
      </c>
    </row>
    <row r="10188">
      <c r="A10188" t="n">
        <v>14251119</v>
      </c>
      <c r="B10188" t="n">
        <v>53731</v>
      </c>
      <c r="C10188" t="inlineStr">
        <is>
          <t>1425/11/19</t>
        </is>
      </c>
    </row>
    <row r="10189">
      <c r="A10189" t="n">
        <v>14251120</v>
      </c>
      <c r="B10189" t="n">
        <v>53732</v>
      </c>
      <c r="C10189" t="inlineStr">
        <is>
          <t>1425/11/20</t>
        </is>
      </c>
    </row>
    <row r="10190">
      <c r="A10190" t="n">
        <v>14251121</v>
      </c>
      <c r="B10190" t="n">
        <v>53733</v>
      </c>
      <c r="C10190" t="inlineStr">
        <is>
          <t>1425/11/21</t>
        </is>
      </c>
    </row>
    <row r="10191">
      <c r="A10191" t="n">
        <v>14251122</v>
      </c>
      <c r="B10191" t="n">
        <v>53734</v>
      </c>
      <c r="C10191" t="inlineStr">
        <is>
          <t>1425/11/22</t>
        </is>
      </c>
    </row>
    <row r="10192">
      <c r="A10192" t="n">
        <v>14251123</v>
      </c>
      <c r="B10192" t="n">
        <v>53735</v>
      </c>
      <c r="C10192" t="inlineStr">
        <is>
          <t>1425/11/23</t>
        </is>
      </c>
    </row>
    <row r="10193">
      <c r="A10193" t="n">
        <v>14251124</v>
      </c>
      <c r="B10193" t="n">
        <v>53736</v>
      </c>
      <c r="C10193" t="inlineStr">
        <is>
          <t>1425/11/24</t>
        </is>
      </c>
    </row>
    <row r="10194">
      <c r="A10194" t="n">
        <v>14251125</v>
      </c>
      <c r="B10194" t="n">
        <v>53737</v>
      </c>
      <c r="C10194" t="inlineStr">
        <is>
          <t>1425/11/25</t>
        </is>
      </c>
    </row>
    <row r="10195">
      <c r="A10195" t="n">
        <v>14251126</v>
      </c>
      <c r="B10195" t="n">
        <v>53738</v>
      </c>
      <c r="C10195" t="inlineStr">
        <is>
          <t>1425/11/26</t>
        </is>
      </c>
    </row>
    <row r="10196">
      <c r="A10196" t="n">
        <v>14251127</v>
      </c>
      <c r="B10196" t="n">
        <v>53739</v>
      </c>
      <c r="C10196" t="inlineStr">
        <is>
          <t>1425/11/27</t>
        </is>
      </c>
    </row>
    <row r="10197">
      <c r="A10197" t="n">
        <v>14251128</v>
      </c>
      <c r="B10197" t="n">
        <v>53740</v>
      </c>
      <c r="C10197" t="inlineStr">
        <is>
          <t>1425/11/28</t>
        </is>
      </c>
    </row>
    <row r="10198">
      <c r="A10198" t="n">
        <v>14251129</v>
      </c>
      <c r="B10198" t="n">
        <v>53741</v>
      </c>
      <c r="C10198" t="inlineStr">
        <is>
          <t>1425/11/29</t>
        </is>
      </c>
    </row>
    <row r="10199">
      <c r="A10199" t="n">
        <v>14251130</v>
      </c>
      <c r="B10199" t="n">
        <v>53742</v>
      </c>
      <c r="C10199" t="inlineStr">
        <is>
          <t>1425/11/30</t>
        </is>
      </c>
    </row>
    <row r="10200">
      <c r="A10200" t="n">
        <v>14251201</v>
      </c>
      <c r="B10200" t="n">
        <v>53743</v>
      </c>
      <c r="C10200" t="inlineStr">
        <is>
          <t>1425/12/01</t>
        </is>
      </c>
    </row>
    <row r="10201">
      <c r="A10201" t="n">
        <v>14251202</v>
      </c>
      <c r="B10201" t="n">
        <v>53744</v>
      </c>
      <c r="C10201" t="inlineStr">
        <is>
          <t>1425/12/02</t>
        </is>
      </c>
    </row>
    <row r="10202">
      <c r="A10202" t="n">
        <v>14251203</v>
      </c>
      <c r="B10202" t="n">
        <v>53745</v>
      </c>
      <c r="C10202" t="inlineStr">
        <is>
          <t>1425/12/03</t>
        </is>
      </c>
    </row>
    <row r="10203">
      <c r="A10203" t="n">
        <v>14251204</v>
      </c>
      <c r="B10203" t="n">
        <v>53746</v>
      </c>
      <c r="C10203" t="inlineStr">
        <is>
          <t>1425/12/04</t>
        </is>
      </c>
    </row>
    <row r="10204">
      <c r="A10204" t="n">
        <v>14251205</v>
      </c>
      <c r="B10204" t="n">
        <v>53747</v>
      </c>
      <c r="C10204" t="inlineStr">
        <is>
          <t>1425/12/05</t>
        </is>
      </c>
    </row>
    <row r="10205">
      <c r="A10205" t="n">
        <v>14251206</v>
      </c>
      <c r="B10205" t="n">
        <v>53748</v>
      </c>
      <c r="C10205" t="inlineStr">
        <is>
          <t>1425/12/06</t>
        </is>
      </c>
    </row>
    <row r="10206">
      <c r="A10206" t="n">
        <v>14251207</v>
      </c>
      <c r="B10206" t="n">
        <v>53749</v>
      </c>
      <c r="C10206" t="inlineStr">
        <is>
          <t>1425/12/07</t>
        </is>
      </c>
    </row>
    <row r="10207">
      <c r="A10207" t="n">
        <v>14251208</v>
      </c>
      <c r="B10207" t="n">
        <v>53750</v>
      </c>
      <c r="C10207" t="inlineStr">
        <is>
          <t>1425/12/08</t>
        </is>
      </c>
    </row>
    <row r="10208">
      <c r="A10208" t="n">
        <v>14251209</v>
      </c>
      <c r="B10208" t="n">
        <v>53751</v>
      </c>
      <c r="C10208" t="inlineStr">
        <is>
          <t>1425/12/09</t>
        </is>
      </c>
    </row>
    <row r="10209">
      <c r="A10209" t="n">
        <v>14251210</v>
      </c>
      <c r="B10209" t="n">
        <v>53752</v>
      </c>
      <c r="C10209" t="inlineStr">
        <is>
          <t>1425/12/10</t>
        </is>
      </c>
    </row>
    <row r="10210">
      <c r="A10210" t="n">
        <v>14251211</v>
      </c>
      <c r="B10210" t="n">
        <v>53753</v>
      </c>
      <c r="C10210" t="inlineStr">
        <is>
          <t>1425/12/11</t>
        </is>
      </c>
    </row>
    <row r="10211">
      <c r="A10211" t="n">
        <v>14251212</v>
      </c>
      <c r="B10211" t="n">
        <v>53754</v>
      </c>
      <c r="C10211" t="inlineStr">
        <is>
          <t>1425/12/12</t>
        </is>
      </c>
    </row>
    <row r="10212">
      <c r="A10212" t="n">
        <v>14251213</v>
      </c>
      <c r="B10212" t="n">
        <v>53755</v>
      </c>
      <c r="C10212" t="inlineStr">
        <is>
          <t>1425/12/13</t>
        </is>
      </c>
    </row>
    <row r="10213">
      <c r="A10213" t="n">
        <v>14251214</v>
      </c>
      <c r="B10213" t="n">
        <v>53756</v>
      </c>
      <c r="C10213" t="inlineStr">
        <is>
          <t>1425/12/14</t>
        </is>
      </c>
    </row>
    <row r="10214">
      <c r="A10214" t="n">
        <v>14251215</v>
      </c>
      <c r="B10214" t="n">
        <v>53757</v>
      </c>
      <c r="C10214" t="inlineStr">
        <is>
          <t>1425/12/15</t>
        </is>
      </c>
    </row>
    <row r="10215">
      <c r="A10215" t="n">
        <v>14251216</v>
      </c>
      <c r="B10215" t="n">
        <v>53758</v>
      </c>
      <c r="C10215" t="inlineStr">
        <is>
          <t>1425/12/16</t>
        </is>
      </c>
    </row>
    <row r="10216">
      <c r="A10216" t="n">
        <v>14251217</v>
      </c>
      <c r="B10216" t="n">
        <v>53759</v>
      </c>
      <c r="C10216" t="inlineStr">
        <is>
          <t>1425/12/17</t>
        </is>
      </c>
    </row>
    <row r="10217">
      <c r="A10217" t="n">
        <v>14251218</v>
      </c>
      <c r="B10217" t="n">
        <v>53760</v>
      </c>
      <c r="C10217" t="inlineStr">
        <is>
          <t>1425/12/18</t>
        </is>
      </c>
    </row>
    <row r="10218">
      <c r="A10218" t="n">
        <v>14251219</v>
      </c>
      <c r="B10218" t="n">
        <v>53761</v>
      </c>
      <c r="C10218" t="inlineStr">
        <is>
          <t>1425/12/19</t>
        </is>
      </c>
    </row>
    <row r="10219">
      <c r="A10219" t="n">
        <v>14251220</v>
      </c>
      <c r="B10219" t="n">
        <v>53762</v>
      </c>
      <c r="C10219" t="inlineStr">
        <is>
          <t>1425/12/20</t>
        </is>
      </c>
    </row>
    <row r="10220">
      <c r="A10220" t="n">
        <v>14251221</v>
      </c>
      <c r="B10220" t="n">
        <v>53763</v>
      </c>
      <c r="C10220" t="inlineStr">
        <is>
          <t>1425/12/21</t>
        </is>
      </c>
    </row>
    <row r="10221">
      <c r="A10221" t="n">
        <v>14251222</v>
      </c>
      <c r="B10221" t="n">
        <v>53764</v>
      </c>
      <c r="C10221" t="inlineStr">
        <is>
          <t>1425/12/22</t>
        </is>
      </c>
    </row>
    <row r="10222">
      <c r="A10222" t="n">
        <v>14251223</v>
      </c>
      <c r="B10222" t="n">
        <v>53765</v>
      </c>
      <c r="C10222" t="inlineStr">
        <is>
          <t>1425/12/23</t>
        </is>
      </c>
    </row>
    <row r="10223">
      <c r="A10223" t="n">
        <v>14251224</v>
      </c>
      <c r="B10223" t="n">
        <v>53766</v>
      </c>
      <c r="C10223" t="inlineStr">
        <is>
          <t>1425/12/24</t>
        </is>
      </c>
    </row>
    <row r="10224">
      <c r="A10224" t="n">
        <v>14251225</v>
      </c>
      <c r="B10224" t="n">
        <v>53767</v>
      </c>
      <c r="C10224" t="inlineStr">
        <is>
          <t>1425/12/25</t>
        </is>
      </c>
    </row>
    <row r="10225">
      <c r="A10225" t="n">
        <v>14251226</v>
      </c>
      <c r="B10225" t="n">
        <v>53768</v>
      </c>
      <c r="C10225" t="inlineStr">
        <is>
          <t>1425/12/26</t>
        </is>
      </c>
    </row>
    <row r="10226">
      <c r="A10226" t="n">
        <v>14251227</v>
      </c>
      <c r="B10226" t="n">
        <v>53769</v>
      </c>
      <c r="C10226" t="inlineStr">
        <is>
          <t>1425/12/27</t>
        </is>
      </c>
    </row>
    <row r="10227">
      <c r="A10227" t="n">
        <v>14251228</v>
      </c>
      <c r="B10227" t="n">
        <v>53770</v>
      </c>
      <c r="C10227" t="inlineStr">
        <is>
          <t>1425/12/28</t>
        </is>
      </c>
    </row>
    <row r="10228">
      <c r="A10228" t="n">
        <v>14251229</v>
      </c>
      <c r="B10228" t="n">
        <v>53771</v>
      </c>
      <c r="C10228" t="inlineStr">
        <is>
          <t>1425/12/29</t>
        </is>
      </c>
    </row>
    <row r="10229">
      <c r="A10229" t="n">
        <v>14260101</v>
      </c>
      <c r="B10229" t="n">
        <v>53772</v>
      </c>
      <c r="C10229" t="inlineStr">
        <is>
          <t>1426/01/01</t>
        </is>
      </c>
    </row>
    <row r="10230">
      <c r="A10230" t="n">
        <v>14260102</v>
      </c>
      <c r="B10230" t="n">
        <v>53773</v>
      </c>
      <c r="C10230" t="inlineStr">
        <is>
          <t>1426/01/02</t>
        </is>
      </c>
    </row>
    <row r="10231">
      <c r="A10231" t="n">
        <v>14260103</v>
      </c>
      <c r="B10231" t="n">
        <v>53774</v>
      </c>
      <c r="C10231" t="inlineStr">
        <is>
          <t>1426/01/03</t>
        </is>
      </c>
    </row>
    <row r="10232">
      <c r="A10232" t="n">
        <v>14260104</v>
      </c>
      <c r="B10232" t="n">
        <v>53775</v>
      </c>
      <c r="C10232" t="inlineStr">
        <is>
          <t>1426/01/04</t>
        </is>
      </c>
    </row>
    <row r="10233">
      <c r="A10233" t="n">
        <v>14260105</v>
      </c>
      <c r="B10233" t="n">
        <v>53776</v>
      </c>
      <c r="C10233" t="inlineStr">
        <is>
          <t>1426/01/05</t>
        </is>
      </c>
    </row>
    <row r="10234">
      <c r="A10234" t="n">
        <v>14260106</v>
      </c>
      <c r="B10234" t="n">
        <v>53777</v>
      </c>
      <c r="C10234" t="inlineStr">
        <is>
          <t>1426/01/06</t>
        </is>
      </c>
    </row>
    <row r="10235">
      <c r="A10235" t="n">
        <v>14260107</v>
      </c>
      <c r="B10235" t="n">
        <v>53778</v>
      </c>
      <c r="C10235" t="inlineStr">
        <is>
          <t>1426/01/07</t>
        </is>
      </c>
    </row>
    <row r="10236">
      <c r="A10236" t="n">
        <v>14260108</v>
      </c>
      <c r="B10236" t="n">
        <v>53779</v>
      </c>
      <c r="C10236" t="inlineStr">
        <is>
          <t>1426/01/08</t>
        </is>
      </c>
    </row>
    <row r="10237">
      <c r="A10237" t="n">
        <v>14260109</v>
      </c>
      <c r="B10237" t="n">
        <v>53780</v>
      </c>
      <c r="C10237" t="inlineStr">
        <is>
          <t>1426/01/09</t>
        </is>
      </c>
    </row>
    <row r="10238">
      <c r="A10238" t="n">
        <v>14260110</v>
      </c>
      <c r="B10238" t="n">
        <v>53781</v>
      </c>
      <c r="C10238" t="inlineStr">
        <is>
          <t>1426/01/10</t>
        </is>
      </c>
    </row>
    <row r="10239">
      <c r="A10239" t="n">
        <v>14260111</v>
      </c>
      <c r="B10239" t="n">
        <v>53782</v>
      </c>
      <c r="C10239" t="inlineStr">
        <is>
          <t>1426/01/11</t>
        </is>
      </c>
    </row>
    <row r="10240">
      <c r="A10240" t="n">
        <v>14260112</v>
      </c>
      <c r="B10240" t="n">
        <v>53783</v>
      </c>
      <c r="C10240" t="inlineStr">
        <is>
          <t>1426/01/12</t>
        </is>
      </c>
    </row>
    <row r="10241">
      <c r="A10241" t="n">
        <v>14260113</v>
      </c>
      <c r="B10241" t="n">
        <v>53784</v>
      </c>
      <c r="C10241" t="inlineStr">
        <is>
          <t>1426/01/13</t>
        </is>
      </c>
    </row>
    <row r="10242">
      <c r="A10242" t="n">
        <v>14260114</v>
      </c>
      <c r="B10242" t="n">
        <v>53785</v>
      </c>
      <c r="C10242" t="inlineStr">
        <is>
          <t>1426/01/14</t>
        </is>
      </c>
    </row>
    <row r="10243">
      <c r="A10243" t="n">
        <v>14260115</v>
      </c>
      <c r="B10243" t="n">
        <v>53786</v>
      </c>
      <c r="C10243" t="inlineStr">
        <is>
          <t>1426/01/15</t>
        </is>
      </c>
    </row>
    <row r="10244">
      <c r="A10244" t="n">
        <v>14260116</v>
      </c>
      <c r="B10244" t="n">
        <v>53787</v>
      </c>
      <c r="C10244" t="inlineStr">
        <is>
          <t>1426/01/16</t>
        </is>
      </c>
    </row>
    <row r="10245">
      <c r="A10245" t="n">
        <v>14260117</v>
      </c>
      <c r="B10245" t="n">
        <v>53788</v>
      </c>
      <c r="C10245" t="inlineStr">
        <is>
          <t>1426/01/17</t>
        </is>
      </c>
    </row>
    <row r="10246">
      <c r="A10246" t="n">
        <v>14260118</v>
      </c>
      <c r="B10246" t="n">
        <v>53789</v>
      </c>
      <c r="C10246" t="inlineStr">
        <is>
          <t>1426/01/18</t>
        </is>
      </c>
    </row>
    <row r="10247">
      <c r="A10247" t="n">
        <v>14260119</v>
      </c>
      <c r="B10247" t="n">
        <v>53790</v>
      </c>
      <c r="C10247" t="inlineStr">
        <is>
          <t>1426/01/19</t>
        </is>
      </c>
    </row>
    <row r="10248">
      <c r="A10248" t="n">
        <v>14260120</v>
      </c>
      <c r="B10248" t="n">
        <v>53791</v>
      </c>
      <c r="C10248" t="inlineStr">
        <is>
          <t>1426/01/20</t>
        </is>
      </c>
    </row>
    <row r="10249">
      <c r="A10249" t="n">
        <v>14260121</v>
      </c>
      <c r="B10249" t="n">
        <v>53792</v>
      </c>
      <c r="C10249" t="inlineStr">
        <is>
          <t>1426/01/21</t>
        </is>
      </c>
    </row>
    <row r="10250">
      <c r="A10250" t="n">
        <v>14260122</v>
      </c>
      <c r="B10250" t="n">
        <v>53793</v>
      </c>
      <c r="C10250" t="inlineStr">
        <is>
          <t>1426/01/22</t>
        </is>
      </c>
    </row>
    <row r="10251">
      <c r="A10251" t="n">
        <v>14260123</v>
      </c>
      <c r="B10251" t="n">
        <v>53794</v>
      </c>
      <c r="C10251" t="inlineStr">
        <is>
          <t>1426/01/23</t>
        </is>
      </c>
    </row>
    <row r="10252">
      <c r="A10252" t="n">
        <v>14260124</v>
      </c>
      <c r="B10252" t="n">
        <v>53795</v>
      </c>
      <c r="C10252" t="inlineStr">
        <is>
          <t>1426/01/24</t>
        </is>
      </c>
    </row>
    <row r="10253">
      <c r="A10253" t="n">
        <v>14260125</v>
      </c>
      <c r="B10253" t="n">
        <v>53796</v>
      </c>
      <c r="C10253" t="inlineStr">
        <is>
          <t>1426/01/25</t>
        </is>
      </c>
    </row>
    <row r="10254">
      <c r="A10254" t="n">
        <v>14260126</v>
      </c>
      <c r="B10254" t="n">
        <v>53797</v>
      </c>
      <c r="C10254" t="inlineStr">
        <is>
          <t>1426/01/26</t>
        </is>
      </c>
    </row>
    <row r="10255">
      <c r="A10255" t="n">
        <v>14260127</v>
      </c>
      <c r="B10255" t="n">
        <v>53798</v>
      </c>
      <c r="C10255" t="inlineStr">
        <is>
          <t>1426/01/27</t>
        </is>
      </c>
    </row>
    <row r="10256">
      <c r="A10256" t="n">
        <v>14260128</v>
      </c>
      <c r="B10256" t="n">
        <v>53799</v>
      </c>
      <c r="C10256" t="inlineStr">
        <is>
          <t>1426/01/28</t>
        </is>
      </c>
    </row>
    <row r="10257">
      <c r="A10257" t="n">
        <v>14260129</v>
      </c>
      <c r="B10257" t="n">
        <v>53800</v>
      </c>
      <c r="C10257" t="inlineStr">
        <is>
          <t>1426/01/29</t>
        </is>
      </c>
    </row>
    <row r="10258">
      <c r="A10258" t="n">
        <v>14260130</v>
      </c>
      <c r="B10258" t="n">
        <v>53801</v>
      </c>
      <c r="C10258" t="inlineStr">
        <is>
          <t>1426/01/30</t>
        </is>
      </c>
    </row>
    <row r="10259">
      <c r="A10259" t="n">
        <v>14260131</v>
      </c>
      <c r="B10259" t="n">
        <v>53802</v>
      </c>
      <c r="C10259" t="inlineStr">
        <is>
          <t>1426/01/31</t>
        </is>
      </c>
    </row>
    <row r="10260">
      <c r="A10260" t="n">
        <v>14260201</v>
      </c>
      <c r="B10260" t="n">
        <v>53803</v>
      </c>
      <c r="C10260" t="inlineStr">
        <is>
          <t>1426/02/01</t>
        </is>
      </c>
    </row>
    <row r="10261">
      <c r="A10261" t="n">
        <v>14260202</v>
      </c>
      <c r="B10261" t="n">
        <v>53804</v>
      </c>
      <c r="C10261" t="inlineStr">
        <is>
          <t>1426/02/02</t>
        </is>
      </c>
    </row>
    <row r="10262">
      <c r="A10262" t="n">
        <v>14260203</v>
      </c>
      <c r="B10262" t="n">
        <v>53805</v>
      </c>
      <c r="C10262" t="inlineStr">
        <is>
          <t>1426/02/03</t>
        </is>
      </c>
    </row>
    <row r="10263">
      <c r="A10263" t="n">
        <v>14260204</v>
      </c>
      <c r="B10263" t="n">
        <v>53806</v>
      </c>
      <c r="C10263" t="inlineStr">
        <is>
          <t>1426/02/04</t>
        </is>
      </c>
    </row>
    <row r="10264">
      <c r="A10264" t="n">
        <v>14260205</v>
      </c>
      <c r="B10264" t="n">
        <v>53807</v>
      </c>
      <c r="C10264" t="inlineStr">
        <is>
          <t>1426/02/05</t>
        </is>
      </c>
    </row>
    <row r="10265">
      <c r="A10265" t="n">
        <v>14260206</v>
      </c>
      <c r="B10265" t="n">
        <v>53808</v>
      </c>
      <c r="C10265" t="inlineStr">
        <is>
          <t>1426/02/06</t>
        </is>
      </c>
    </row>
    <row r="10266">
      <c r="A10266" t="n">
        <v>14260207</v>
      </c>
      <c r="B10266" t="n">
        <v>53809</v>
      </c>
      <c r="C10266" t="inlineStr">
        <is>
          <t>1426/02/07</t>
        </is>
      </c>
    </row>
    <row r="10267">
      <c r="A10267" t="n">
        <v>14260208</v>
      </c>
      <c r="B10267" t="n">
        <v>53810</v>
      </c>
      <c r="C10267" t="inlineStr">
        <is>
          <t>1426/02/08</t>
        </is>
      </c>
    </row>
    <row r="10268">
      <c r="A10268" t="n">
        <v>14260209</v>
      </c>
      <c r="B10268" t="n">
        <v>53811</v>
      </c>
      <c r="C10268" t="inlineStr">
        <is>
          <t>1426/02/09</t>
        </is>
      </c>
    </row>
    <row r="10269">
      <c r="A10269" t="n">
        <v>14260210</v>
      </c>
      <c r="B10269" t="n">
        <v>53812</v>
      </c>
      <c r="C10269" t="inlineStr">
        <is>
          <t>1426/02/10</t>
        </is>
      </c>
    </row>
    <row r="10270">
      <c r="A10270" t="n">
        <v>14260211</v>
      </c>
      <c r="B10270" t="n">
        <v>53813</v>
      </c>
      <c r="C10270" t="inlineStr">
        <is>
          <t>1426/02/11</t>
        </is>
      </c>
    </row>
    <row r="10271">
      <c r="A10271" t="n">
        <v>14260212</v>
      </c>
      <c r="B10271" t="n">
        <v>53814</v>
      </c>
      <c r="C10271" t="inlineStr">
        <is>
          <t>1426/02/12</t>
        </is>
      </c>
    </row>
    <row r="10272">
      <c r="A10272" t="n">
        <v>14260213</v>
      </c>
      <c r="B10272" t="n">
        <v>53815</v>
      </c>
      <c r="C10272" t="inlineStr">
        <is>
          <t>1426/02/13</t>
        </is>
      </c>
    </row>
    <row r="10273">
      <c r="A10273" t="n">
        <v>14260214</v>
      </c>
      <c r="B10273" t="n">
        <v>53816</v>
      </c>
      <c r="C10273" t="inlineStr">
        <is>
          <t>1426/02/14</t>
        </is>
      </c>
    </row>
    <row r="10274">
      <c r="A10274" t="n">
        <v>14260215</v>
      </c>
      <c r="B10274" t="n">
        <v>53817</v>
      </c>
      <c r="C10274" t="inlineStr">
        <is>
          <t>1426/02/15</t>
        </is>
      </c>
    </row>
    <row r="10275">
      <c r="A10275" t="n">
        <v>14260216</v>
      </c>
      <c r="B10275" t="n">
        <v>53818</v>
      </c>
      <c r="C10275" t="inlineStr">
        <is>
          <t>1426/02/16</t>
        </is>
      </c>
    </row>
    <row r="10276">
      <c r="A10276" t="n">
        <v>14260217</v>
      </c>
      <c r="B10276" t="n">
        <v>53819</v>
      </c>
      <c r="C10276" t="inlineStr">
        <is>
          <t>1426/02/17</t>
        </is>
      </c>
    </row>
    <row r="10277">
      <c r="A10277" t="n">
        <v>14260218</v>
      </c>
      <c r="B10277" t="n">
        <v>53820</v>
      </c>
      <c r="C10277" t="inlineStr">
        <is>
          <t>1426/02/18</t>
        </is>
      </c>
    </row>
    <row r="10278">
      <c r="A10278" t="n">
        <v>14260219</v>
      </c>
      <c r="B10278" t="n">
        <v>53821</v>
      </c>
      <c r="C10278" t="inlineStr">
        <is>
          <t>1426/02/19</t>
        </is>
      </c>
    </row>
    <row r="10279">
      <c r="A10279" t="n">
        <v>14260220</v>
      </c>
      <c r="B10279" t="n">
        <v>53822</v>
      </c>
      <c r="C10279" t="inlineStr">
        <is>
          <t>1426/02/20</t>
        </is>
      </c>
    </row>
    <row r="10280">
      <c r="A10280" t="n">
        <v>14260221</v>
      </c>
      <c r="B10280" t="n">
        <v>53823</v>
      </c>
      <c r="C10280" t="inlineStr">
        <is>
          <t>1426/02/21</t>
        </is>
      </c>
    </row>
    <row r="10281">
      <c r="A10281" t="n">
        <v>14260222</v>
      </c>
      <c r="B10281" t="n">
        <v>53824</v>
      </c>
      <c r="C10281" t="inlineStr">
        <is>
          <t>1426/02/22</t>
        </is>
      </c>
    </row>
    <row r="10282">
      <c r="A10282" t="n">
        <v>14260223</v>
      </c>
      <c r="B10282" t="n">
        <v>53825</v>
      </c>
      <c r="C10282" t="inlineStr">
        <is>
          <t>1426/02/23</t>
        </is>
      </c>
    </row>
    <row r="10283">
      <c r="A10283" t="n">
        <v>14260224</v>
      </c>
      <c r="B10283" t="n">
        <v>53826</v>
      </c>
      <c r="C10283" t="inlineStr">
        <is>
          <t>1426/02/24</t>
        </is>
      </c>
    </row>
    <row r="10284">
      <c r="A10284" t="n">
        <v>14260225</v>
      </c>
      <c r="B10284" t="n">
        <v>53827</v>
      </c>
      <c r="C10284" t="inlineStr">
        <is>
          <t>1426/02/25</t>
        </is>
      </c>
    </row>
    <row r="10285">
      <c r="A10285" t="n">
        <v>14260226</v>
      </c>
      <c r="B10285" t="n">
        <v>53828</v>
      </c>
      <c r="C10285" t="inlineStr">
        <is>
          <t>1426/02/26</t>
        </is>
      </c>
    </row>
    <row r="10286">
      <c r="A10286" t="n">
        <v>14260227</v>
      </c>
      <c r="B10286" t="n">
        <v>53829</v>
      </c>
      <c r="C10286" t="inlineStr">
        <is>
          <t>1426/02/27</t>
        </is>
      </c>
    </row>
    <row r="10287">
      <c r="A10287" t="n">
        <v>14260228</v>
      </c>
      <c r="B10287" t="n">
        <v>53830</v>
      </c>
      <c r="C10287" t="inlineStr">
        <is>
          <t>1426/02/28</t>
        </is>
      </c>
    </row>
    <row r="10288">
      <c r="A10288" t="n">
        <v>14260229</v>
      </c>
      <c r="B10288" t="n">
        <v>53831</v>
      </c>
      <c r="C10288" t="inlineStr">
        <is>
          <t>1426/02/29</t>
        </is>
      </c>
    </row>
    <row r="10289">
      <c r="A10289" t="n">
        <v>14260230</v>
      </c>
      <c r="B10289" t="n">
        <v>53832</v>
      </c>
      <c r="C10289" t="inlineStr">
        <is>
          <t>1426/02/30</t>
        </is>
      </c>
    </row>
    <row r="10290">
      <c r="A10290" t="n">
        <v>14260231</v>
      </c>
      <c r="B10290" t="n">
        <v>53833</v>
      </c>
      <c r="C10290" t="inlineStr">
        <is>
          <t>1426/02/31</t>
        </is>
      </c>
    </row>
    <row r="10291">
      <c r="A10291" t="n">
        <v>14260301</v>
      </c>
      <c r="B10291" t="n">
        <v>53834</v>
      </c>
      <c r="C10291" t="inlineStr">
        <is>
          <t>1426/03/01</t>
        </is>
      </c>
    </row>
    <row r="10292">
      <c r="A10292" t="n">
        <v>14260302</v>
      </c>
      <c r="B10292" t="n">
        <v>53835</v>
      </c>
      <c r="C10292" t="inlineStr">
        <is>
          <t>1426/03/02</t>
        </is>
      </c>
    </row>
    <row r="10293">
      <c r="A10293" t="n">
        <v>14260303</v>
      </c>
      <c r="B10293" t="n">
        <v>53836</v>
      </c>
      <c r="C10293" t="inlineStr">
        <is>
          <t>1426/03/03</t>
        </is>
      </c>
    </row>
    <row r="10294">
      <c r="A10294" t="n">
        <v>14260304</v>
      </c>
      <c r="B10294" t="n">
        <v>53837</v>
      </c>
      <c r="C10294" t="inlineStr">
        <is>
          <t>1426/03/04</t>
        </is>
      </c>
    </row>
    <row r="10295">
      <c r="A10295" t="n">
        <v>14260305</v>
      </c>
      <c r="B10295" t="n">
        <v>53838</v>
      </c>
      <c r="C10295" t="inlineStr">
        <is>
          <t>1426/03/05</t>
        </is>
      </c>
    </row>
    <row r="10296">
      <c r="A10296" t="n">
        <v>14260306</v>
      </c>
      <c r="B10296" t="n">
        <v>53839</v>
      </c>
      <c r="C10296" t="inlineStr">
        <is>
          <t>1426/03/06</t>
        </is>
      </c>
    </row>
    <row r="10297">
      <c r="A10297" t="n">
        <v>14260307</v>
      </c>
      <c r="B10297" t="n">
        <v>53840</v>
      </c>
      <c r="C10297" t="inlineStr">
        <is>
          <t>1426/03/07</t>
        </is>
      </c>
    </row>
    <row r="10298">
      <c r="A10298" t="n">
        <v>14260308</v>
      </c>
      <c r="B10298" t="n">
        <v>53841</v>
      </c>
      <c r="C10298" t="inlineStr">
        <is>
          <t>1426/03/08</t>
        </is>
      </c>
    </row>
    <row r="10299">
      <c r="A10299" t="n">
        <v>14260309</v>
      </c>
      <c r="B10299" t="n">
        <v>53842</v>
      </c>
      <c r="C10299" t="inlineStr">
        <is>
          <t>1426/03/09</t>
        </is>
      </c>
    </row>
    <row r="10300">
      <c r="A10300" t="n">
        <v>14260310</v>
      </c>
      <c r="B10300" t="n">
        <v>53843</v>
      </c>
      <c r="C10300" t="inlineStr">
        <is>
          <t>1426/03/10</t>
        </is>
      </c>
    </row>
    <row r="10301">
      <c r="A10301" t="n">
        <v>14260311</v>
      </c>
      <c r="B10301" t="n">
        <v>53844</v>
      </c>
      <c r="C10301" t="inlineStr">
        <is>
          <t>1426/03/11</t>
        </is>
      </c>
    </row>
    <row r="10302">
      <c r="A10302" t="n">
        <v>14260312</v>
      </c>
      <c r="B10302" t="n">
        <v>53845</v>
      </c>
      <c r="C10302" t="inlineStr">
        <is>
          <t>1426/03/12</t>
        </is>
      </c>
    </row>
    <row r="10303">
      <c r="A10303" t="n">
        <v>14260313</v>
      </c>
      <c r="B10303" t="n">
        <v>53846</v>
      </c>
      <c r="C10303" t="inlineStr">
        <is>
          <t>1426/03/13</t>
        </is>
      </c>
    </row>
    <row r="10304">
      <c r="A10304" t="n">
        <v>14260314</v>
      </c>
      <c r="B10304" t="n">
        <v>53847</v>
      </c>
      <c r="C10304" t="inlineStr">
        <is>
          <t>1426/03/14</t>
        </is>
      </c>
    </row>
    <row r="10305">
      <c r="A10305" t="n">
        <v>14260315</v>
      </c>
      <c r="B10305" t="n">
        <v>53848</v>
      </c>
      <c r="C10305" t="inlineStr">
        <is>
          <t>1426/03/15</t>
        </is>
      </c>
    </row>
    <row r="10306">
      <c r="A10306" t="n">
        <v>14260316</v>
      </c>
      <c r="B10306" t="n">
        <v>53849</v>
      </c>
      <c r="C10306" t="inlineStr">
        <is>
          <t>1426/03/16</t>
        </is>
      </c>
    </row>
    <row r="10307">
      <c r="A10307" t="n">
        <v>14260317</v>
      </c>
      <c r="B10307" t="n">
        <v>53850</v>
      </c>
      <c r="C10307" t="inlineStr">
        <is>
          <t>1426/03/17</t>
        </is>
      </c>
    </row>
    <row r="10308">
      <c r="A10308" t="n">
        <v>14260318</v>
      </c>
      <c r="B10308" t="n">
        <v>53851</v>
      </c>
      <c r="C10308" t="inlineStr">
        <is>
          <t>1426/03/18</t>
        </is>
      </c>
    </row>
    <row r="10309">
      <c r="A10309" t="n">
        <v>14260319</v>
      </c>
      <c r="B10309" t="n">
        <v>53852</v>
      </c>
      <c r="C10309" t="inlineStr">
        <is>
          <t>1426/03/19</t>
        </is>
      </c>
    </row>
    <row r="10310">
      <c r="A10310" t="n">
        <v>14260320</v>
      </c>
      <c r="B10310" t="n">
        <v>53853</v>
      </c>
      <c r="C10310" t="inlineStr">
        <is>
          <t>1426/03/20</t>
        </is>
      </c>
    </row>
    <row r="10311">
      <c r="A10311" t="n">
        <v>14260321</v>
      </c>
      <c r="B10311" t="n">
        <v>53854</v>
      </c>
      <c r="C10311" t="inlineStr">
        <is>
          <t>1426/03/21</t>
        </is>
      </c>
    </row>
    <row r="10312">
      <c r="A10312" t="n">
        <v>14260322</v>
      </c>
      <c r="B10312" t="n">
        <v>53855</v>
      </c>
      <c r="C10312" t="inlineStr">
        <is>
          <t>1426/03/22</t>
        </is>
      </c>
    </row>
    <row r="10313">
      <c r="A10313" t="n">
        <v>14260323</v>
      </c>
      <c r="B10313" t="n">
        <v>53856</v>
      </c>
      <c r="C10313" t="inlineStr">
        <is>
          <t>1426/03/23</t>
        </is>
      </c>
    </row>
    <row r="10314">
      <c r="A10314" t="n">
        <v>14260324</v>
      </c>
      <c r="B10314" t="n">
        <v>53857</v>
      </c>
      <c r="C10314" t="inlineStr">
        <is>
          <t>1426/03/24</t>
        </is>
      </c>
    </row>
    <row r="10315">
      <c r="A10315" t="n">
        <v>14260325</v>
      </c>
      <c r="B10315" t="n">
        <v>53858</v>
      </c>
      <c r="C10315" t="inlineStr">
        <is>
          <t>1426/03/25</t>
        </is>
      </c>
    </row>
    <row r="10316">
      <c r="A10316" t="n">
        <v>14260326</v>
      </c>
      <c r="B10316" t="n">
        <v>53859</v>
      </c>
      <c r="C10316" t="inlineStr">
        <is>
          <t>1426/03/26</t>
        </is>
      </c>
    </row>
    <row r="10317">
      <c r="A10317" t="n">
        <v>14260327</v>
      </c>
      <c r="B10317" t="n">
        <v>53860</v>
      </c>
      <c r="C10317" t="inlineStr">
        <is>
          <t>1426/03/27</t>
        </is>
      </c>
    </row>
    <row r="10318">
      <c r="A10318" t="n">
        <v>14260328</v>
      </c>
      <c r="B10318" t="n">
        <v>53861</v>
      </c>
      <c r="C10318" t="inlineStr">
        <is>
          <t>1426/03/28</t>
        </is>
      </c>
    </row>
    <row r="10319">
      <c r="A10319" t="n">
        <v>14260329</v>
      </c>
      <c r="B10319" t="n">
        <v>53862</v>
      </c>
      <c r="C10319" t="inlineStr">
        <is>
          <t>1426/03/29</t>
        </is>
      </c>
    </row>
    <row r="10320">
      <c r="A10320" t="n">
        <v>14260330</v>
      </c>
      <c r="B10320" t="n">
        <v>53863</v>
      </c>
      <c r="C10320" t="inlineStr">
        <is>
          <t>1426/03/30</t>
        </is>
      </c>
    </row>
    <row r="10321">
      <c r="A10321" t="n">
        <v>14260331</v>
      </c>
      <c r="B10321" t="n">
        <v>53864</v>
      </c>
      <c r="C10321" t="inlineStr">
        <is>
          <t>1426/03/31</t>
        </is>
      </c>
    </row>
    <row r="10322">
      <c r="A10322" t="n">
        <v>14260401</v>
      </c>
      <c r="B10322" t="n">
        <v>53865</v>
      </c>
      <c r="C10322" t="inlineStr">
        <is>
          <t>1426/04/01</t>
        </is>
      </c>
    </row>
    <row r="10323">
      <c r="A10323" t="n">
        <v>14260402</v>
      </c>
      <c r="B10323" t="n">
        <v>53866</v>
      </c>
      <c r="C10323" t="inlineStr">
        <is>
          <t>1426/04/02</t>
        </is>
      </c>
    </row>
    <row r="10324">
      <c r="A10324" t="n">
        <v>14260403</v>
      </c>
      <c r="B10324" t="n">
        <v>53867</v>
      </c>
      <c r="C10324" t="inlineStr">
        <is>
          <t>1426/04/03</t>
        </is>
      </c>
    </row>
    <row r="10325">
      <c r="A10325" t="n">
        <v>14260404</v>
      </c>
      <c r="B10325" t="n">
        <v>53868</v>
      </c>
      <c r="C10325" t="inlineStr">
        <is>
          <t>1426/04/04</t>
        </is>
      </c>
    </row>
    <row r="10326">
      <c r="A10326" t="n">
        <v>14260405</v>
      </c>
      <c r="B10326" t="n">
        <v>53869</v>
      </c>
      <c r="C10326" t="inlineStr">
        <is>
          <t>1426/04/05</t>
        </is>
      </c>
    </row>
    <row r="10327">
      <c r="A10327" t="n">
        <v>14260406</v>
      </c>
      <c r="B10327" t="n">
        <v>53870</v>
      </c>
      <c r="C10327" t="inlineStr">
        <is>
          <t>1426/04/06</t>
        </is>
      </c>
    </row>
    <row r="10328">
      <c r="A10328" t="n">
        <v>14260407</v>
      </c>
      <c r="B10328" t="n">
        <v>53871</v>
      </c>
      <c r="C10328" t="inlineStr">
        <is>
          <t>1426/04/07</t>
        </is>
      </c>
    </row>
    <row r="10329">
      <c r="A10329" t="n">
        <v>14260408</v>
      </c>
      <c r="B10329" t="n">
        <v>53872</v>
      </c>
      <c r="C10329" t="inlineStr">
        <is>
          <t>1426/04/08</t>
        </is>
      </c>
    </row>
    <row r="10330">
      <c r="A10330" t="n">
        <v>14260409</v>
      </c>
      <c r="B10330" t="n">
        <v>53873</v>
      </c>
      <c r="C10330" t="inlineStr">
        <is>
          <t>1426/04/09</t>
        </is>
      </c>
    </row>
    <row r="10331">
      <c r="A10331" t="n">
        <v>14260410</v>
      </c>
      <c r="B10331" t="n">
        <v>53874</v>
      </c>
      <c r="C10331" t="inlineStr">
        <is>
          <t>1426/04/10</t>
        </is>
      </c>
    </row>
    <row r="10332">
      <c r="A10332" t="n">
        <v>14260411</v>
      </c>
      <c r="B10332" t="n">
        <v>53875</v>
      </c>
      <c r="C10332" t="inlineStr">
        <is>
          <t>1426/04/11</t>
        </is>
      </c>
    </row>
    <row r="10333">
      <c r="A10333" t="n">
        <v>14260412</v>
      </c>
      <c r="B10333" t="n">
        <v>53876</v>
      </c>
      <c r="C10333" t="inlineStr">
        <is>
          <t>1426/04/12</t>
        </is>
      </c>
    </row>
    <row r="10334">
      <c r="A10334" t="n">
        <v>14260413</v>
      </c>
      <c r="B10334" t="n">
        <v>53877</v>
      </c>
      <c r="C10334" t="inlineStr">
        <is>
          <t>1426/04/13</t>
        </is>
      </c>
    </row>
    <row r="10335">
      <c r="A10335" t="n">
        <v>14260414</v>
      </c>
      <c r="B10335" t="n">
        <v>53878</v>
      </c>
      <c r="C10335" t="inlineStr">
        <is>
          <t>1426/04/14</t>
        </is>
      </c>
    </row>
    <row r="10336">
      <c r="A10336" t="n">
        <v>14260415</v>
      </c>
      <c r="B10336" t="n">
        <v>53879</v>
      </c>
      <c r="C10336" t="inlineStr">
        <is>
          <t>1426/04/15</t>
        </is>
      </c>
    </row>
    <row r="10337">
      <c r="A10337" t="n">
        <v>14260416</v>
      </c>
      <c r="B10337" t="n">
        <v>53880</v>
      </c>
      <c r="C10337" t="inlineStr">
        <is>
          <t>1426/04/16</t>
        </is>
      </c>
    </row>
    <row r="10338">
      <c r="A10338" t="n">
        <v>14260417</v>
      </c>
      <c r="B10338" t="n">
        <v>53881</v>
      </c>
      <c r="C10338" t="inlineStr">
        <is>
          <t>1426/04/17</t>
        </is>
      </c>
    </row>
    <row r="10339">
      <c r="A10339" t="n">
        <v>14260418</v>
      </c>
      <c r="B10339" t="n">
        <v>53882</v>
      </c>
      <c r="C10339" t="inlineStr">
        <is>
          <t>1426/04/18</t>
        </is>
      </c>
    </row>
    <row r="10340">
      <c r="A10340" t="n">
        <v>14260419</v>
      </c>
      <c r="B10340" t="n">
        <v>53883</v>
      </c>
      <c r="C10340" t="inlineStr">
        <is>
          <t>1426/04/19</t>
        </is>
      </c>
    </row>
    <row r="10341">
      <c r="A10341" t="n">
        <v>14260420</v>
      </c>
      <c r="B10341" t="n">
        <v>53884</v>
      </c>
      <c r="C10341" t="inlineStr">
        <is>
          <t>1426/04/20</t>
        </is>
      </c>
    </row>
    <row r="10342">
      <c r="A10342" t="n">
        <v>14260421</v>
      </c>
      <c r="B10342" t="n">
        <v>53885</v>
      </c>
      <c r="C10342" t="inlineStr">
        <is>
          <t>1426/04/21</t>
        </is>
      </c>
    </row>
    <row r="10343">
      <c r="A10343" t="n">
        <v>14260422</v>
      </c>
      <c r="B10343" t="n">
        <v>53886</v>
      </c>
      <c r="C10343" t="inlineStr">
        <is>
          <t>1426/04/22</t>
        </is>
      </c>
    </row>
    <row r="10344">
      <c r="A10344" t="n">
        <v>14260423</v>
      </c>
      <c r="B10344" t="n">
        <v>53887</v>
      </c>
      <c r="C10344" t="inlineStr">
        <is>
          <t>1426/04/23</t>
        </is>
      </c>
    </row>
    <row r="10345">
      <c r="A10345" t="n">
        <v>14260424</v>
      </c>
      <c r="B10345" t="n">
        <v>53888</v>
      </c>
      <c r="C10345" t="inlineStr">
        <is>
          <t>1426/04/24</t>
        </is>
      </c>
    </row>
    <row r="10346">
      <c r="A10346" t="n">
        <v>14260425</v>
      </c>
      <c r="B10346" t="n">
        <v>53889</v>
      </c>
      <c r="C10346" t="inlineStr">
        <is>
          <t>1426/04/25</t>
        </is>
      </c>
    </row>
    <row r="10347">
      <c r="A10347" t="n">
        <v>14260426</v>
      </c>
      <c r="B10347" t="n">
        <v>53890</v>
      </c>
      <c r="C10347" t="inlineStr">
        <is>
          <t>1426/04/26</t>
        </is>
      </c>
    </row>
    <row r="10348">
      <c r="A10348" t="n">
        <v>14260427</v>
      </c>
      <c r="B10348" t="n">
        <v>53891</v>
      </c>
      <c r="C10348" t="inlineStr">
        <is>
          <t>1426/04/27</t>
        </is>
      </c>
    </row>
    <row r="10349">
      <c r="A10349" t="n">
        <v>14260428</v>
      </c>
      <c r="B10349" t="n">
        <v>53892</v>
      </c>
      <c r="C10349" t="inlineStr">
        <is>
          <t>1426/04/28</t>
        </is>
      </c>
    </row>
    <row r="10350">
      <c r="A10350" t="n">
        <v>14260429</v>
      </c>
      <c r="B10350" t="n">
        <v>53893</v>
      </c>
      <c r="C10350" t="inlineStr">
        <is>
          <t>1426/04/29</t>
        </is>
      </c>
    </row>
    <row r="10351">
      <c r="A10351" t="n">
        <v>14260430</v>
      </c>
      <c r="B10351" t="n">
        <v>53894</v>
      </c>
      <c r="C10351" t="inlineStr">
        <is>
          <t>1426/04/30</t>
        </is>
      </c>
    </row>
    <row r="10352">
      <c r="A10352" t="n">
        <v>14260431</v>
      </c>
      <c r="B10352" t="n">
        <v>53895</v>
      </c>
      <c r="C10352" t="inlineStr">
        <is>
          <t>1426/04/31</t>
        </is>
      </c>
    </row>
    <row r="10353">
      <c r="A10353" t="n">
        <v>14260501</v>
      </c>
      <c r="B10353" t="n">
        <v>53896</v>
      </c>
      <c r="C10353" t="inlineStr">
        <is>
          <t>1426/05/01</t>
        </is>
      </c>
    </row>
    <row r="10354">
      <c r="A10354" t="n">
        <v>14260502</v>
      </c>
      <c r="B10354" t="n">
        <v>53897</v>
      </c>
      <c r="C10354" t="inlineStr">
        <is>
          <t>1426/05/02</t>
        </is>
      </c>
    </row>
    <row r="10355">
      <c r="A10355" t="n">
        <v>14260503</v>
      </c>
      <c r="B10355" t="n">
        <v>53898</v>
      </c>
      <c r="C10355" t="inlineStr">
        <is>
          <t>1426/05/03</t>
        </is>
      </c>
    </row>
    <row r="10356">
      <c r="A10356" t="n">
        <v>14260504</v>
      </c>
      <c r="B10356" t="n">
        <v>53899</v>
      </c>
      <c r="C10356" t="inlineStr">
        <is>
          <t>1426/05/04</t>
        </is>
      </c>
    </row>
    <row r="10357">
      <c r="A10357" t="n">
        <v>14260505</v>
      </c>
      <c r="B10357" t="n">
        <v>53900</v>
      </c>
      <c r="C10357" t="inlineStr">
        <is>
          <t>1426/05/05</t>
        </is>
      </c>
    </row>
    <row r="10358">
      <c r="A10358" t="n">
        <v>14260506</v>
      </c>
      <c r="B10358" t="n">
        <v>53901</v>
      </c>
      <c r="C10358" t="inlineStr">
        <is>
          <t>1426/05/06</t>
        </is>
      </c>
    </row>
    <row r="10359">
      <c r="A10359" t="n">
        <v>14260507</v>
      </c>
      <c r="B10359" t="n">
        <v>53902</v>
      </c>
      <c r="C10359" t="inlineStr">
        <is>
          <t>1426/05/07</t>
        </is>
      </c>
    </row>
    <row r="10360">
      <c r="A10360" t="n">
        <v>14260508</v>
      </c>
      <c r="B10360" t="n">
        <v>53903</v>
      </c>
      <c r="C10360" t="inlineStr">
        <is>
          <t>1426/05/08</t>
        </is>
      </c>
    </row>
    <row r="10361">
      <c r="A10361" t="n">
        <v>14260509</v>
      </c>
      <c r="B10361" t="n">
        <v>53904</v>
      </c>
      <c r="C10361" t="inlineStr">
        <is>
          <t>1426/05/09</t>
        </is>
      </c>
    </row>
    <row r="10362">
      <c r="A10362" t="n">
        <v>14260510</v>
      </c>
      <c r="B10362" t="n">
        <v>53905</v>
      </c>
      <c r="C10362" t="inlineStr">
        <is>
          <t>1426/05/10</t>
        </is>
      </c>
    </row>
    <row r="10363">
      <c r="A10363" t="n">
        <v>14260511</v>
      </c>
      <c r="B10363" t="n">
        <v>53906</v>
      </c>
      <c r="C10363" t="inlineStr">
        <is>
          <t>1426/05/11</t>
        </is>
      </c>
    </row>
    <row r="10364">
      <c r="A10364" t="n">
        <v>14260512</v>
      </c>
      <c r="B10364" t="n">
        <v>53907</v>
      </c>
      <c r="C10364" t="inlineStr">
        <is>
          <t>1426/05/12</t>
        </is>
      </c>
    </row>
    <row r="10365">
      <c r="A10365" t="n">
        <v>14260513</v>
      </c>
      <c r="B10365" t="n">
        <v>53908</v>
      </c>
      <c r="C10365" t="inlineStr">
        <is>
          <t>1426/05/13</t>
        </is>
      </c>
    </row>
    <row r="10366">
      <c r="A10366" t="n">
        <v>14260514</v>
      </c>
      <c r="B10366" t="n">
        <v>53909</v>
      </c>
      <c r="C10366" t="inlineStr">
        <is>
          <t>1426/05/14</t>
        </is>
      </c>
    </row>
    <row r="10367">
      <c r="A10367" t="n">
        <v>14260515</v>
      </c>
      <c r="B10367" t="n">
        <v>53910</v>
      </c>
      <c r="C10367" t="inlineStr">
        <is>
          <t>1426/05/15</t>
        </is>
      </c>
    </row>
    <row r="10368">
      <c r="A10368" t="n">
        <v>14260516</v>
      </c>
      <c r="B10368" t="n">
        <v>53911</v>
      </c>
      <c r="C10368" t="inlineStr">
        <is>
          <t>1426/05/16</t>
        </is>
      </c>
    </row>
    <row r="10369">
      <c r="A10369" t="n">
        <v>14260517</v>
      </c>
      <c r="B10369" t="n">
        <v>53912</v>
      </c>
      <c r="C10369" t="inlineStr">
        <is>
          <t>1426/05/17</t>
        </is>
      </c>
    </row>
    <row r="10370">
      <c r="A10370" t="n">
        <v>14260518</v>
      </c>
      <c r="B10370" t="n">
        <v>53913</v>
      </c>
      <c r="C10370" t="inlineStr">
        <is>
          <t>1426/05/18</t>
        </is>
      </c>
    </row>
    <row r="10371">
      <c r="A10371" t="n">
        <v>14260519</v>
      </c>
      <c r="B10371" t="n">
        <v>53914</v>
      </c>
      <c r="C10371" t="inlineStr">
        <is>
          <t>1426/05/19</t>
        </is>
      </c>
    </row>
    <row r="10372">
      <c r="A10372" t="n">
        <v>14260520</v>
      </c>
      <c r="B10372" t="n">
        <v>53915</v>
      </c>
      <c r="C10372" t="inlineStr">
        <is>
          <t>1426/05/20</t>
        </is>
      </c>
    </row>
    <row r="10373">
      <c r="A10373" t="n">
        <v>14260521</v>
      </c>
      <c r="B10373" t="n">
        <v>53916</v>
      </c>
      <c r="C10373" t="inlineStr">
        <is>
          <t>1426/05/21</t>
        </is>
      </c>
    </row>
    <row r="10374">
      <c r="A10374" t="n">
        <v>14260522</v>
      </c>
      <c r="B10374" t="n">
        <v>53917</v>
      </c>
      <c r="C10374" t="inlineStr">
        <is>
          <t>1426/05/22</t>
        </is>
      </c>
    </row>
    <row r="10375">
      <c r="A10375" t="n">
        <v>14260523</v>
      </c>
      <c r="B10375" t="n">
        <v>53918</v>
      </c>
      <c r="C10375" t="inlineStr">
        <is>
          <t>1426/05/23</t>
        </is>
      </c>
    </row>
    <row r="10376">
      <c r="A10376" t="n">
        <v>14260524</v>
      </c>
      <c r="B10376" t="n">
        <v>53919</v>
      </c>
      <c r="C10376" t="inlineStr">
        <is>
          <t>1426/05/24</t>
        </is>
      </c>
    </row>
    <row r="10377">
      <c r="A10377" t="n">
        <v>14260525</v>
      </c>
      <c r="B10377" t="n">
        <v>53920</v>
      </c>
      <c r="C10377" t="inlineStr">
        <is>
          <t>1426/05/25</t>
        </is>
      </c>
    </row>
    <row r="10378">
      <c r="A10378" t="n">
        <v>14260526</v>
      </c>
      <c r="B10378" t="n">
        <v>53921</v>
      </c>
      <c r="C10378" t="inlineStr">
        <is>
          <t>1426/05/26</t>
        </is>
      </c>
    </row>
    <row r="10379">
      <c r="A10379" t="n">
        <v>14260527</v>
      </c>
      <c r="B10379" t="n">
        <v>53922</v>
      </c>
      <c r="C10379" t="inlineStr">
        <is>
          <t>1426/05/27</t>
        </is>
      </c>
    </row>
    <row r="10380">
      <c r="A10380" t="n">
        <v>14260528</v>
      </c>
      <c r="B10380" t="n">
        <v>53923</v>
      </c>
      <c r="C10380" t="inlineStr">
        <is>
          <t>1426/05/28</t>
        </is>
      </c>
    </row>
    <row r="10381">
      <c r="A10381" t="n">
        <v>14260529</v>
      </c>
      <c r="B10381" t="n">
        <v>53924</v>
      </c>
      <c r="C10381" t="inlineStr">
        <is>
          <t>1426/05/29</t>
        </is>
      </c>
    </row>
    <row r="10382">
      <c r="A10382" t="n">
        <v>14260530</v>
      </c>
      <c r="B10382" t="n">
        <v>53925</v>
      </c>
      <c r="C10382" t="inlineStr">
        <is>
          <t>1426/05/30</t>
        </is>
      </c>
    </row>
    <row r="10383">
      <c r="A10383" t="n">
        <v>14260531</v>
      </c>
      <c r="B10383" t="n">
        <v>53926</v>
      </c>
      <c r="C10383" t="inlineStr">
        <is>
          <t>1426/05/31</t>
        </is>
      </c>
    </row>
    <row r="10384">
      <c r="A10384" t="n">
        <v>14260601</v>
      </c>
      <c r="B10384" t="n">
        <v>53927</v>
      </c>
      <c r="C10384" t="inlineStr">
        <is>
          <t>1426/06/01</t>
        </is>
      </c>
    </row>
    <row r="10385">
      <c r="A10385" t="n">
        <v>14260602</v>
      </c>
      <c r="B10385" t="n">
        <v>53928</v>
      </c>
      <c r="C10385" t="inlineStr">
        <is>
          <t>1426/06/02</t>
        </is>
      </c>
    </row>
    <row r="10386">
      <c r="A10386" t="n">
        <v>14260603</v>
      </c>
      <c r="B10386" t="n">
        <v>53929</v>
      </c>
      <c r="C10386" t="inlineStr">
        <is>
          <t>1426/06/03</t>
        </is>
      </c>
    </row>
    <row r="10387">
      <c r="A10387" t="n">
        <v>14260604</v>
      </c>
      <c r="B10387" t="n">
        <v>53930</v>
      </c>
      <c r="C10387" t="inlineStr">
        <is>
          <t>1426/06/04</t>
        </is>
      </c>
    </row>
    <row r="10388">
      <c r="A10388" t="n">
        <v>14260605</v>
      </c>
      <c r="B10388" t="n">
        <v>53931</v>
      </c>
      <c r="C10388" t="inlineStr">
        <is>
          <t>1426/06/05</t>
        </is>
      </c>
    </row>
    <row r="10389">
      <c r="A10389" t="n">
        <v>14260606</v>
      </c>
      <c r="B10389" t="n">
        <v>53932</v>
      </c>
      <c r="C10389" t="inlineStr">
        <is>
          <t>1426/06/06</t>
        </is>
      </c>
    </row>
    <row r="10390">
      <c r="A10390" t="n">
        <v>14260607</v>
      </c>
      <c r="B10390" t="n">
        <v>53933</v>
      </c>
      <c r="C10390" t="inlineStr">
        <is>
          <t>1426/06/07</t>
        </is>
      </c>
    </row>
    <row r="10391">
      <c r="A10391" t="n">
        <v>14260608</v>
      </c>
      <c r="B10391" t="n">
        <v>53934</v>
      </c>
      <c r="C10391" t="inlineStr">
        <is>
          <t>1426/06/08</t>
        </is>
      </c>
    </row>
    <row r="10392">
      <c r="A10392" t="n">
        <v>14260609</v>
      </c>
      <c r="B10392" t="n">
        <v>53935</v>
      </c>
      <c r="C10392" t="inlineStr">
        <is>
          <t>1426/06/09</t>
        </is>
      </c>
    </row>
    <row r="10393">
      <c r="A10393" t="n">
        <v>14260610</v>
      </c>
      <c r="B10393" t="n">
        <v>53936</v>
      </c>
      <c r="C10393" t="inlineStr">
        <is>
          <t>1426/06/10</t>
        </is>
      </c>
    </row>
    <row r="10394">
      <c r="A10394" t="n">
        <v>14260611</v>
      </c>
      <c r="B10394" t="n">
        <v>53937</v>
      </c>
      <c r="C10394" t="inlineStr">
        <is>
          <t>1426/06/11</t>
        </is>
      </c>
    </row>
    <row r="10395">
      <c r="A10395" t="n">
        <v>14260612</v>
      </c>
      <c r="B10395" t="n">
        <v>53938</v>
      </c>
      <c r="C10395" t="inlineStr">
        <is>
          <t>1426/06/12</t>
        </is>
      </c>
    </row>
    <row r="10396">
      <c r="A10396" t="n">
        <v>14260613</v>
      </c>
      <c r="B10396" t="n">
        <v>53939</v>
      </c>
      <c r="C10396" t="inlineStr">
        <is>
          <t>1426/06/13</t>
        </is>
      </c>
    </row>
    <row r="10397">
      <c r="A10397" t="n">
        <v>14260614</v>
      </c>
      <c r="B10397" t="n">
        <v>53940</v>
      </c>
      <c r="C10397" t="inlineStr">
        <is>
          <t>1426/06/14</t>
        </is>
      </c>
    </row>
    <row r="10398">
      <c r="A10398" t="n">
        <v>14260615</v>
      </c>
      <c r="B10398" t="n">
        <v>53941</v>
      </c>
      <c r="C10398" t="inlineStr">
        <is>
          <t>1426/06/15</t>
        </is>
      </c>
    </row>
    <row r="10399">
      <c r="A10399" t="n">
        <v>14260616</v>
      </c>
      <c r="B10399" t="n">
        <v>53942</v>
      </c>
      <c r="C10399" t="inlineStr">
        <is>
          <t>1426/06/16</t>
        </is>
      </c>
    </row>
    <row r="10400">
      <c r="A10400" t="n">
        <v>14260617</v>
      </c>
      <c r="B10400" t="n">
        <v>53943</v>
      </c>
      <c r="C10400" t="inlineStr">
        <is>
          <t>1426/06/17</t>
        </is>
      </c>
    </row>
    <row r="10401">
      <c r="A10401" t="n">
        <v>14260618</v>
      </c>
      <c r="B10401" t="n">
        <v>53944</v>
      </c>
      <c r="C10401" t="inlineStr">
        <is>
          <t>1426/06/18</t>
        </is>
      </c>
    </row>
    <row r="10402">
      <c r="A10402" t="n">
        <v>14260619</v>
      </c>
      <c r="B10402" t="n">
        <v>53945</v>
      </c>
      <c r="C10402" t="inlineStr">
        <is>
          <t>1426/06/19</t>
        </is>
      </c>
    </row>
    <row r="10403">
      <c r="A10403" t="n">
        <v>14260620</v>
      </c>
      <c r="B10403" t="n">
        <v>53946</v>
      </c>
      <c r="C10403" t="inlineStr">
        <is>
          <t>1426/06/20</t>
        </is>
      </c>
    </row>
    <row r="10404">
      <c r="A10404" t="n">
        <v>14260621</v>
      </c>
      <c r="B10404" t="n">
        <v>53947</v>
      </c>
      <c r="C10404" t="inlineStr">
        <is>
          <t>1426/06/21</t>
        </is>
      </c>
    </row>
    <row r="10405">
      <c r="A10405" t="n">
        <v>14260622</v>
      </c>
      <c r="B10405" t="n">
        <v>53948</v>
      </c>
      <c r="C10405" t="inlineStr">
        <is>
          <t>1426/06/22</t>
        </is>
      </c>
    </row>
    <row r="10406">
      <c r="A10406" t="n">
        <v>14260623</v>
      </c>
      <c r="B10406" t="n">
        <v>53949</v>
      </c>
      <c r="C10406" t="inlineStr">
        <is>
          <t>1426/06/23</t>
        </is>
      </c>
    </row>
    <row r="10407">
      <c r="A10407" t="n">
        <v>14260624</v>
      </c>
      <c r="B10407" t="n">
        <v>53950</v>
      </c>
      <c r="C10407" t="inlineStr">
        <is>
          <t>1426/06/24</t>
        </is>
      </c>
    </row>
    <row r="10408">
      <c r="A10408" t="n">
        <v>14260625</v>
      </c>
      <c r="B10408" t="n">
        <v>53951</v>
      </c>
      <c r="C10408" t="inlineStr">
        <is>
          <t>1426/06/25</t>
        </is>
      </c>
    </row>
    <row r="10409">
      <c r="A10409" t="n">
        <v>14260626</v>
      </c>
      <c r="B10409" t="n">
        <v>53952</v>
      </c>
      <c r="C10409" t="inlineStr">
        <is>
          <t>1426/06/26</t>
        </is>
      </c>
    </row>
    <row r="10410">
      <c r="A10410" t="n">
        <v>14260627</v>
      </c>
      <c r="B10410" t="n">
        <v>53953</v>
      </c>
      <c r="C10410" t="inlineStr">
        <is>
          <t>1426/06/27</t>
        </is>
      </c>
    </row>
    <row r="10411">
      <c r="A10411" t="n">
        <v>14260628</v>
      </c>
      <c r="B10411" t="n">
        <v>53954</v>
      </c>
      <c r="C10411" t="inlineStr">
        <is>
          <t>1426/06/28</t>
        </is>
      </c>
    </row>
    <row r="10412">
      <c r="A10412" t="n">
        <v>14260629</v>
      </c>
      <c r="B10412" t="n">
        <v>53955</v>
      </c>
      <c r="C10412" t="inlineStr">
        <is>
          <t>1426/06/29</t>
        </is>
      </c>
    </row>
    <row r="10413">
      <c r="A10413" t="n">
        <v>14260630</v>
      </c>
      <c r="B10413" t="n">
        <v>53956</v>
      </c>
      <c r="C10413" t="inlineStr">
        <is>
          <t>1426/06/30</t>
        </is>
      </c>
    </row>
    <row r="10414">
      <c r="A10414" t="n">
        <v>14260631</v>
      </c>
      <c r="B10414" t="n">
        <v>53957</v>
      </c>
      <c r="C10414" t="inlineStr">
        <is>
          <t>1426/06/31</t>
        </is>
      </c>
    </row>
    <row r="10415">
      <c r="A10415" t="n">
        <v>14260701</v>
      </c>
      <c r="B10415" t="n">
        <v>53958</v>
      </c>
      <c r="C10415" t="inlineStr">
        <is>
          <t>1426/07/01</t>
        </is>
      </c>
    </row>
    <row r="10416">
      <c r="A10416" t="n">
        <v>14260702</v>
      </c>
      <c r="B10416" t="n">
        <v>53959</v>
      </c>
      <c r="C10416" t="inlineStr">
        <is>
          <t>1426/07/02</t>
        </is>
      </c>
    </row>
    <row r="10417">
      <c r="A10417" t="n">
        <v>14260703</v>
      </c>
      <c r="B10417" t="n">
        <v>53960</v>
      </c>
      <c r="C10417" t="inlineStr">
        <is>
          <t>1426/07/03</t>
        </is>
      </c>
    </row>
    <row r="10418">
      <c r="A10418" t="n">
        <v>14260704</v>
      </c>
      <c r="B10418" t="n">
        <v>53961</v>
      </c>
      <c r="C10418" t="inlineStr">
        <is>
          <t>1426/07/04</t>
        </is>
      </c>
    </row>
    <row r="10419">
      <c r="A10419" t="n">
        <v>14260705</v>
      </c>
      <c r="B10419" t="n">
        <v>53962</v>
      </c>
      <c r="C10419" t="inlineStr">
        <is>
          <t>1426/07/05</t>
        </is>
      </c>
    </row>
    <row r="10420">
      <c r="A10420" t="n">
        <v>14260706</v>
      </c>
      <c r="B10420" t="n">
        <v>53963</v>
      </c>
      <c r="C10420" t="inlineStr">
        <is>
          <t>1426/07/06</t>
        </is>
      </c>
    </row>
    <row r="10421">
      <c r="A10421" t="n">
        <v>14260707</v>
      </c>
      <c r="B10421" t="n">
        <v>53964</v>
      </c>
      <c r="C10421" t="inlineStr">
        <is>
          <t>1426/07/07</t>
        </is>
      </c>
    </row>
    <row r="10422">
      <c r="A10422" t="n">
        <v>14260708</v>
      </c>
      <c r="B10422" t="n">
        <v>53965</v>
      </c>
      <c r="C10422" t="inlineStr">
        <is>
          <t>1426/07/08</t>
        </is>
      </c>
    </row>
    <row r="10423">
      <c r="A10423" t="n">
        <v>14260709</v>
      </c>
      <c r="B10423" t="n">
        <v>53966</v>
      </c>
      <c r="C10423" t="inlineStr">
        <is>
          <t>1426/07/09</t>
        </is>
      </c>
    </row>
    <row r="10424">
      <c r="A10424" t="n">
        <v>14260710</v>
      </c>
      <c r="B10424" t="n">
        <v>53967</v>
      </c>
      <c r="C10424" t="inlineStr">
        <is>
          <t>1426/07/10</t>
        </is>
      </c>
    </row>
    <row r="10425">
      <c r="A10425" t="n">
        <v>14260711</v>
      </c>
      <c r="B10425" t="n">
        <v>53968</v>
      </c>
      <c r="C10425" t="inlineStr">
        <is>
          <t>1426/07/11</t>
        </is>
      </c>
    </row>
    <row r="10426">
      <c r="A10426" t="n">
        <v>14260712</v>
      </c>
      <c r="B10426" t="n">
        <v>53969</v>
      </c>
      <c r="C10426" t="inlineStr">
        <is>
          <t>1426/07/12</t>
        </is>
      </c>
    </row>
    <row r="10427">
      <c r="A10427" t="n">
        <v>14260713</v>
      </c>
      <c r="B10427" t="n">
        <v>53970</v>
      </c>
      <c r="C10427" t="inlineStr">
        <is>
          <t>1426/07/13</t>
        </is>
      </c>
    </row>
    <row r="10428">
      <c r="A10428" t="n">
        <v>14260714</v>
      </c>
      <c r="B10428" t="n">
        <v>53971</v>
      </c>
      <c r="C10428" t="inlineStr">
        <is>
          <t>1426/07/14</t>
        </is>
      </c>
    </row>
    <row r="10429">
      <c r="A10429" t="n">
        <v>14260715</v>
      </c>
      <c r="B10429" t="n">
        <v>53972</v>
      </c>
      <c r="C10429" t="inlineStr">
        <is>
          <t>1426/07/15</t>
        </is>
      </c>
    </row>
    <row r="10430">
      <c r="A10430" t="n">
        <v>14260716</v>
      </c>
      <c r="B10430" t="n">
        <v>53973</v>
      </c>
      <c r="C10430" t="inlineStr">
        <is>
          <t>1426/07/16</t>
        </is>
      </c>
    </row>
    <row r="10431">
      <c r="A10431" t="n">
        <v>14260717</v>
      </c>
      <c r="B10431" t="n">
        <v>53974</v>
      </c>
      <c r="C10431" t="inlineStr">
        <is>
          <t>1426/07/17</t>
        </is>
      </c>
    </row>
    <row r="10432">
      <c r="A10432" t="n">
        <v>14260718</v>
      </c>
      <c r="B10432" t="n">
        <v>53975</v>
      </c>
      <c r="C10432" t="inlineStr">
        <is>
          <t>1426/07/18</t>
        </is>
      </c>
    </row>
    <row r="10433">
      <c r="A10433" t="n">
        <v>14260719</v>
      </c>
      <c r="B10433" t="n">
        <v>53976</v>
      </c>
      <c r="C10433" t="inlineStr">
        <is>
          <t>1426/07/19</t>
        </is>
      </c>
    </row>
    <row r="10434">
      <c r="A10434" t="n">
        <v>14260720</v>
      </c>
      <c r="B10434" t="n">
        <v>53977</v>
      </c>
      <c r="C10434" t="inlineStr">
        <is>
          <t>1426/07/20</t>
        </is>
      </c>
    </row>
    <row r="10435">
      <c r="A10435" t="n">
        <v>14260721</v>
      </c>
      <c r="B10435" t="n">
        <v>53978</v>
      </c>
      <c r="C10435" t="inlineStr">
        <is>
          <t>1426/07/21</t>
        </is>
      </c>
    </row>
    <row r="10436">
      <c r="A10436" t="n">
        <v>14260722</v>
      </c>
      <c r="B10436" t="n">
        <v>53979</v>
      </c>
      <c r="C10436" t="inlineStr">
        <is>
          <t>1426/07/22</t>
        </is>
      </c>
    </row>
    <row r="10437">
      <c r="A10437" t="n">
        <v>14260723</v>
      </c>
      <c r="B10437" t="n">
        <v>53980</v>
      </c>
      <c r="C10437" t="inlineStr">
        <is>
          <t>1426/07/23</t>
        </is>
      </c>
    </row>
    <row r="10438">
      <c r="A10438" t="n">
        <v>14260724</v>
      </c>
      <c r="B10438" t="n">
        <v>53981</v>
      </c>
      <c r="C10438" t="inlineStr">
        <is>
          <t>1426/07/24</t>
        </is>
      </c>
    </row>
    <row r="10439">
      <c r="A10439" t="n">
        <v>14260725</v>
      </c>
      <c r="B10439" t="n">
        <v>53982</v>
      </c>
      <c r="C10439" t="inlineStr">
        <is>
          <t>1426/07/25</t>
        </is>
      </c>
    </row>
    <row r="10440">
      <c r="A10440" t="n">
        <v>14260726</v>
      </c>
      <c r="B10440" t="n">
        <v>53983</v>
      </c>
      <c r="C10440" t="inlineStr">
        <is>
          <t>1426/07/26</t>
        </is>
      </c>
    </row>
    <row r="10441">
      <c r="A10441" t="n">
        <v>14260727</v>
      </c>
      <c r="B10441" t="n">
        <v>53984</v>
      </c>
      <c r="C10441" t="inlineStr">
        <is>
          <t>1426/07/27</t>
        </is>
      </c>
    </row>
    <row r="10442">
      <c r="A10442" t="n">
        <v>14260728</v>
      </c>
      <c r="B10442" t="n">
        <v>53985</v>
      </c>
      <c r="C10442" t="inlineStr">
        <is>
          <t>1426/07/28</t>
        </is>
      </c>
    </row>
    <row r="10443">
      <c r="A10443" t="n">
        <v>14260729</v>
      </c>
      <c r="B10443" t="n">
        <v>53986</v>
      </c>
      <c r="C10443" t="inlineStr">
        <is>
          <t>1426/07/29</t>
        </is>
      </c>
    </row>
    <row r="10444">
      <c r="A10444" t="n">
        <v>14260730</v>
      </c>
      <c r="B10444" t="n">
        <v>53987</v>
      </c>
      <c r="C10444" t="inlineStr">
        <is>
          <t>1426/07/30</t>
        </is>
      </c>
    </row>
    <row r="10445">
      <c r="A10445" t="n">
        <v>14260801</v>
      </c>
      <c r="B10445" t="n">
        <v>53988</v>
      </c>
      <c r="C10445" t="inlineStr">
        <is>
          <t>1426/08/01</t>
        </is>
      </c>
    </row>
    <row r="10446">
      <c r="A10446" t="n">
        <v>14260802</v>
      </c>
      <c r="B10446" t="n">
        <v>53989</v>
      </c>
      <c r="C10446" t="inlineStr">
        <is>
          <t>1426/08/02</t>
        </is>
      </c>
    </row>
    <row r="10447">
      <c r="A10447" t="n">
        <v>14260803</v>
      </c>
      <c r="B10447" t="n">
        <v>53990</v>
      </c>
      <c r="C10447" t="inlineStr">
        <is>
          <t>1426/08/03</t>
        </is>
      </c>
    </row>
    <row r="10448">
      <c r="A10448" t="n">
        <v>14260804</v>
      </c>
      <c r="B10448" t="n">
        <v>53991</v>
      </c>
      <c r="C10448" t="inlineStr">
        <is>
          <t>1426/08/04</t>
        </is>
      </c>
    </row>
    <row r="10449">
      <c r="A10449" t="n">
        <v>14260805</v>
      </c>
      <c r="B10449" t="n">
        <v>53992</v>
      </c>
      <c r="C10449" t="inlineStr">
        <is>
          <t>1426/08/05</t>
        </is>
      </c>
    </row>
    <row r="10450">
      <c r="A10450" t="n">
        <v>14260806</v>
      </c>
      <c r="B10450" t="n">
        <v>53993</v>
      </c>
      <c r="C10450" t="inlineStr">
        <is>
          <t>1426/08/06</t>
        </is>
      </c>
    </row>
    <row r="10451">
      <c r="A10451" t="n">
        <v>14260807</v>
      </c>
      <c r="B10451" t="n">
        <v>53994</v>
      </c>
      <c r="C10451" t="inlineStr">
        <is>
          <t>1426/08/07</t>
        </is>
      </c>
    </row>
    <row r="10452">
      <c r="A10452" t="n">
        <v>14260808</v>
      </c>
      <c r="B10452" t="n">
        <v>53995</v>
      </c>
      <c r="C10452" t="inlineStr">
        <is>
          <t>1426/08/08</t>
        </is>
      </c>
    </row>
    <row r="10453">
      <c r="A10453" t="n">
        <v>14260809</v>
      </c>
      <c r="B10453" t="n">
        <v>53996</v>
      </c>
      <c r="C10453" t="inlineStr">
        <is>
          <t>1426/08/09</t>
        </is>
      </c>
    </row>
    <row r="10454">
      <c r="A10454" t="n">
        <v>14260810</v>
      </c>
      <c r="B10454" t="n">
        <v>53997</v>
      </c>
      <c r="C10454" t="inlineStr">
        <is>
          <t>1426/08/10</t>
        </is>
      </c>
    </row>
    <row r="10455">
      <c r="A10455" t="n">
        <v>14260811</v>
      </c>
      <c r="B10455" t="n">
        <v>53998</v>
      </c>
      <c r="C10455" t="inlineStr">
        <is>
          <t>1426/08/11</t>
        </is>
      </c>
    </row>
    <row r="10456">
      <c r="A10456" t="n">
        <v>14260812</v>
      </c>
      <c r="B10456" t="n">
        <v>53999</v>
      </c>
      <c r="C10456" t="inlineStr">
        <is>
          <t>1426/08/12</t>
        </is>
      </c>
    </row>
    <row r="10457">
      <c r="A10457" t="n">
        <v>14260813</v>
      </c>
      <c r="B10457" t="n">
        <v>54000</v>
      </c>
      <c r="C10457" t="inlineStr">
        <is>
          <t>1426/08/13</t>
        </is>
      </c>
    </row>
    <row r="10458">
      <c r="A10458" t="n">
        <v>14260814</v>
      </c>
      <c r="B10458" t="n">
        <v>54001</v>
      </c>
      <c r="C10458" t="inlineStr">
        <is>
          <t>1426/08/14</t>
        </is>
      </c>
    </row>
    <row r="10459">
      <c r="A10459" t="n">
        <v>14260815</v>
      </c>
      <c r="B10459" t="n">
        <v>54002</v>
      </c>
      <c r="C10459" t="inlineStr">
        <is>
          <t>1426/08/15</t>
        </is>
      </c>
    </row>
    <row r="10460">
      <c r="A10460" t="n">
        <v>14260816</v>
      </c>
      <c r="B10460" t="n">
        <v>54003</v>
      </c>
      <c r="C10460" t="inlineStr">
        <is>
          <t>1426/08/16</t>
        </is>
      </c>
    </row>
    <row r="10461">
      <c r="A10461" t="n">
        <v>14260817</v>
      </c>
      <c r="B10461" t="n">
        <v>54004</v>
      </c>
      <c r="C10461" t="inlineStr">
        <is>
          <t>1426/08/17</t>
        </is>
      </c>
    </row>
    <row r="10462">
      <c r="A10462" t="n">
        <v>14260818</v>
      </c>
      <c r="B10462" t="n">
        <v>54005</v>
      </c>
      <c r="C10462" t="inlineStr">
        <is>
          <t>1426/08/18</t>
        </is>
      </c>
    </row>
    <row r="10463">
      <c r="A10463" t="n">
        <v>14260819</v>
      </c>
      <c r="B10463" t="n">
        <v>54006</v>
      </c>
      <c r="C10463" t="inlineStr">
        <is>
          <t>1426/08/19</t>
        </is>
      </c>
    </row>
    <row r="10464">
      <c r="A10464" t="n">
        <v>14260820</v>
      </c>
      <c r="B10464" t="n">
        <v>54007</v>
      </c>
      <c r="C10464" t="inlineStr">
        <is>
          <t>1426/08/20</t>
        </is>
      </c>
    </row>
    <row r="10465">
      <c r="A10465" t="n">
        <v>14260821</v>
      </c>
      <c r="B10465" t="n">
        <v>54008</v>
      </c>
      <c r="C10465" t="inlineStr">
        <is>
          <t>1426/08/21</t>
        </is>
      </c>
    </row>
    <row r="10466">
      <c r="A10466" t="n">
        <v>14260822</v>
      </c>
      <c r="B10466" t="n">
        <v>54009</v>
      </c>
      <c r="C10466" t="inlineStr">
        <is>
          <t>1426/08/22</t>
        </is>
      </c>
    </row>
    <row r="10467">
      <c r="A10467" t="n">
        <v>14260823</v>
      </c>
      <c r="B10467" t="n">
        <v>54010</v>
      </c>
      <c r="C10467" t="inlineStr">
        <is>
          <t>1426/08/23</t>
        </is>
      </c>
    </row>
    <row r="10468">
      <c r="A10468" t="n">
        <v>14260824</v>
      </c>
      <c r="B10468" t="n">
        <v>54011</v>
      </c>
      <c r="C10468" t="inlineStr">
        <is>
          <t>1426/08/24</t>
        </is>
      </c>
    </row>
    <row r="10469">
      <c r="A10469" t="n">
        <v>14260825</v>
      </c>
      <c r="B10469" t="n">
        <v>54012</v>
      </c>
      <c r="C10469" t="inlineStr">
        <is>
          <t>1426/08/25</t>
        </is>
      </c>
    </row>
    <row r="10470">
      <c r="A10470" t="n">
        <v>14260826</v>
      </c>
      <c r="B10470" t="n">
        <v>54013</v>
      </c>
      <c r="C10470" t="inlineStr">
        <is>
          <t>1426/08/26</t>
        </is>
      </c>
    </row>
    <row r="10471">
      <c r="A10471" t="n">
        <v>14260827</v>
      </c>
      <c r="B10471" t="n">
        <v>54014</v>
      </c>
      <c r="C10471" t="inlineStr">
        <is>
          <t>1426/08/27</t>
        </is>
      </c>
    </row>
    <row r="10472">
      <c r="A10472" t="n">
        <v>14260828</v>
      </c>
      <c r="B10472" t="n">
        <v>54015</v>
      </c>
      <c r="C10472" t="inlineStr">
        <is>
          <t>1426/08/28</t>
        </is>
      </c>
    </row>
    <row r="10473">
      <c r="A10473" t="n">
        <v>14260829</v>
      </c>
      <c r="B10473" t="n">
        <v>54016</v>
      </c>
      <c r="C10473" t="inlineStr">
        <is>
          <t>1426/08/29</t>
        </is>
      </c>
    </row>
    <row r="10474">
      <c r="A10474" t="n">
        <v>14260830</v>
      </c>
      <c r="B10474" t="n">
        <v>54017</v>
      </c>
      <c r="C10474" t="inlineStr">
        <is>
          <t>1426/08/30</t>
        </is>
      </c>
    </row>
    <row r="10475">
      <c r="A10475" t="n">
        <v>14260901</v>
      </c>
      <c r="B10475" t="n">
        <v>54018</v>
      </c>
      <c r="C10475" t="inlineStr">
        <is>
          <t>1426/09/01</t>
        </is>
      </c>
    </row>
    <row r="10476">
      <c r="A10476" t="n">
        <v>14260902</v>
      </c>
      <c r="B10476" t="n">
        <v>54019</v>
      </c>
      <c r="C10476" t="inlineStr">
        <is>
          <t>1426/09/02</t>
        </is>
      </c>
    </row>
    <row r="10477">
      <c r="A10477" t="n">
        <v>14260903</v>
      </c>
      <c r="B10477" t="n">
        <v>54020</v>
      </c>
      <c r="C10477" t="inlineStr">
        <is>
          <t>1426/09/03</t>
        </is>
      </c>
    </row>
    <row r="10478">
      <c r="A10478" t="n">
        <v>14260904</v>
      </c>
      <c r="B10478" t="n">
        <v>54021</v>
      </c>
      <c r="C10478" t="inlineStr">
        <is>
          <t>1426/09/04</t>
        </is>
      </c>
    </row>
    <row r="10479">
      <c r="A10479" t="n">
        <v>14260905</v>
      </c>
      <c r="B10479" t="n">
        <v>54022</v>
      </c>
      <c r="C10479" t="inlineStr">
        <is>
          <t>1426/09/05</t>
        </is>
      </c>
    </row>
    <row r="10480">
      <c r="A10480" t="n">
        <v>14260906</v>
      </c>
      <c r="B10480" t="n">
        <v>54023</v>
      </c>
      <c r="C10480" t="inlineStr">
        <is>
          <t>1426/09/06</t>
        </is>
      </c>
    </row>
    <row r="10481">
      <c r="A10481" t="n">
        <v>14260907</v>
      </c>
      <c r="B10481" t="n">
        <v>54024</v>
      </c>
      <c r="C10481" t="inlineStr">
        <is>
          <t>1426/09/07</t>
        </is>
      </c>
    </row>
    <row r="10482">
      <c r="A10482" t="n">
        <v>14260908</v>
      </c>
      <c r="B10482" t="n">
        <v>54025</v>
      </c>
      <c r="C10482" t="inlineStr">
        <is>
          <t>1426/09/08</t>
        </is>
      </c>
    </row>
    <row r="10483">
      <c r="A10483" t="n">
        <v>14260909</v>
      </c>
      <c r="B10483" t="n">
        <v>54026</v>
      </c>
      <c r="C10483" t="inlineStr">
        <is>
          <t>1426/09/09</t>
        </is>
      </c>
    </row>
    <row r="10484">
      <c r="A10484" t="n">
        <v>14260910</v>
      </c>
      <c r="B10484" t="n">
        <v>54027</v>
      </c>
      <c r="C10484" t="inlineStr">
        <is>
          <t>1426/09/10</t>
        </is>
      </c>
    </row>
    <row r="10485">
      <c r="A10485" t="n">
        <v>14260911</v>
      </c>
      <c r="B10485" t="n">
        <v>54028</v>
      </c>
      <c r="C10485" t="inlineStr">
        <is>
          <t>1426/09/11</t>
        </is>
      </c>
    </row>
    <row r="10486">
      <c r="A10486" t="n">
        <v>14260912</v>
      </c>
      <c r="B10486" t="n">
        <v>54029</v>
      </c>
      <c r="C10486" t="inlineStr">
        <is>
          <t>1426/09/12</t>
        </is>
      </c>
    </row>
    <row r="10487">
      <c r="A10487" t="n">
        <v>14260913</v>
      </c>
      <c r="B10487" t="n">
        <v>54030</v>
      </c>
      <c r="C10487" t="inlineStr">
        <is>
          <t>1426/09/13</t>
        </is>
      </c>
    </row>
    <row r="10488">
      <c r="A10488" t="n">
        <v>14260914</v>
      </c>
      <c r="B10488" t="n">
        <v>54031</v>
      </c>
      <c r="C10488" t="inlineStr">
        <is>
          <t>1426/09/14</t>
        </is>
      </c>
    </row>
    <row r="10489">
      <c r="A10489" t="n">
        <v>14260915</v>
      </c>
      <c r="B10489" t="n">
        <v>54032</v>
      </c>
      <c r="C10489" t="inlineStr">
        <is>
          <t>1426/09/15</t>
        </is>
      </c>
    </row>
    <row r="10490">
      <c r="A10490" t="n">
        <v>14260916</v>
      </c>
      <c r="B10490" t="n">
        <v>54033</v>
      </c>
      <c r="C10490" t="inlineStr">
        <is>
          <t>1426/09/16</t>
        </is>
      </c>
    </row>
    <row r="10491">
      <c r="A10491" t="n">
        <v>14260917</v>
      </c>
      <c r="B10491" t="n">
        <v>54034</v>
      </c>
      <c r="C10491" t="inlineStr">
        <is>
          <t>1426/09/17</t>
        </is>
      </c>
    </row>
    <row r="10492">
      <c r="A10492" t="n">
        <v>14260918</v>
      </c>
      <c r="B10492" t="n">
        <v>54035</v>
      </c>
      <c r="C10492" t="inlineStr">
        <is>
          <t>1426/09/18</t>
        </is>
      </c>
    </row>
    <row r="10493">
      <c r="A10493" t="n">
        <v>14260919</v>
      </c>
      <c r="B10493" t="n">
        <v>54036</v>
      </c>
      <c r="C10493" t="inlineStr">
        <is>
          <t>1426/09/19</t>
        </is>
      </c>
    </row>
    <row r="10494">
      <c r="A10494" t="n">
        <v>14260920</v>
      </c>
      <c r="B10494" t="n">
        <v>54037</v>
      </c>
      <c r="C10494" t="inlineStr">
        <is>
          <t>1426/09/20</t>
        </is>
      </c>
    </row>
    <row r="10495">
      <c r="A10495" t="n">
        <v>14260921</v>
      </c>
      <c r="B10495" t="n">
        <v>54038</v>
      </c>
      <c r="C10495" t="inlineStr">
        <is>
          <t>1426/09/21</t>
        </is>
      </c>
    </row>
    <row r="10496">
      <c r="A10496" t="n">
        <v>14260922</v>
      </c>
      <c r="B10496" t="n">
        <v>54039</v>
      </c>
      <c r="C10496" t="inlineStr">
        <is>
          <t>1426/09/22</t>
        </is>
      </c>
    </row>
    <row r="10497">
      <c r="A10497" t="n">
        <v>14260923</v>
      </c>
      <c r="B10497" t="n">
        <v>54040</v>
      </c>
      <c r="C10497" t="inlineStr">
        <is>
          <t>1426/09/23</t>
        </is>
      </c>
    </row>
    <row r="10498">
      <c r="A10498" t="n">
        <v>14260924</v>
      </c>
      <c r="B10498" t="n">
        <v>54041</v>
      </c>
      <c r="C10498" t="inlineStr">
        <is>
          <t>1426/09/24</t>
        </is>
      </c>
    </row>
    <row r="10499">
      <c r="A10499" t="n">
        <v>14260925</v>
      </c>
      <c r="B10499" t="n">
        <v>54042</v>
      </c>
      <c r="C10499" t="inlineStr">
        <is>
          <t>1426/09/25</t>
        </is>
      </c>
    </row>
    <row r="10500">
      <c r="A10500" t="n">
        <v>14260926</v>
      </c>
      <c r="B10500" t="n">
        <v>54043</v>
      </c>
      <c r="C10500" t="inlineStr">
        <is>
          <t>1426/09/26</t>
        </is>
      </c>
    </row>
    <row r="10501">
      <c r="A10501" t="n">
        <v>14260927</v>
      </c>
      <c r="B10501" t="n">
        <v>54044</v>
      </c>
      <c r="C10501" t="inlineStr">
        <is>
          <t>1426/09/27</t>
        </is>
      </c>
    </row>
    <row r="10502">
      <c r="A10502" t="n">
        <v>14260928</v>
      </c>
      <c r="B10502" t="n">
        <v>54045</v>
      </c>
      <c r="C10502" t="inlineStr">
        <is>
          <t>1426/09/28</t>
        </is>
      </c>
    </row>
    <row r="10503">
      <c r="A10503" t="n">
        <v>14260929</v>
      </c>
      <c r="B10503" t="n">
        <v>54046</v>
      </c>
      <c r="C10503" t="inlineStr">
        <is>
          <t>1426/09/29</t>
        </is>
      </c>
    </row>
    <row r="10504">
      <c r="A10504" t="n">
        <v>14260930</v>
      </c>
      <c r="B10504" t="n">
        <v>54047</v>
      </c>
      <c r="C10504" t="inlineStr">
        <is>
          <t>1426/09/30</t>
        </is>
      </c>
    </row>
    <row r="10505">
      <c r="A10505" t="n">
        <v>14261001</v>
      </c>
      <c r="B10505" t="n">
        <v>54048</v>
      </c>
      <c r="C10505" t="inlineStr">
        <is>
          <t>1426/10/01</t>
        </is>
      </c>
    </row>
    <row r="10506">
      <c r="A10506" t="n">
        <v>14261002</v>
      </c>
      <c r="B10506" t="n">
        <v>54049</v>
      </c>
      <c r="C10506" t="inlineStr">
        <is>
          <t>1426/10/02</t>
        </is>
      </c>
    </row>
    <row r="10507">
      <c r="A10507" t="n">
        <v>14261003</v>
      </c>
      <c r="B10507" t="n">
        <v>54050</v>
      </c>
      <c r="C10507" t="inlineStr">
        <is>
          <t>1426/10/03</t>
        </is>
      </c>
    </row>
    <row r="10508">
      <c r="A10508" t="n">
        <v>14261004</v>
      </c>
      <c r="B10508" t="n">
        <v>54051</v>
      </c>
      <c r="C10508" t="inlineStr">
        <is>
          <t>1426/10/04</t>
        </is>
      </c>
    </row>
    <row r="10509">
      <c r="A10509" t="n">
        <v>14261005</v>
      </c>
      <c r="B10509" t="n">
        <v>54052</v>
      </c>
      <c r="C10509" t="inlineStr">
        <is>
          <t>1426/10/05</t>
        </is>
      </c>
    </row>
    <row r="10510">
      <c r="A10510" t="n">
        <v>14261006</v>
      </c>
      <c r="B10510" t="n">
        <v>54053</v>
      </c>
      <c r="C10510" t="inlineStr">
        <is>
          <t>1426/10/06</t>
        </is>
      </c>
    </row>
    <row r="10511">
      <c r="A10511" t="n">
        <v>14261007</v>
      </c>
      <c r="B10511" t="n">
        <v>54054</v>
      </c>
      <c r="C10511" t="inlineStr">
        <is>
          <t>1426/10/07</t>
        </is>
      </c>
    </row>
    <row r="10512">
      <c r="A10512" t="n">
        <v>14261008</v>
      </c>
      <c r="B10512" t="n">
        <v>54055</v>
      </c>
      <c r="C10512" t="inlineStr">
        <is>
          <t>1426/10/08</t>
        </is>
      </c>
    </row>
    <row r="10513">
      <c r="A10513" t="n">
        <v>14261009</v>
      </c>
      <c r="B10513" t="n">
        <v>54056</v>
      </c>
      <c r="C10513" t="inlineStr">
        <is>
          <t>1426/10/09</t>
        </is>
      </c>
    </row>
    <row r="10514">
      <c r="A10514" t="n">
        <v>14261010</v>
      </c>
      <c r="B10514" t="n">
        <v>54057</v>
      </c>
      <c r="C10514" t="inlineStr">
        <is>
          <t>1426/10/10</t>
        </is>
      </c>
    </row>
    <row r="10515">
      <c r="A10515" t="n">
        <v>14261011</v>
      </c>
      <c r="B10515" t="n">
        <v>54058</v>
      </c>
      <c r="C10515" t="inlineStr">
        <is>
          <t>1426/10/11</t>
        </is>
      </c>
    </row>
    <row r="10516">
      <c r="A10516" t="n">
        <v>14261012</v>
      </c>
      <c r="B10516" t="n">
        <v>54059</v>
      </c>
      <c r="C10516" t="inlineStr">
        <is>
          <t>1426/10/12</t>
        </is>
      </c>
    </row>
    <row r="10517">
      <c r="A10517" t="n">
        <v>14261013</v>
      </c>
      <c r="B10517" t="n">
        <v>54060</v>
      </c>
      <c r="C10517" t="inlineStr">
        <is>
          <t>1426/10/13</t>
        </is>
      </c>
    </row>
    <row r="10518">
      <c r="A10518" t="n">
        <v>14261014</v>
      </c>
      <c r="B10518" t="n">
        <v>54061</v>
      </c>
      <c r="C10518" t="inlineStr">
        <is>
          <t>1426/10/14</t>
        </is>
      </c>
    </row>
    <row r="10519">
      <c r="A10519" t="n">
        <v>14261015</v>
      </c>
      <c r="B10519" t="n">
        <v>54062</v>
      </c>
      <c r="C10519" t="inlineStr">
        <is>
          <t>1426/10/15</t>
        </is>
      </c>
    </row>
    <row r="10520">
      <c r="A10520" t="n">
        <v>14261016</v>
      </c>
      <c r="B10520" t="n">
        <v>54063</v>
      </c>
      <c r="C10520" t="inlineStr">
        <is>
          <t>1426/10/16</t>
        </is>
      </c>
    </row>
    <row r="10521">
      <c r="A10521" t="n">
        <v>14261017</v>
      </c>
      <c r="B10521" t="n">
        <v>54064</v>
      </c>
      <c r="C10521" t="inlineStr">
        <is>
          <t>1426/10/17</t>
        </is>
      </c>
    </row>
    <row r="10522">
      <c r="A10522" t="n">
        <v>14261018</v>
      </c>
      <c r="B10522" t="n">
        <v>54065</v>
      </c>
      <c r="C10522" t="inlineStr">
        <is>
          <t>1426/10/18</t>
        </is>
      </c>
    </row>
    <row r="10523">
      <c r="A10523" t="n">
        <v>14261019</v>
      </c>
      <c r="B10523" t="n">
        <v>54066</v>
      </c>
      <c r="C10523" t="inlineStr">
        <is>
          <t>1426/10/19</t>
        </is>
      </c>
    </row>
    <row r="10524">
      <c r="A10524" t="n">
        <v>14261020</v>
      </c>
      <c r="B10524" t="n">
        <v>54067</v>
      </c>
      <c r="C10524" t="inlineStr">
        <is>
          <t>1426/10/20</t>
        </is>
      </c>
    </row>
    <row r="10525">
      <c r="A10525" t="n">
        <v>14261021</v>
      </c>
      <c r="B10525" t="n">
        <v>54068</v>
      </c>
      <c r="C10525" t="inlineStr">
        <is>
          <t>1426/10/21</t>
        </is>
      </c>
    </row>
    <row r="10526">
      <c r="A10526" t="n">
        <v>14261022</v>
      </c>
      <c r="B10526" t="n">
        <v>54069</v>
      </c>
      <c r="C10526" t="inlineStr">
        <is>
          <t>1426/10/22</t>
        </is>
      </c>
    </row>
    <row r="10527">
      <c r="A10527" t="n">
        <v>14261023</v>
      </c>
      <c r="B10527" t="n">
        <v>54070</v>
      </c>
      <c r="C10527" t="inlineStr">
        <is>
          <t>1426/10/23</t>
        </is>
      </c>
    </row>
    <row r="10528">
      <c r="A10528" t="n">
        <v>14261024</v>
      </c>
      <c r="B10528" t="n">
        <v>54071</v>
      </c>
      <c r="C10528" t="inlineStr">
        <is>
          <t>1426/10/24</t>
        </is>
      </c>
    </row>
    <row r="10529">
      <c r="A10529" t="n">
        <v>14261025</v>
      </c>
      <c r="B10529" t="n">
        <v>54072</v>
      </c>
      <c r="C10529" t="inlineStr">
        <is>
          <t>1426/10/25</t>
        </is>
      </c>
    </row>
    <row r="10530">
      <c r="A10530" t="n">
        <v>14261026</v>
      </c>
      <c r="B10530" t="n">
        <v>54073</v>
      </c>
      <c r="C10530" t="inlineStr">
        <is>
          <t>1426/10/26</t>
        </is>
      </c>
    </row>
    <row r="10531">
      <c r="A10531" t="n">
        <v>14261027</v>
      </c>
      <c r="B10531" t="n">
        <v>54074</v>
      </c>
      <c r="C10531" t="inlineStr">
        <is>
          <t>1426/10/27</t>
        </is>
      </c>
    </row>
    <row r="10532">
      <c r="A10532" t="n">
        <v>14261028</v>
      </c>
      <c r="B10532" t="n">
        <v>54075</v>
      </c>
      <c r="C10532" t="inlineStr">
        <is>
          <t>1426/10/28</t>
        </is>
      </c>
    </row>
    <row r="10533">
      <c r="A10533" t="n">
        <v>14261029</v>
      </c>
      <c r="B10533" t="n">
        <v>54076</v>
      </c>
      <c r="C10533" t="inlineStr">
        <is>
          <t>1426/10/29</t>
        </is>
      </c>
    </row>
    <row r="10534">
      <c r="A10534" t="n">
        <v>14261030</v>
      </c>
      <c r="B10534" t="n">
        <v>54077</v>
      </c>
      <c r="C10534" t="inlineStr">
        <is>
          <t>1426/10/30</t>
        </is>
      </c>
    </row>
    <row r="10535">
      <c r="A10535" t="n">
        <v>14261101</v>
      </c>
      <c r="B10535" t="n">
        <v>54078</v>
      </c>
      <c r="C10535" t="inlineStr">
        <is>
          <t>1426/11/01</t>
        </is>
      </c>
    </row>
    <row r="10536">
      <c r="A10536" t="n">
        <v>14261102</v>
      </c>
      <c r="B10536" t="n">
        <v>54079</v>
      </c>
      <c r="C10536" t="inlineStr">
        <is>
          <t>1426/11/02</t>
        </is>
      </c>
    </row>
    <row r="10537">
      <c r="A10537" t="n">
        <v>14261103</v>
      </c>
      <c r="B10537" t="n">
        <v>54080</v>
      </c>
      <c r="C10537" t="inlineStr">
        <is>
          <t>1426/11/03</t>
        </is>
      </c>
    </row>
    <row r="10538">
      <c r="A10538" t="n">
        <v>14261104</v>
      </c>
      <c r="B10538" t="n">
        <v>54081</v>
      </c>
      <c r="C10538" t="inlineStr">
        <is>
          <t>1426/11/04</t>
        </is>
      </c>
    </row>
    <row r="10539">
      <c r="A10539" t="n">
        <v>14261105</v>
      </c>
      <c r="B10539" t="n">
        <v>54082</v>
      </c>
      <c r="C10539" t="inlineStr">
        <is>
          <t>1426/11/05</t>
        </is>
      </c>
    </row>
    <row r="10540">
      <c r="A10540" t="n">
        <v>14261106</v>
      </c>
      <c r="B10540" t="n">
        <v>54083</v>
      </c>
      <c r="C10540" t="inlineStr">
        <is>
          <t>1426/11/06</t>
        </is>
      </c>
    </row>
    <row r="10541">
      <c r="A10541" t="n">
        <v>14261107</v>
      </c>
      <c r="B10541" t="n">
        <v>54084</v>
      </c>
      <c r="C10541" t="inlineStr">
        <is>
          <t>1426/11/07</t>
        </is>
      </c>
    </row>
    <row r="10542">
      <c r="A10542" t="n">
        <v>14261108</v>
      </c>
      <c r="B10542" t="n">
        <v>54085</v>
      </c>
      <c r="C10542" t="inlineStr">
        <is>
          <t>1426/11/08</t>
        </is>
      </c>
    </row>
    <row r="10543">
      <c r="A10543" t="n">
        <v>14261109</v>
      </c>
      <c r="B10543" t="n">
        <v>54086</v>
      </c>
      <c r="C10543" t="inlineStr">
        <is>
          <t>1426/11/09</t>
        </is>
      </c>
    </row>
    <row r="10544">
      <c r="A10544" t="n">
        <v>14261110</v>
      </c>
      <c r="B10544" t="n">
        <v>54087</v>
      </c>
      <c r="C10544" t="inlineStr">
        <is>
          <t>1426/11/10</t>
        </is>
      </c>
    </row>
    <row r="10545">
      <c r="A10545" t="n">
        <v>14261111</v>
      </c>
      <c r="B10545" t="n">
        <v>54088</v>
      </c>
      <c r="C10545" t="inlineStr">
        <is>
          <t>1426/11/11</t>
        </is>
      </c>
    </row>
    <row r="10546">
      <c r="A10546" t="n">
        <v>14261112</v>
      </c>
      <c r="B10546" t="n">
        <v>54089</v>
      </c>
      <c r="C10546" t="inlineStr">
        <is>
          <t>1426/11/12</t>
        </is>
      </c>
    </row>
    <row r="10547">
      <c r="A10547" t="n">
        <v>14261113</v>
      </c>
      <c r="B10547" t="n">
        <v>54090</v>
      </c>
      <c r="C10547" t="inlineStr">
        <is>
          <t>1426/11/13</t>
        </is>
      </c>
    </row>
    <row r="10548">
      <c r="A10548" t="n">
        <v>14261114</v>
      </c>
      <c r="B10548" t="n">
        <v>54091</v>
      </c>
      <c r="C10548" t="inlineStr">
        <is>
          <t>1426/11/14</t>
        </is>
      </c>
    </row>
    <row r="10549">
      <c r="A10549" t="n">
        <v>14261115</v>
      </c>
      <c r="B10549" t="n">
        <v>54092</v>
      </c>
      <c r="C10549" t="inlineStr">
        <is>
          <t>1426/11/15</t>
        </is>
      </c>
    </row>
    <row r="10550">
      <c r="A10550" t="n">
        <v>14261116</v>
      </c>
      <c r="B10550" t="n">
        <v>54093</v>
      </c>
      <c r="C10550" t="inlineStr">
        <is>
          <t>1426/11/16</t>
        </is>
      </c>
    </row>
    <row r="10551">
      <c r="A10551" t="n">
        <v>14261117</v>
      </c>
      <c r="B10551" t="n">
        <v>54094</v>
      </c>
      <c r="C10551" t="inlineStr">
        <is>
          <t>1426/11/17</t>
        </is>
      </c>
    </row>
    <row r="10552">
      <c r="A10552" t="n">
        <v>14261118</v>
      </c>
      <c r="B10552" t="n">
        <v>54095</v>
      </c>
      <c r="C10552" t="inlineStr">
        <is>
          <t>1426/11/18</t>
        </is>
      </c>
    </row>
    <row r="10553">
      <c r="A10553" t="n">
        <v>14261119</v>
      </c>
      <c r="B10553" t="n">
        <v>54096</v>
      </c>
      <c r="C10553" t="inlineStr">
        <is>
          <t>1426/11/19</t>
        </is>
      </c>
    </row>
    <row r="10554">
      <c r="A10554" t="n">
        <v>14261120</v>
      </c>
      <c r="B10554" t="n">
        <v>54097</v>
      </c>
      <c r="C10554" t="inlineStr">
        <is>
          <t>1426/11/20</t>
        </is>
      </c>
    </row>
    <row r="10555">
      <c r="A10555" t="n">
        <v>14261121</v>
      </c>
      <c r="B10555" t="n">
        <v>54098</v>
      </c>
      <c r="C10555" t="inlineStr">
        <is>
          <t>1426/11/21</t>
        </is>
      </c>
    </row>
    <row r="10556">
      <c r="A10556" t="n">
        <v>14261122</v>
      </c>
      <c r="B10556" t="n">
        <v>54099</v>
      </c>
      <c r="C10556" t="inlineStr">
        <is>
          <t>1426/11/22</t>
        </is>
      </c>
    </row>
    <row r="10557">
      <c r="A10557" t="n">
        <v>14261123</v>
      </c>
      <c r="B10557" t="n">
        <v>54100</v>
      </c>
      <c r="C10557" t="inlineStr">
        <is>
          <t>1426/11/23</t>
        </is>
      </c>
    </row>
    <row r="10558">
      <c r="A10558" t="n">
        <v>14261124</v>
      </c>
      <c r="B10558" t="n">
        <v>54101</v>
      </c>
      <c r="C10558" t="inlineStr">
        <is>
          <t>1426/11/24</t>
        </is>
      </c>
    </row>
    <row r="10559">
      <c r="A10559" t="n">
        <v>14261125</v>
      </c>
      <c r="B10559" t="n">
        <v>54102</v>
      </c>
      <c r="C10559" t="inlineStr">
        <is>
          <t>1426/11/25</t>
        </is>
      </c>
    </row>
    <row r="10560">
      <c r="A10560" t="n">
        <v>14261126</v>
      </c>
      <c r="B10560" t="n">
        <v>54103</v>
      </c>
      <c r="C10560" t="inlineStr">
        <is>
          <t>1426/11/26</t>
        </is>
      </c>
    </row>
    <row r="10561">
      <c r="A10561" t="n">
        <v>14261127</v>
      </c>
      <c r="B10561" t="n">
        <v>54104</v>
      </c>
      <c r="C10561" t="inlineStr">
        <is>
          <t>1426/11/27</t>
        </is>
      </c>
    </row>
    <row r="10562">
      <c r="A10562" t="n">
        <v>14261128</v>
      </c>
      <c r="B10562" t="n">
        <v>54105</v>
      </c>
      <c r="C10562" t="inlineStr">
        <is>
          <t>1426/11/28</t>
        </is>
      </c>
    </row>
    <row r="10563">
      <c r="A10563" t="n">
        <v>14261129</v>
      </c>
      <c r="B10563" t="n">
        <v>54106</v>
      </c>
      <c r="C10563" t="inlineStr">
        <is>
          <t>1426/11/29</t>
        </is>
      </c>
    </row>
    <row r="10564">
      <c r="A10564" t="n">
        <v>14261130</v>
      </c>
      <c r="B10564" t="n">
        <v>54107</v>
      </c>
      <c r="C10564" t="inlineStr">
        <is>
          <t>1426/11/30</t>
        </is>
      </c>
    </row>
    <row r="10565">
      <c r="A10565" t="n">
        <v>14261201</v>
      </c>
      <c r="B10565" t="n">
        <v>54108</v>
      </c>
      <c r="C10565" t="inlineStr">
        <is>
          <t>1426/12/01</t>
        </is>
      </c>
    </row>
    <row r="10566">
      <c r="A10566" t="n">
        <v>14261202</v>
      </c>
      <c r="B10566" t="n">
        <v>54109</v>
      </c>
      <c r="C10566" t="inlineStr">
        <is>
          <t>1426/12/02</t>
        </is>
      </c>
    </row>
    <row r="10567">
      <c r="A10567" t="n">
        <v>14261203</v>
      </c>
      <c r="B10567" t="n">
        <v>54110</v>
      </c>
      <c r="C10567" t="inlineStr">
        <is>
          <t>1426/12/03</t>
        </is>
      </c>
    </row>
    <row r="10568">
      <c r="A10568" t="n">
        <v>14261204</v>
      </c>
      <c r="B10568" t="n">
        <v>54111</v>
      </c>
      <c r="C10568" t="inlineStr">
        <is>
          <t>1426/12/04</t>
        </is>
      </c>
    </row>
    <row r="10569">
      <c r="A10569" t="n">
        <v>14261205</v>
      </c>
      <c r="B10569" t="n">
        <v>54112</v>
      </c>
      <c r="C10569" t="inlineStr">
        <is>
          <t>1426/12/05</t>
        </is>
      </c>
    </row>
    <row r="10570">
      <c r="A10570" t="n">
        <v>14261206</v>
      </c>
      <c r="B10570" t="n">
        <v>54113</v>
      </c>
      <c r="C10570" t="inlineStr">
        <is>
          <t>1426/12/06</t>
        </is>
      </c>
    </row>
    <row r="10571">
      <c r="A10571" t="n">
        <v>14261207</v>
      </c>
      <c r="B10571" t="n">
        <v>54114</v>
      </c>
      <c r="C10571" t="inlineStr">
        <is>
          <t>1426/12/07</t>
        </is>
      </c>
    </row>
    <row r="10572">
      <c r="A10572" t="n">
        <v>14261208</v>
      </c>
      <c r="B10572" t="n">
        <v>54115</v>
      </c>
      <c r="C10572" t="inlineStr">
        <is>
          <t>1426/12/08</t>
        </is>
      </c>
    </row>
    <row r="10573">
      <c r="A10573" t="n">
        <v>14261209</v>
      </c>
      <c r="B10573" t="n">
        <v>54116</v>
      </c>
      <c r="C10573" t="inlineStr">
        <is>
          <t>1426/12/09</t>
        </is>
      </c>
    </row>
    <row r="10574">
      <c r="A10574" t="n">
        <v>14261210</v>
      </c>
      <c r="B10574" t="n">
        <v>54117</v>
      </c>
      <c r="C10574" t="inlineStr">
        <is>
          <t>1426/12/10</t>
        </is>
      </c>
    </row>
    <row r="10575">
      <c r="A10575" t="n">
        <v>14261211</v>
      </c>
      <c r="B10575" t="n">
        <v>54118</v>
      </c>
      <c r="C10575" t="inlineStr">
        <is>
          <t>1426/12/11</t>
        </is>
      </c>
    </row>
    <row r="10576">
      <c r="A10576" t="n">
        <v>14261212</v>
      </c>
      <c r="B10576" t="n">
        <v>54119</v>
      </c>
      <c r="C10576" t="inlineStr">
        <is>
          <t>1426/12/12</t>
        </is>
      </c>
    </row>
    <row r="10577">
      <c r="A10577" t="n">
        <v>14261213</v>
      </c>
      <c r="B10577" t="n">
        <v>54120</v>
      </c>
      <c r="C10577" t="inlineStr">
        <is>
          <t>1426/12/13</t>
        </is>
      </c>
    </row>
    <row r="10578">
      <c r="A10578" t="n">
        <v>14261214</v>
      </c>
      <c r="B10578" t="n">
        <v>54121</v>
      </c>
      <c r="C10578" t="inlineStr">
        <is>
          <t>1426/12/14</t>
        </is>
      </c>
    </row>
    <row r="10579">
      <c r="A10579" t="n">
        <v>14261215</v>
      </c>
      <c r="B10579" t="n">
        <v>54122</v>
      </c>
      <c r="C10579" t="inlineStr">
        <is>
          <t>1426/12/15</t>
        </is>
      </c>
    </row>
    <row r="10580">
      <c r="A10580" t="n">
        <v>14261216</v>
      </c>
      <c r="B10580" t="n">
        <v>54123</v>
      </c>
      <c r="C10580" t="inlineStr">
        <is>
          <t>1426/12/16</t>
        </is>
      </c>
    </row>
    <row r="10581">
      <c r="A10581" t="n">
        <v>14261217</v>
      </c>
      <c r="B10581" t="n">
        <v>54124</v>
      </c>
      <c r="C10581" t="inlineStr">
        <is>
          <t>1426/12/17</t>
        </is>
      </c>
    </row>
    <row r="10582">
      <c r="A10582" t="n">
        <v>14261218</v>
      </c>
      <c r="B10582" t="n">
        <v>54125</v>
      </c>
      <c r="C10582" t="inlineStr">
        <is>
          <t>1426/12/18</t>
        </is>
      </c>
    </row>
    <row r="10583">
      <c r="A10583" t="n">
        <v>14261219</v>
      </c>
      <c r="B10583" t="n">
        <v>54126</v>
      </c>
      <c r="C10583" t="inlineStr">
        <is>
          <t>1426/12/19</t>
        </is>
      </c>
    </row>
    <row r="10584">
      <c r="A10584" t="n">
        <v>14261220</v>
      </c>
      <c r="B10584" t="n">
        <v>54127</v>
      </c>
      <c r="C10584" t="inlineStr">
        <is>
          <t>1426/12/20</t>
        </is>
      </c>
    </row>
    <row r="10585">
      <c r="A10585" t="n">
        <v>14261221</v>
      </c>
      <c r="B10585" t="n">
        <v>54128</v>
      </c>
      <c r="C10585" t="inlineStr">
        <is>
          <t>1426/12/21</t>
        </is>
      </c>
    </row>
    <row r="10586">
      <c r="A10586" t="n">
        <v>14261222</v>
      </c>
      <c r="B10586" t="n">
        <v>54129</v>
      </c>
      <c r="C10586" t="inlineStr">
        <is>
          <t>1426/12/22</t>
        </is>
      </c>
    </row>
    <row r="10587">
      <c r="A10587" t="n">
        <v>14261223</v>
      </c>
      <c r="B10587" t="n">
        <v>54130</v>
      </c>
      <c r="C10587" t="inlineStr">
        <is>
          <t>1426/12/23</t>
        </is>
      </c>
    </row>
    <row r="10588">
      <c r="A10588" t="n">
        <v>14261224</v>
      </c>
      <c r="B10588" t="n">
        <v>54131</v>
      </c>
      <c r="C10588" t="inlineStr">
        <is>
          <t>1426/12/24</t>
        </is>
      </c>
    </row>
    <row r="10589">
      <c r="A10589" t="n">
        <v>14261225</v>
      </c>
      <c r="B10589" t="n">
        <v>54132</v>
      </c>
      <c r="C10589" t="inlineStr">
        <is>
          <t>1426/12/25</t>
        </is>
      </c>
    </row>
    <row r="10590">
      <c r="A10590" t="n">
        <v>14261226</v>
      </c>
      <c r="B10590" t="n">
        <v>54133</v>
      </c>
      <c r="C10590" t="inlineStr">
        <is>
          <t>1426/12/26</t>
        </is>
      </c>
    </row>
    <row r="10591">
      <c r="A10591" t="n">
        <v>14261227</v>
      </c>
      <c r="B10591" t="n">
        <v>54134</v>
      </c>
      <c r="C10591" t="inlineStr">
        <is>
          <t>1426/12/27</t>
        </is>
      </c>
    </row>
    <row r="10592">
      <c r="A10592" t="n">
        <v>14261228</v>
      </c>
      <c r="B10592" t="n">
        <v>54135</v>
      </c>
      <c r="C10592" t="inlineStr">
        <is>
          <t>1426/12/28</t>
        </is>
      </c>
    </row>
    <row r="10593">
      <c r="A10593" t="n">
        <v>14261229</v>
      </c>
      <c r="B10593" t="n">
        <v>54136</v>
      </c>
      <c r="C10593" t="inlineStr">
        <is>
          <t>1426/12/29</t>
        </is>
      </c>
    </row>
    <row r="10594">
      <c r="A10594" t="n">
        <v>14270101</v>
      </c>
      <c r="B10594" t="n">
        <v>54137</v>
      </c>
      <c r="C10594" t="inlineStr">
        <is>
          <t>1427/01/01</t>
        </is>
      </c>
    </row>
    <row r="10595">
      <c r="A10595" t="n">
        <v>14270102</v>
      </c>
      <c r="B10595" t="n">
        <v>54138</v>
      </c>
      <c r="C10595" t="inlineStr">
        <is>
          <t>1427/01/02</t>
        </is>
      </c>
    </row>
    <row r="10596">
      <c r="A10596" t="n">
        <v>14270103</v>
      </c>
      <c r="B10596" t="n">
        <v>54139</v>
      </c>
      <c r="C10596" t="inlineStr">
        <is>
          <t>1427/01/03</t>
        </is>
      </c>
    </row>
    <row r="10597">
      <c r="A10597" t="n">
        <v>14270104</v>
      </c>
      <c r="B10597" t="n">
        <v>54140</v>
      </c>
      <c r="C10597" t="inlineStr">
        <is>
          <t>1427/01/04</t>
        </is>
      </c>
    </row>
    <row r="10598">
      <c r="A10598" t="n">
        <v>14270105</v>
      </c>
      <c r="B10598" t="n">
        <v>54141</v>
      </c>
      <c r="C10598" t="inlineStr">
        <is>
          <t>1427/01/05</t>
        </is>
      </c>
    </row>
    <row r="10599">
      <c r="A10599" t="n">
        <v>14270106</v>
      </c>
      <c r="B10599" t="n">
        <v>54142</v>
      </c>
      <c r="C10599" t="inlineStr">
        <is>
          <t>1427/01/06</t>
        </is>
      </c>
    </row>
    <row r="10600">
      <c r="A10600" t="n">
        <v>14270107</v>
      </c>
      <c r="B10600" t="n">
        <v>54143</v>
      </c>
      <c r="C10600" t="inlineStr">
        <is>
          <t>1427/01/07</t>
        </is>
      </c>
    </row>
    <row r="10601">
      <c r="A10601" t="n">
        <v>14270108</v>
      </c>
      <c r="B10601" t="n">
        <v>54144</v>
      </c>
      <c r="C10601" t="inlineStr">
        <is>
          <t>1427/01/08</t>
        </is>
      </c>
    </row>
    <row r="10602">
      <c r="A10602" t="n">
        <v>14270109</v>
      </c>
      <c r="B10602" t="n">
        <v>54145</v>
      </c>
      <c r="C10602" t="inlineStr">
        <is>
          <t>1427/01/09</t>
        </is>
      </c>
    </row>
    <row r="10603">
      <c r="A10603" t="n">
        <v>14270110</v>
      </c>
      <c r="B10603" t="n">
        <v>54146</v>
      </c>
      <c r="C10603" t="inlineStr">
        <is>
          <t>1427/01/10</t>
        </is>
      </c>
    </row>
    <row r="10604">
      <c r="A10604" t="n">
        <v>14270111</v>
      </c>
      <c r="B10604" t="n">
        <v>54147</v>
      </c>
      <c r="C10604" t="inlineStr">
        <is>
          <t>1427/01/11</t>
        </is>
      </c>
    </row>
    <row r="10605">
      <c r="A10605" t="n">
        <v>14270112</v>
      </c>
      <c r="B10605" t="n">
        <v>54148</v>
      </c>
      <c r="C10605" t="inlineStr">
        <is>
          <t>1427/01/12</t>
        </is>
      </c>
    </row>
    <row r="10606">
      <c r="A10606" t="n">
        <v>14270113</v>
      </c>
      <c r="B10606" t="n">
        <v>54149</v>
      </c>
      <c r="C10606" t="inlineStr">
        <is>
          <t>1427/01/13</t>
        </is>
      </c>
    </row>
    <row r="10607">
      <c r="A10607" t="n">
        <v>14270114</v>
      </c>
      <c r="B10607" t="n">
        <v>54150</v>
      </c>
      <c r="C10607" t="inlineStr">
        <is>
          <t>1427/01/14</t>
        </is>
      </c>
    </row>
    <row r="10608">
      <c r="A10608" t="n">
        <v>14270115</v>
      </c>
      <c r="B10608" t="n">
        <v>54151</v>
      </c>
      <c r="C10608" t="inlineStr">
        <is>
          <t>1427/01/15</t>
        </is>
      </c>
    </row>
    <row r="10609">
      <c r="A10609" t="n">
        <v>14270116</v>
      </c>
      <c r="B10609" t="n">
        <v>54152</v>
      </c>
      <c r="C10609" t="inlineStr">
        <is>
          <t>1427/01/16</t>
        </is>
      </c>
    </row>
    <row r="10610">
      <c r="A10610" t="n">
        <v>14270117</v>
      </c>
      <c r="B10610" t="n">
        <v>54153</v>
      </c>
      <c r="C10610" t="inlineStr">
        <is>
          <t>1427/01/17</t>
        </is>
      </c>
    </row>
    <row r="10611">
      <c r="A10611" t="n">
        <v>14270118</v>
      </c>
      <c r="B10611" t="n">
        <v>54154</v>
      </c>
      <c r="C10611" t="inlineStr">
        <is>
          <t>1427/01/18</t>
        </is>
      </c>
    </row>
    <row r="10612">
      <c r="A10612" t="n">
        <v>14270119</v>
      </c>
      <c r="B10612" t="n">
        <v>54155</v>
      </c>
      <c r="C10612" t="inlineStr">
        <is>
          <t>1427/01/19</t>
        </is>
      </c>
    </row>
    <row r="10613">
      <c r="A10613" t="n">
        <v>14270120</v>
      </c>
      <c r="B10613" t="n">
        <v>54156</v>
      </c>
      <c r="C10613" t="inlineStr">
        <is>
          <t>1427/01/20</t>
        </is>
      </c>
    </row>
    <row r="10614">
      <c r="A10614" t="n">
        <v>14270121</v>
      </c>
      <c r="B10614" t="n">
        <v>54157</v>
      </c>
      <c r="C10614" t="inlineStr">
        <is>
          <t>1427/01/21</t>
        </is>
      </c>
    </row>
    <row r="10615">
      <c r="A10615" t="n">
        <v>14270122</v>
      </c>
      <c r="B10615" t="n">
        <v>54158</v>
      </c>
      <c r="C10615" t="inlineStr">
        <is>
          <t>1427/01/22</t>
        </is>
      </c>
    </row>
    <row r="10616">
      <c r="A10616" t="n">
        <v>14270123</v>
      </c>
      <c r="B10616" t="n">
        <v>54159</v>
      </c>
      <c r="C10616" t="inlineStr">
        <is>
          <t>1427/01/23</t>
        </is>
      </c>
    </row>
    <row r="10617">
      <c r="A10617" t="n">
        <v>14270124</v>
      </c>
      <c r="B10617" t="n">
        <v>54160</v>
      </c>
      <c r="C10617" t="inlineStr">
        <is>
          <t>1427/01/24</t>
        </is>
      </c>
    </row>
    <row r="10618">
      <c r="A10618" t="n">
        <v>14270125</v>
      </c>
      <c r="B10618" t="n">
        <v>54161</v>
      </c>
      <c r="C10618" t="inlineStr">
        <is>
          <t>1427/01/25</t>
        </is>
      </c>
    </row>
    <row r="10619">
      <c r="A10619" t="n">
        <v>14270126</v>
      </c>
      <c r="B10619" t="n">
        <v>54162</v>
      </c>
      <c r="C10619" t="inlineStr">
        <is>
          <t>1427/01/26</t>
        </is>
      </c>
    </row>
    <row r="10620">
      <c r="A10620" t="n">
        <v>14270127</v>
      </c>
      <c r="B10620" t="n">
        <v>54163</v>
      </c>
      <c r="C10620" t="inlineStr">
        <is>
          <t>1427/01/27</t>
        </is>
      </c>
    </row>
    <row r="10621">
      <c r="A10621" t="n">
        <v>14270128</v>
      </c>
      <c r="B10621" t="n">
        <v>54164</v>
      </c>
      <c r="C10621" t="inlineStr">
        <is>
          <t>1427/01/28</t>
        </is>
      </c>
    </row>
    <row r="10622">
      <c r="A10622" t="n">
        <v>14270129</v>
      </c>
      <c r="B10622" t="n">
        <v>54165</v>
      </c>
      <c r="C10622" t="inlineStr">
        <is>
          <t>1427/01/29</t>
        </is>
      </c>
    </row>
    <row r="10623">
      <c r="A10623" t="n">
        <v>14270130</v>
      </c>
      <c r="B10623" t="n">
        <v>54166</v>
      </c>
      <c r="C10623" t="inlineStr">
        <is>
          <t>1427/01/30</t>
        </is>
      </c>
    </row>
    <row r="10624">
      <c r="A10624" t="n">
        <v>14270131</v>
      </c>
      <c r="B10624" t="n">
        <v>54167</v>
      </c>
      <c r="C10624" t="inlineStr">
        <is>
          <t>1427/01/31</t>
        </is>
      </c>
    </row>
    <row r="10625">
      <c r="A10625" t="n">
        <v>14270201</v>
      </c>
      <c r="B10625" t="n">
        <v>54168</v>
      </c>
      <c r="C10625" t="inlineStr">
        <is>
          <t>1427/02/01</t>
        </is>
      </c>
    </row>
    <row r="10626">
      <c r="A10626" t="n">
        <v>14270202</v>
      </c>
      <c r="B10626" t="n">
        <v>54169</v>
      </c>
      <c r="C10626" t="inlineStr">
        <is>
          <t>1427/02/02</t>
        </is>
      </c>
    </row>
    <row r="10627">
      <c r="A10627" t="n">
        <v>14270203</v>
      </c>
      <c r="B10627" t="n">
        <v>54170</v>
      </c>
      <c r="C10627" t="inlineStr">
        <is>
          <t>1427/02/03</t>
        </is>
      </c>
    </row>
    <row r="10628">
      <c r="A10628" t="n">
        <v>14270204</v>
      </c>
      <c r="B10628" t="n">
        <v>54171</v>
      </c>
      <c r="C10628" t="inlineStr">
        <is>
          <t>1427/02/04</t>
        </is>
      </c>
    </row>
    <row r="10629">
      <c r="A10629" t="n">
        <v>14270205</v>
      </c>
      <c r="B10629" t="n">
        <v>54172</v>
      </c>
      <c r="C10629" t="inlineStr">
        <is>
          <t>1427/02/05</t>
        </is>
      </c>
    </row>
    <row r="10630">
      <c r="A10630" t="n">
        <v>14270206</v>
      </c>
      <c r="B10630" t="n">
        <v>54173</v>
      </c>
      <c r="C10630" t="inlineStr">
        <is>
          <t>1427/02/06</t>
        </is>
      </c>
    </row>
    <row r="10631">
      <c r="A10631" t="n">
        <v>14270207</v>
      </c>
      <c r="B10631" t="n">
        <v>54174</v>
      </c>
      <c r="C10631" t="inlineStr">
        <is>
          <t>1427/02/07</t>
        </is>
      </c>
    </row>
    <row r="10632">
      <c r="A10632" t="n">
        <v>14270208</v>
      </c>
      <c r="B10632" t="n">
        <v>54175</v>
      </c>
      <c r="C10632" t="inlineStr">
        <is>
          <t>1427/02/08</t>
        </is>
      </c>
    </row>
    <row r="10633">
      <c r="A10633" t="n">
        <v>14270209</v>
      </c>
      <c r="B10633" t="n">
        <v>54176</v>
      </c>
      <c r="C10633" t="inlineStr">
        <is>
          <t>1427/02/09</t>
        </is>
      </c>
    </row>
    <row r="10634">
      <c r="A10634" t="n">
        <v>14270210</v>
      </c>
      <c r="B10634" t="n">
        <v>54177</v>
      </c>
      <c r="C10634" t="inlineStr">
        <is>
          <t>1427/02/10</t>
        </is>
      </c>
    </row>
    <row r="10635">
      <c r="A10635" t="n">
        <v>14270211</v>
      </c>
      <c r="B10635" t="n">
        <v>54178</v>
      </c>
      <c r="C10635" t="inlineStr">
        <is>
          <t>1427/02/11</t>
        </is>
      </c>
    </row>
    <row r="10636">
      <c r="A10636" t="n">
        <v>14270212</v>
      </c>
      <c r="B10636" t="n">
        <v>54179</v>
      </c>
      <c r="C10636" t="inlineStr">
        <is>
          <t>1427/02/12</t>
        </is>
      </c>
    </row>
    <row r="10637">
      <c r="A10637" t="n">
        <v>14270213</v>
      </c>
      <c r="B10637" t="n">
        <v>54180</v>
      </c>
      <c r="C10637" t="inlineStr">
        <is>
          <t>1427/02/13</t>
        </is>
      </c>
    </row>
    <row r="10638">
      <c r="A10638" t="n">
        <v>14270214</v>
      </c>
      <c r="B10638" t="n">
        <v>54181</v>
      </c>
      <c r="C10638" t="inlineStr">
        <is>
          <t>1427/02/14</t>
        </is>
      </c>
    </row>
    <row r="10639">
      <c r="A10639" t="n">
        <v>14270215</v>
      </c>
      <c r="B10639" t="n">
        <v>54182</v>
      </c>
      <c r="C10639" t="inlineStr">
        <is>
          <t>1427/02/15</t>
        </is>
      </c>
    </row>
    <row r="10640">
      <c r="A10640" t="n">
        <v>14270216</v>
      </c>
      <c r="B10640" t="n">
        <v>54183</v>
      </c>
      <c r="C10640" t="inlineStr">
        <is>
          <t>1427/02/16</t>
        </is>
      </c>
    </row>
    <row r="10641">
      <c r="A10641" t="n">
        <v>14270217</v>
      </c>
      <c r="B10641" t="n">
        <v>54184</v>
      </c>
      <c r="C10641" t="inlineStr">
        <is>
          <t>1427/02/17</t>
        </is>
      </c>
    </row>
    <row r="10642">
      <c r="A10642" t="n">
        <v>14270218</v>
      </c>
      <c r="B10642" t="n">
        <v>54185</v>
      </c>
      <c r="C10642" t="inlineStr">
        <is>
          <t>1427/02/18</t>
        </is>
      </c>
    </row>
    <row r="10643">
      <c r="A10643" t="n">
        <v>14270219</v>
      </c>
      <c r="B10643" t="n">
        <v>54186</v>
      </c>
      <c r="C10643" t="inlineStr">
        <is>
          <t>1427/02/19</t>
        </is>
      </c>
    </row>
    <row r="10644">
      <c r="A10644" t="n">
        <v>14270220</v>
      </c>
      <c r="B10644" t="n">
        <v>54187</v>
      </c>
      <c r="C10644" t="inlineStr">
        <is>
          <t>1427/02/20</t>
        </is>
      </c>
    </row>
    <row r="10645">
      <c r="A10645" t="n">
        <v>14270221</v>
      </c>
      <c r="B10645" t="n">
        <v>54188</v>
      </c>
      <c r="C10645" t="inlineStr">
        <is>
          <t>1427/02/21</t>
        </is>
      </c>
    </row>
    <row r="10646">
      <c r="A10646" t="n">
        <v>14270222</v>
      </c>
      <c r="B10646" t="n">
        <v>54189</v>
      </c>
      <c r="C10646" t="inlineStr">
        <is>
          <t>1427/02/22</t>
        </is>
      </c>
    </row>
    <row r="10647">
      <c r="A10647" t="n">
        <v>14270223</v>
      </c>
      <c r="B10647" t="n">
        <v>54190</v>
      </c>
      <c r="C10647" t="inlineStr">
        <is>
          <t>1427/02/23</t>
        </is>
      </c>
    </row>
    <row r="10648">
      <c r="A10648" t="n">
        <v>14270224</v>
      </c>
      <c r="B10648" t="n">
        <v>54191</v>
      </c>
      <c r="C10648" t="inlineStr">
        <is>
          <t>1427/02/24</t>
        </is>
      </c>
    </row>
    <row r="10649">
      <c r="A10649" t="n">
        <v>14270225</v>
      </c>
      <c r="B10649" t="n">
        <v>54192</v>
      </c>
      <c r="C10649" t="inlineStr">
        <is>
          <t>1427/02/25</t>
        </is>
      </c>
    </row>
    <row r="10650">
      <c r="A10650" t="n">
        <v>14270226</v>
      </c>
      <c r="B10650" t="n">
        <v>54193</v>
      </c>
      <c r="C10650" t="inlineStr">
        <is>
          <t>1427/02/26</t>
        </is>
      </c>
    </row>
    <row r="10651">
      <c r="A10651" t="n">
        <v>14270227</v>
      </c>
      <c r="B10651" t="n">
        <v>54194</v>
      </c>
      <c r="C10651" t="inlineStr">
        <is>
          <t>1427/02/27</t>
        </is>
      </c>
    </row>
    <row r="10652">
      <c r="A10652" t="n">
        <v>14270228</v>
      </c>
      <c r="B10652" t="n">
        <v>54195</v>
      </c>
      <c r="C10652" t="inlineStr">
        <is>
          <t>1427/02/28</t>
        </is>
      </c>
    </row>
    <row r="10653">
      <c r="A10653" t="n">
        <v>14270229</v>
      </c>
      <c r="B10653" t="n">
        <v>54196</v>
      </c>
      <c r="C10653" t="inlineStr">
        <is>
          <t>1427/02/29</t>
        </is>
      </c>
    </row>
    <row r="10654">
      <c r="A10654" t="n">
        <v>14270230</v>
      </c>
      <c r="B10654" t="n">
        <v>54197</v>
      </c>
      <c r="C10654" t="inlineStr">
        <is>
          <t>1427/02/30</t>
        </is>
      </c>
    </row>
    <row r="10655">
      <c r="A10655" t="n">
        <v>14270231</v>
      </c>
      <c r="B10655" t="n">
        <v>54198</v>
      </c>
      <c r="C10655" t="inlineStr">
        <is>
          <t>1427/02/31</t>
        </is>
      </c>
    </row>
    <row r="10656">
      <c r="A10656" t="n">
        <v>14270301</v>
      </c>
      <c r="B10656" t="n">
        <v>54199</v>
      </c>
      <c r="C10656" t="inlineStr">
        <is>
          <t>1427/03/01</t>
        </is>
      </c>
    </row>
    <row r="10657">
      <c r="A10657" t="n">
        <v>14270302</v>
      </c>
      <c r="B10657" t="n">
        <v>54200</v>
      </c>
      <c r="C10657" t="inlineStr">
        <is>
          <t>1427/03/02</t>
        </is>
      </c>
    </row>
    <row r="10658">
      <c r="A10658" t="n">
        <v>14270303</v>
      </c>
      <c r="B10658" t="n">
        <v>54201</v>
      </c>
      <c r="C10658" t="inlineStr">
        <is>
          <t>1427/03/03</t>
        </is>
      </c>
    </row>
    <row r="10659">
      <c r="A10659" t="n">
        <v>14270304</v>
      </c>
      <c r="B10659" t="n">
        <v>54202</v>
      </c>
      <c r="C10659" t="inlineStr">
        <is>
          <t>1427/03/04</t>
        </is>
      </c>
    </row>
    <row r="10660">
      <c r="A10660" t="n">
        <v>14270305</v>
      </c>
      <c r="B10660" t="n">
        <v>54203</v>
      </c>
      <c r="C10660" t="inlineStr">
        <is>
          <t>1427/03/05</t>
        </is>
      </c>
    </row>
    <row r="10661">
      <c r="A10661" t="n">
        <v>14270306</v>
      </c>
      <c r="B10661" t="n">
        <v>54204</v>
      </c>
      <c r="C10661" t="inlineStr">
        <is>
          <t>1427/03/06</t>
        </is>
      </c>
    </row>
    <row r="10662">
      <c r="A10662" t="n">
        <v>14270307</v>
      </c>
      <c r="B10662" t="n">
        <v>54205</v>
      </c>
      <c r="C10662" t="inlineStr">
        <is>
          <t>1427/03/07</t>
        </is>
      </c>
    </row>
    <row r="10663">
      <c r="A10663" t="n">
        <v>14270308</v>
      </c>
      <c r="B10663" t="n">
        <v>54206</v>
      </c>
      <c r="C10663" t="inlineStr">
        <is>
          <t>1427/03/08</t>
        </is>
      </c>
    </row>
    <row r="10664">
      <c r="A10664" t="n">
        <v>14270309</v>
      </c>
      <c r="B10664" t="n">
        <v>54207</v>
      </c>
      <c r="C10664" t="inlineStr">
        <is>
          <t>1427/03/09</t>
        </is>
      </c>
    </row>
    <row r="10665">
      <c r="A10665" t="n">
        <v>14270310</v>
      </c>
      <c r="B10665" t="n">
        <v>54208</v>
      </c>
      <c r="C10665" t="inlineStr">
        <is>
          <t>1427/03/10</t>
        </is>
      </c>
    </row>
    <row r="10666">
      <c r="A10666" t="n">
        <v>14270311</v>
      </c>
      <c r="B10666" t="n">
        <v>54209</v>
      </c>
      <c r="C10666" t="inlineStr">
        <is>
          <t>1427/03/11</t>
        </is>
      </c>
    </row>
    <row r="10667">
      <c r="A10667" t="n">
        <v>14270312</v>
      </c>
      <c r="B10667" t="n">
        <v>54210</v>
      </c>
      <c r="C10667" t="inlineStr">
        <is>
          <t>1427/03/12</t>
        </is>
      </c>
    </row>
    <row r="10668">
      <c r="A10668" t="n">
        <v>14270313</v>
      </c>
      <c r="B10668" t="n">
        <v>54211</v>
      </c>
      <c r="C10668" t="inlineStr">
        <is>
          <t>1427/03/13</t>
        </is>
      </c>
    </row>
    <row r="10669">
      <c r="A10669" t="n">
        <v>14270314</v>
      </c>
      <c r="B10669" t="n">
        <v>54212</v>
      </c>
      <c r="C10669" t="inlineStr">
        <is>
          <t>1427/03/14</t>
        </is>
      </c>
    </row>
    <row r="10670">
      <c r="A10670" t="n">
        <v>14270315</v>
      </c>
      <c r="B10670" t="n">
        <v>54213</v>
      </c>
      <c r="C10670" t="inlineStr">
        <is>
          <t>1427/03/15</t>
        </is>
      </c>
    </row>
    <row r="10671">
      <c r="A10671" t="n">
        <v>14270316</v>
      </c>
      <c r="B10671" t="n">
        <v>54214</v>
      </c>
      <c r="C10671" t="inlineStr">
        <is>
          <t>1427/03/16</t>
        </is>
      </c>
    </row>
    <row r="10672">
      <c r="A10672" t="n">
        <v>14270317</v>
      </c>
      <c r="B10672" t="n">
        <v>54215</v>
      </c>
      <c r="C10672" t="inlineStr">
        <is>
          <t>1427/03/17</t>
        </is>
      </c>
    </row>
    <row r="10673">
      <c r="A10673" t="n">
        <v>14270318</v>
      </c>
      <c r="B10673" t="n">
        <v>54216</v>
      </c>
      <c r="C10673" t="inlineStr">
        <is>
          <t>1427/03/18</t>
        </is>
      </c>
    </row>
    <row r="10674">
      <c r="A10674" t="n">
        <v>14270319</v>
      </c>
      <c r="B10674" t="n">
        <v>54217</v>
      </c>
      <c r="C10674" t="inlineStr">
        <is>
          <t>1427/03/19</t>
        </is>
      </c>
    </row>
    <row r="10675">
      <c r="A10675" t="n">
        <v>14270320</v>
      </c>
      <c r="B10675" t="n">
        <v>54218</v>
      </c>
      <c r="C10675" t="inlineStr">
        <is>
          <t>1427/03/20</t>
        </is>
      </c>
    </row>
    <row r="10676">
      <c r="A10676" t="n">
        <v>14270321</v>
      </c>
      <c r="B10676" t="n">
        <v>54219</v>
      </c>
      <c r="C10676" t="inlineStr">
        <is>
          <t>1427/03/21</t>
        </is>
      </c>
    </row>
    <row r="10677">
      <c r="A10677" t="n">
        <v>14270322</v>
      </c>
      <c r="B10677" t="n">
        <v>54220</v>
      </c>
      <c r="C10677" t="inlineStr">
        <is>
          <t>1427/03/22</t>
        </is>
      </c>
    </row>
    <row r="10678">
      <c r="A10678" t="n">
        <v>14270323</v>
      </c>
      <c r="B10678" t="n">
        <v>54221</v>
      </c>
      <c r="C10678" t="inlineStr">
        <is>
          <t>1427/03/23</t>
        </is>
      </c>
    </row>
    <row r="10679">
      <c r="A10679" t="n">
        <v>14270324</v>
      </c>
      <c r="B10679" t="n">
        <v>54222</v>
      </c>
      <c r="C10679" t="inlineStr">
        <is>
          <t>1427/03/24</t>
        </is>
      </c>
    </row>
    <row r="10680">
      <c r="A10680" t="n">
        <v>14270325</v>
      </c>
      <c r="B10680" t="n">
        <v>54223</v>
      </c>
      <c r="C10680" t="inlineStr">
        <is>
          <t>1427/03/25</t>
        </is>
      </c>
    </row>
    <row r="10681">
      <c r="A10681" t="n">
        <v>14270326</v>
      </c>
      <c r="B10681" t="n">
        <v>54224</v>
      </c>
      <c r="C10681" t="inlineStr">
        <is>
          <t>1427/03/26</t>
        </is>
      </c>
    </row>
    <row r="10682">
      <c r="A10682" t="n">
        <v>14270327</v>
      </c>
      <c r="B10682" t="n">
        <v>54225</v>
      </c>
      <c r="C10682" t="inlineStr">
        <is>
          <t>1427/03/27</t>
        </is>
      </c>
    </row>
    <row r="10683">
      <c r="A10683" t="n">
        <v>14270328</v>
      </c>
      <c r="B10683" t="n">
        <v>54226</v>
      </c>
      <c r="C10683" t="inlineStr">
        <is>
          <t>1427/03/28</t>
        </is>
      </c>
    </row>
    <row r="10684">
      <c r="A10684" t="n">
        <v>14270329</v>
      </c>
      <c r="B10684" t="n">
        <v>54227</v>
      </c>
      <c r="C10684" t="inlineStr">
        <is>
          <t>1427/03/29</t>
        </is>
      </c>
    </row>
    <row r="10685">
      <c r="A10685" t="n">
        <v>14270330</v>
      </c>
      <c r="B10685" t="n">
        <v>54228</v>
      </c>
      <c r="C10685" t="inlineStr">
        <is>
          <t>1427/03/30</t>
        </is>
      </c>
    </row>
    <row r="10686">
      <c r="A10686" t="n">
        <v>14270331</v>
      </c>
      <c r="B10686" t="n">
        <v>54229</v>
      </c>
      <c r="C10686" t="inlineStr">
        <is>
          <t>1427/03/31</t>
        </is>
      </c>
    </row>
    <row r="10687">
      <c r="A10687" t="n">
        <v>14270401</v>
      </c>
      <c r="B10687" t="n">
        <v>54230</v>
      </c>
      <c r="C10687" t="inlineStr">
        <is>
          <t>1427/04/01</t>
        </is>
      </c>
    </row>
    <row r="10688">
      <c r="A10688" t="n">
        <v>14270402</v>
      </c>
      <c r="B10688" t="n">
        <v>54231</v>
      </c>
      <c r="C10688" t="inlineStr">
        <is>
          <t>1427/04/02</t>
        </is>
      </c>
    </row>
    <row r="10689">
      <c r="A10689" t="n">
        <v>14270403</v>
      </c>
      <c r="B10689" t="n">
        <v>54232</v>
      </c>
      <c r="C10689" t="inlineStr">
        <is>
          <t>1427/04/03</t>
        </is>
      </c>
    </row>
    <row r="10690">
      <c r="A10690" t="n">
        <v>14270404</v>
      </c>
      <c r="B10690" t="n">
        <v>54233</v>
      </c>
      <c r="C10690" t="inlineStr">
        <is>
          <t>1427/04/04</t>
        </is>
      </c>
    </row>
    <row r="10691">
      <c r="A10691" t="n">
        <v>14270405</v>
      </c>
      <c r="B10691" t="n">
        <v>54234</v>
      </c>
      <c r="C10691" t="inlineStr">
        <is>
          <t>1427/04/05</t>
        </is>
      </c>
    </row>
    <row r="10692">
      <c r="A10692" t="n">
        <v>14270406</v>
      </c>
      <c r="B10692" t="n">
        <v>54235</v>
      </c>
      <c r="C10692" t="inlineStr">
        <is>
          <t>1427/04/06</t>
        </is>
      </c>
    </row>
    <row r="10693">
      <c r="A10693" t="n">
        <v>14270407</v>
      </c>
      <c r="B10693" t="n">
        <v>54236</v>
      </c>
      <c r="C10693" t="inlineStr">
        <is>
          <t>1427/04/07</t>
        </is>
      </c>
    </row>
    <row r="10694">
      <c r="A10694" t="n">
        <v>14270408</v>
      </c>
      <c r="B10694" t="n">
        <v>54237</v>
      </c>
      <c r="C10694" t="inlineStr">
        <is>
          <t>1427/04/08</t>
        </is>
      </c>
    </row>
    <row r="10695">
      <c r="A10695" t="n">
        <v>14270409</v>
      </c>
      <c r="B10695" t="n">
        <v>54238</v>
      </c>
      <c r="C10695" t="inlineStr">
        <is>
          <t>1427/04/09</t>
        </is>
      </c>
    </row>
    <row r="10696">
      <c r="A10696" t="n">
        <v>14270410</v>
      </c>
      <c r="B10696" t="n">
        <v>54239</v>
      </c>
      <c r="C10696" t="inlineStr">
        <is>
          <t>1427/04/10</t>
        </is>
      </c>
    </row>
    <row r="10697">
      <c r="A10697" t="n">
        <v>14270411</v>
      </c>
      <c r="B10697" t="n">
        <v>54240</v>
      </c>
      <c r="C10697" t="inlineStr">
        <is>
          <t>1427/04/11</t>
        </is>
      </c>
    </row>
    <row r="10698">
      <c r="A10698" t="n">
        <v>14270412</v>
      </c>
      <c r="B10698" t="n">
        <v>54241</v>
      </c>
      <c r="C10698" t="inlineStr">
        <is>
          <t>1427/04/12</t>
        </is>
      </c>
    </row>
    <row r="10699">
      <c r="A10699" t="n">
        <v>14270413</v>
      </c>
      <c r="B10699" t="n">
        <v>54242</v>
      </c>
      <c r="C10699" t="inlineStr">
        <is>
          <t>1427/04/13</t>
        </is>
      </c>
    </row>
    <row r="10700">
      <c r="A10700" t="n">
        <v>14270414</v>
      </c>
      <c r="B10700" t="n">
        <v>54243</v>
      </c>
      <c r="C10700" t="inlineStr">
        <is>
          <t>1427/04/14</t>
        </is>
      </c>
    </row>
    <row r="10701">
      <c r="A10701" t="n">
        <v>14270415</v>
      </c>
      <c r="B10701" t="n">
        <v>54244</v>
      </c>
      <c r="C10701" t="inlineStr">
        <is>
          <t>1427/04/15</t>
        </is>
      </c>
    </row>
    <row r="10702">
      <c r="A10702" t="n">
        <v>14270416</v>
      </c>
      <c r="B10702" t="n">
        <v>54245</v>
      </c>
      <c r="C10702" t="inlineStr">
        <is>
          <t>1427/04/16</t>
        </is>
      </c>
    </row>
    <row r="10703">
      <c r="A10703" t="n">
        <v>14270417</v>
      </c>
      <c r="B10703" t="n">
        <v>54246</v>
      </c>
      <c r="C10703" t="inlineStr">
        <is>
          <t>1427/04/17</t>
        </is>
      </c>
    </row>
    <row r="10704">
      <c r="A10704" t="n">
        <v>14270418</v>
      </c>
      <c r="B10704" t="n">
        <v>54247</v>
      </c>
      <c r="C10704" t="inlineStr">
        <is>
          <t>1427/04/18</t>
        </is>
      </c>
    </row>
    <row r="10705">
      <c r="A10705" t="n">
        <v>14270419</v>
      </c>
      <c r="B10705" t="n">
        <v>54248</v>
      </c>
      <c r="C10705" t="inlineStr">
        <is>
          <t>1427/04/19</t>
        </is>
      </c>
    </row>
    <row r="10706">
      <c r="A10706" t="n">
        <v>14270420</v>
      </c>
      <c r="B10706" t="n">
        <v>54249</v>
      </c>
      <c r="C10706" t="inlineStr">
        <is>
          <t>1427/04/20</t>
        </is>
      </c>
    </row>
    <row r="10707">
      <c r="A10707" t="n">
        <v>14270421</v>
      </c>
      <c r="B10707" t="n">
        <v>54250</v>
      </c>
      <c r="C10707" t="inlineStr">
        <is>
          <t>1427/04/21</t>
        </is>
      </c>
    </row>
    <row r="10708">
      <c r="A10708" t="n">
        <v>14270422</v>
      </c>
      <c r="B10708" t="n">
        <v>54251</v>
      </c>
      <c r="C10708" t="inlineStr">
        <is>
          <t>1427/04/22</t>
        </is>
      </c>
    </row>
    <row r="10709">
      <c r="A10709" t="n">
        <v>14270423</v>
      </c>
      <c r="B10709" t="n">
        <v>54252</v>
      </c>
      <c r="C10709" t="inlineStr">
        <is>
          <t>1427/04/23</t>
        </is>
      </c>
    </row>
    <row r="10710">
      <c r="A10710" t="n">
        <v>14270424</v>
      </c>
      <c r="B10710" t="n">
        <v>54253</v>
      </c>
      <c r="C10710" t="inlineStr">
        <is>
          <t>1427/04/24</t>
        </is>
      </c>
    </row>
    <row r="10711">
      <c r="A10711" t="n">
        <v>14270425</v>
      </c>
      <c r="B10711" t="n">
        <v>54254</v>
      </c>
      <c r="C10711" t="inlineStr">
        <is>
          <t>1427/04/25</t>
        </is>
      </c>
    </row>
    <row r="10712">
      <c r="A10712" t="n">
        <v>14270426</v>
      </c>
      <c r="B10712" t="n">
        <v>54255</v>
      </c>
      <c r="C10712" t="inlineStr">
        <is>
          <t>1427/04/26</t>
        </is>
      </c>
    </row>
    <row r="10713">
      <c r="A10713" t="n">
        <v>14270427</v>
      </c>
      <c r="B10713" t="n">
        <v>54256</v>
      </c>
      <c r="C10713" t="inlineStr">
        <is>
          <t>1427/04/27</t>
        </is>
      </c>
    </row>
    <row r="10714">
      <c r="A10714" t="n">
        <v>14270428</v>
      </c>
      <c r="B10714" t="n">
        <v>54257</v>
      </c>
      <c r="C10714" t="inlineStr">
        <is>
          <t>1427/04/28</t>
        </is>
      </c>
    </row>
    <row r="10715">
      <c r="A10715" t="n">
        <v>14270429</v>
      </c>
      <c r="B10715" t="n">
        <v>54258</v>
      </c>
      <c r="C10715" t="inlineStr">
        <is>
          <t>1427/04/29</t>
        </is>
      </c>
    </row>
    <row r="10716">
      <c r="A10716" t="n">
        <v>14270430</v>
      </c>
      <c r="B10716" t="n">
        <v>54259</v>
      </c>
      <c r="C10716" t="inlineStr">
        <is>
          <t>1427/04/30</t>
        </is>
      </c>
    </row>
    <row r="10717">
      <c r="A10717" t="n">
        <v>14270431</v>
      </c>
      <c r="B10717" t="n">
        <v>54260</v>
      </c>
      <c r="C10717" t="inlineStr">
        <is>
          <t>1427/04/31</t>
        </is>
      </c>
    </row>
    <row r="10718">
      <c r="A10718" t="n">
        <v>14270501</v>
      </c>
      <c r="B10718" t="n">
        <v>54261</v>
      </c>
      <c r="C10718" t="inlineStr">
        <is>
          <t>1427/05/01</t>
        </is>
      </c>
    </row>
    <row r="10719">
      <c r="A10719" t="n">
        <v>14270502</v>
      </c>
      <c r="B10719" t="n">
        <v>54262</v>
      </c>
      <c r="C10719" t="inlineStr">
        <is>
          <t>1427/05/02</t>
        </is>
      </c>
    </row>
    <row r="10720">
      <c r="A10720" t="n">
        <v>14270503</v>
      </c>
      <c r="B10720" t="n">
        <v>54263</v>
      </c>
      <c r="C10720" t="inlineStr">
        <is>
          <t>1427/05/03</t>
        </is>
      </c>
    </row>
    <row r="10721">
      <c r="A10721" t="n">
        <v>14270504</v>
      </c>
      <c r="B10721" t="n">
        <v>54264</v>
      </c>
      <c r="C10721" t="inlineStr">
        <is>
          <t>1427/05/04</t>
        </is>
      </c>
    </row>
    <row r="10722">
      <c r="A10722" t="n">
        <v>14270505</v>
      </c>
      <c r="B10722" t="n">
        <v>54265</v>
      </c>
      <c r="C10722" t="inlineStr">
        <is>
          <t>1427/05/05</t>
        </is>
      </c>
    </row>
    <row r="10723">
      <c r="A10723" t="n">
        <v>14270506</v>
      </c>
      <c r="B10723" t="n">
        <v>54266</v>
      </c>
      <c r="C10723" t="inlineStr">
        <is>
          <t>1427/05/06</t>
        </is>
      </c>
    </row>
    <row r="10724">
      <c r="A10724" t="n">
        <v>14270507</v>
      </c>
      <c r="B10724" t="n">
        <v>54267</v>
      </c>
      <c r="C10724" t="inlineStr">
        <is>
          <t>1427/05/07</t>
        </is>
      </c>
    </row>
    <row r="10725">
      <c r="A10725" t="n">
        <v>14270508</v>
      </c>
      <c r="B10725" t="n">
        <v>54268</v>
      </c>
      <c r="C10725" t="inlineStr">
        <is>
          <t>1427/05/08</t>
        </is>
      </c>
    </row>
    <row r="10726">
      <c r="A10726" t="n">
        <v>14270509</v>
      </c>
      <c r="B10726" t="n">
        <v>54269</v>
      </c>
      <c r="C10726" t="inlineStr">
        <is>
          <t>1427/05/09</t>
        </is>
      </c>
    </row>
    <row r="10727">
      <c r="A10727" t="n">
        <v>14270510</v>
      </c>
      <c r="B10727" t="n">
        <v>54270</v>
      </c>
      <c r="C10727" t="inlineStr">
        <is>
          <t>1427/05/10</t>
        </is>
      </c>
    </row>
    <row r="10728">
      <c r="A10728" t="n">
        <v>14270511</v>
      </c>
      <c r="B10728" t="n">
        <v>54271</v>
      </c>
      <c r="C10728" t="inlineStr">
        <is>
          <t>1427/05/11</t>
        </is>
      </c>
    </row>
    <row r="10729">
      <c r="A10729" t="n">
        <v>14270512</v>
      </c>
      <c r="B10729" t="n">
        <v>54272</v>
      </c>
      <c r="C10729" t="inlineStr">
        <is>
          <t>1427/05/12</t>
        </is>
      </c>
    </row>
    <row r="10730">
      <c r="A10730" t="n">
        <v>14270513</v>
      </c>
      <c r="B10730" t="n">
        <v>54273</v>
      </c>
      <c r="C10730" t="inlineStr">
        <is>
          <t>1427/05/13</t>
        </is>
      </c>
    </row>
    <row r="10731">
      <c r="A10731" t="n">
        <v>14270514</v>
      </c>
      <c r="B10731" t="n">
        <v>54274</v>
      </c>
      <c r="C10731" t="inlineStr">
        <is>
          <t>1427/05/14</t>
        </is>
      </c>
    </row>
    <row r="10732">
      <c r="A10732" t="n">
        <v>14270515</v>
      </c>
      <c r="B10732" t="n">
        <v>54275</v>
      </c>
      <c r="C10732" t="inlineStr">
        <is>
          <t>1427/05/15</t>
        </is>
      </c>
    </row>
    <row r="10733">
      <c r="A10733" t="n">
        <v>14270516</v>
      </c>
      <c r="B10733" t="n">
        <v>54276</v>
      </c>
      <c r="C10733" t="inlineStr">
        <is>
          <t>1427/05/16</t>
        </is>
      </c>
    </row>
    <row r="10734">
      <c r="A10734" t="n">
        <v>14270517</v>
      </c>
      <c r="B10734" t="n">
        <v>54277</v>
      </c>
      <c r="C10734" t="inlineStr">
        <is>
          <t>1427/05/17</t>
        </is>
      </c>
    </row>
    <row r="10735">
      <c r="A10735" t="n">
        <v>14270518</v>
      </c>
      <c r="B10735" t="n">
        <v>54278</v>
      </c>
      <c r="C10735" t="inlineStr">
        <is>
          <t>1427/05/18</t>
        </is>
      </c>
    </row>
    <row r="10736">
      <c r="A10736" t="n">
        <v>14270519</v>
      </c>
      <c r="B10736" t="n">
        <v>54279</v>
      </c>
      <c r="C10736" t="inlineStr">
        <is>
          <t>1427/05/19</t>
        </is>
      </c>
    </row>
    <row r="10737">
      <c r="A10737" t="n">
        <v>14270520</v>
      </c>
      <c r="B10737" t="n">
        <v>54280</v>
      </c>
      <c r="C10737" t="inlineStr">
        <is>
          <t>1427/05/20</t>
        </is>
      </c>
    </row>
    <row r="10738">
      <c r="A10738" t="n">
        <v>14270521</v>
      </c>
      <c r="B10738" t="n">
        <v>54281</v>
      </c>
      <c r="C10738" t="inlineStr">
        <is>
          <t>1427/05/21</t>
        </is>
      </c>
    </row>
    <row r="10739">
      <c r="A10739" t="n">
        <v>14270522</v>
      </c>
      <c r="B10739" t="n">
        <v>54282</v>
      </c>
      <c r="C10739" t="inlineStr">
        <is>
          <t>1427/05/22</t>
        </is>
      </c>
    </row>
    <row r="10740">
      <c r="A10740" t="n">
        <v>14270523</v>
      </c>
      <c r="B10740" t="n">
        <v>54283</v>
      </c>
      <c r="C10740" t="inlineStr">
        <is>
          <t>1427/05/23</t>
        </is>
      </c>
    </row>
    <row r="10741">
      <c r="A10741" t="n">
        <v>14270524</v>
      </c>
      <c r="B10741" t="n">
        <v>54284</v>
      </c>
      <c r="C10741" t="inlineStr">
        <is>
          <t>1427/05/24</t>
        </is>
      </c>
    </row>
    <row r="10742">
      <c r="A10742" t="n">
        <v>14270525</v>
      </c>
      <c r="B10742" t="n">
        <v>54285</v>
      </c>
      <c r="C10742" t="inlineStr">
        <is>
          <t>1427/05/25</t>
        </is>
      </c>
    </row>
    <row r="10743">
      <c r="A10743" t="n">
        <v>14270526</v>
      </c>
      <c r="B10743" t="n">
        <v>54286</v>
      </c>
      <c r="C10743" t="inlineStr">
        <is>
          <t>1427/05/26</t>
        </is>
      </c>
    </row>
    <row r="10744">
      <c r="A10744" t="n">
        <v>14270527</v>
      </c>
      <c r="B10744" t="n">
        <v>54287</v>
      </c>
      <c r="C10744" t="inlineStr">
        <is>
          <t>1427/05/27</t>
        </is>
      </c>
    </row>
    <row r="10745">
      <c r="A10745" t="n">
        <v>14270528</v>
      </c>
      <c r="B10745" t="n">
        <v>54288</v>
      </c>
      <c r="C10745" t="inlineStr">
        <is>
          <t>1427/05/28</t>
        </is>
      </c>
    </row>
    <row r="10746">
      <c r="A10746" t="n">
        <v>14270529</v>
      </c>
      <c r="B10746" t="n">
        <v>54289</v>
      </c>
      <c r="C10746" t="inlineStr">
        <is>
          <t>1427/05/29</t>
        </is>
      </c>
    </row>
    <row r="10747">
      <c r="A10747" t="n">
        <v>14270530</v>
      </c>
      <c r="B10747" t="n">
        <v>54290</v>
      </c>
      <c r="C10747" t="inlineStr">
        <is>
          <t>1427/05/30</t>
        </is>
      </c>
    </row>
    <row r="10748">
      <c r="A10748" t="n">
        <v>14270531</v>
      </c>
      <c r="B10748" t="n">
        <v>54291</v>
      </c>
      <c r="C10748" t="inlineStr">
        <is>
          <t>1427/05/31</t>
        </is>
      </c>
    </row>
    <row r="10749">
      <c r="A10749" t="n">
        <v>14270601</v>
      </c>
      <c r="B10749" t="n">
        <v>54292</v>
      </c>
      <c r="C10749" t="inlineStr">
        <is>
          <t>1427/06/01</t>
        </is>
      </c>
    </row>
    <row r="10750">
      <c r="A10750" t="n">
        <v>14270602</v>
      </c>
      <c r="B10750" t="n">
        <v>54293</v>
      </c>
      <c r="C10750" t="inlineStr">
        <is>
          <t>1427/06/02</t>
        </is>
      </c>
    </row>
    <row r="10751">
      <c r="A10751" t="n">
        <v>14270603</v>
      </c>
      <c r="B10751" t="n">
        <v>54294</v>
      </c>
      <c r="C10751" t="inlineStr">
        <is>
          <t>1427/06/03</t>
        </is>
      </c>
    </row>
    <row r="10752">
      <c r="A10752" t="n">
        <v>14270604</v>
      </c>
      <c r="B10752" t="n">
        <v>54295</v>
      </c>
      <c r="C10752" t="inlineStr">
        <is>
          <t>1427/06/04</t>
        </is>
      </c>
    </row>
    <row r="10753">
      <c r="A10753" t="n">
        <v>14270605</v>
      </c>
      <c r="B10753" t="n">
        <v>54296</v>
      </c>
      <c r="C10753" t="inlineStr">
        <is>
          <t>1427/06/05</t>
        </is>
      </c>
    </row>
    <row r="10754">
      <c r="A10754" t="n">
        <v>14270606</v>
      </c>
      <c r="B10754" t="n">
        <v>54297</v>
      </c>
      <c r="C10754" t="inlineStr">
        <is>
          <t>1427/06/06</t>
        </is>
      </c>
    </row>
    <row r="10755">
      <c r="A10755" t="n">
        <v>14270607</v>
      </c>
      <c r="B10755" t="n">
        <v>54298</v>
      </c>
      <c r="C10755" t="inlineStr">
        <is>
          <t>1427/06/07</t>
        </is>
      </c>
    </row>
    <row r="10756">
      <c r="A10756" t="n">
        <v>14270608</v>
      </c>
      <c r="B10756" t="n">
        <v>54299</v>
      </c>
      <c r="C10756" t="inlineStr">
        <is>
          <t>1427/06/08</t>
        </is>
      </c>
    </row>
    <row r="10757">
      <c r="A10757" t="n">
        <v>14270609</v>
      </c>
      <c r="B10757" t="n">
        <v>54300</v>
      </c>
      <c r="C10757" t="inlineStr">
        <is>
          <t>1427/06/09</t>
        </is>
      </c>
    </row>
    <row r="10758">
      <c r="A10758" t="n">
        <v>14270610</v>
      </c>
      <c r="B10758" t="n">
        <v>54301</v>
      </c>
      <c r="C10758" t="inlineStr">
        <is>
          <t>1427/06/10</t>
        </is>
      </c>
    </row>
    <row r="10759">
      <c r="A10759" t="n">
        <v>14270611</v>
      </c>
      <c r="B10759" t="n">
        <v>54302</v>
      </c>
      <c r="C10759" t="inlineStr">
        <is>
          <t>1427/06/11</t>
        </is>
      </c>
    </row>
    <row r="10760">
      <c r="A10760" t="n">
        <v>14270612</v>
      </c>
      <c r="B10760" t="n">
        <v>54303</v>
      </c>
      <c r="C10760" t="inlineStr">
        <is>
          <t>1427/06/12</t>
        </is>
      </c>
    </row>
    <row r="10761">
      <c r="A10761" t="n">
        <v>14270613</v>
      </c>
      <c r="B10761" t="n">
        <v>54304</v>
      </c>
      <c r="C10761" t="inlineStr">
        <is>
          <t>1427/06/13</t>
        </is>
      </c>
    </row>
    <row r="10762">
      <c r="A10762" t="n">
        <v>14270614</v>
      </c>
      <c r="B10762" t="n">
        <v>54305</v>
      </c>
      <c r="C10762" t="inlineStr">
        <is>
          <t>1427/06/14</t>
        </is>
      </c>
    </row>
    <row r="10763">
      <c r="A10763" t="n">
        <v>14270615</v>
      </c>
      <c r="B10763" t="n">
        <v>54306</v>
      </c>
      <c r="C10763" t="inlineStr">
        <is>
          <t>1427/06/15</t>
        </is>
      </c>
    </row>
    <row r="10764">
      <c r="A10764" t="n">
        <v>14270616</v>
      </c>
      <c r="B10764" t="n">
        <v>54307</v>
      </c>
      <c r="C10764" t="inlineStr">
        <is>
          <t>1427/06/16</t>
        </is>
      </c>
    </row>
    <row r="10765">
      <c r="A10765" t="n">
        <v>14270617</v>
      </c>
      <c r="B10765" t="n">
        <v>54308</v>
      </c>
      <c r="C10765" t="inlineStr">
        <is>
          <t>1427/06/17</t>
        </is>
      </c>
    </row>
    <row r="10766">
      <c r="A10766" t="n">
        <v>14270618</v>
      </c>
      <c r="B10766" t="n">
        <v>54309</v>
      </c>
      <c r="C10766" t="inlineStr">
        <is>
          <t>1427/06/18</t>
        </is>
      </c>
    </row>
    <row r="10767">
      <c r="A10767" t="n">
        <v>14270619</v>
      </c>
      <c r="B10767" t="n">
        <v>54310</v>
      </c>
      <c r="C10767" t="inlineStr">
        <is>
          <t>1427/06/19</t>
        </is>
      </c>
    </row>
    <row r="10768">
      <c r="A10768" t="n">
        <v>14270620</v>
      </c>
      <c r="B10768" t="n">
        <v>54311</v>
      </c>
      <c r="C10768" t="inlineStr">
        <is>
          <t>1427/06/20</t>
        </is>
      </c>
    </row>
    <row r="10769">
      <c r="A10769" t="n">
        <v>14270621</v>
      </c>
      <c r="B10769" t="n">
        <v>54312</v>
      </c>
      <c r="C10769" t="inlineStr">
        <is>
          <t>1427/06/21</t>
        </is>
      </c>
    </row>
    <row r="10770">
      <c r="A10770" t="n">
        <v>14270622</v>
      </c>
      <c r="B10770" t="n">
        <v>54313</v>
      </c>
      <c r="C10770" t="inlineStr">
        <is>
          <t>1427/06/22</t>
        </is>
      </c>
    </row>
    <row r="10771">
      <c r="A10771" t="n">
        <v>14270623</v>
      </c>
      <c r="B10771" t="n">
        <v>54314</v>
      </c>
      <c r="C10771" t="inlineStr">
        <is>
          <t>1427/06/23</t>
        </is>
      </c>
    </row>
    <row r="10772">
      <c r="A10772" t="n">
        <v>14270624</v>
      </c>
      <c r="B10772" t="n">
        <v>54315</v>
      </c>
      <c r="C10772" t="inlineStr">
        <is>
          <t>1427/06/24</t>
        </is>
      </c>
    </row>
    <row r="10773">
      <c r="A10773" t="n">
        <v>14270625</v>
      </c>
      <c r="B10773" t="n">
        <v>54316</v>
      </c>
      <c r="C10773" t="inlineStr">
        <is>
          <t>1427/06/25</t>
        </is>
      </c>
    </row>
    <row r="10774">
      <c r="A10774" t="n">
        <v>14270626</v>
      </c>
      <c r="B10774" t="n">
        <v>54317</v>
      </c>
      <c r="C10774" t="inlineStr">
        <is>
          <t>1427/06/26</t>
        </is>
      </c>
    </row>
    <row r="10775">
      <c r="A10775" t="n">
        <v>14270627</v>
      </c>
      <c r="B10775" t="n">
        <v>54318</v>
      </c>
      <c r="C10775" t="inlineStr">
        <is>
          <t>1427/06/27</t>
        </is>
      </c>
    </row>
    <row r="10776">
      <c r="A10776" t="n">
        <v>14270628</v>
      </c>
      <c r="B10776" t="n">
        <v>54319</v>
      </c>
      <c r="C10776" t="inlineStr">
        <is>
          <t>1427/06/28</t>
        </is>
      </c>
    </row>
    <row r="10777">
      <c r="A10777" t="n">
        <v>14270629</v>
      </c>
      <c r="B10777" t="n">
        <v>54320</v>
      </c>
      <c r="C10777" t="inlineStr">
        <is>
          <t>1427/06/29</t>
        </is>
      </c>
    </row>
    <row r="10778">
      <c r="A10778" t="n">
        <v>14270630</v>
      </c>
      <c r="B10778" t="n">
        <v>54321</v>
      </c>
      <c r="C10778" t="inlineStr">
        <is>
          <t>1427/06/30</t>
        </is>
      </c>
    </row>
    <row r="10779">
      <c r="A10779" t="n">
        <v>14270631</v>
      </c>
      <c r="B10779" t="n">
        <v>54322</v>
      </c>
      <c r="C10779" t="inlineStr">
        <is>
          <t>1427/06/31</t>
        </is>
      </c>
    </row>
    <row r="10780">
      <c r="A10780" t="n">
        <v>14270701</v>
      </c>
      <c r="B10780" t="n">
        <v>54323</v>
      </c>
      <c r="C10780" t="inlineStr">
        <is>
          <t>1427/07/01</t>
        </is>
      </c>
    </row>
    <row r="10781">
      <c r="A10781" t="n">
        <v>14270702</v>
      </c>
      <c r="B10781" t="n">
        <v>54324</v>
      </c>
      <c r="C10781" t="inlineStr">
        <is>
          <t>1427/07/02</t>
        </is>
      </c>
    </row>
    <row r="10782">
      <c r="A10782" t="n">
        <v>14270703</v>
      </c>
      <c r="B10782" t="n">
        <v>54325</v>
      </c>
      <c r="C10782" t="inlineStr">
        <is>
          <t>1427/07/03</t>
        </is>
      </c>
    </row>
    <row r="10783">
      <c r="A10783" t="n">
        <v>14270704</v>
      </c>
      <c r="B10783" t="n">
        <v>54326</v>
      </c>
      <c r="C10783" t="inlineStr">
        <is>
          <t>1427/07/04</t>
        </is>
      </c>
    </row>
    <row r="10784">
      <c r="A10784" t="n">
        <v>14270705</v>
      </c>
      <c r="B10784" t="n">
        <v>54327</v>
      </c>
      <c r="C10784" t="inlineStr">
        <is>
          <t>1427/07/05</t>
        </is>
      </c>
    </row>
    <row r="10785">
      <c r="A10785" t="n">
        <v>14270706</v>
      </c>
      <c r="B10785" t="n">
        <v>54328</v>
      </c>
      <c r="C10785" t="inlineStr">
        <is>
          <t>1427/07/06</t>
        </is>
      </c>
    </row>
    <row r="10786">
      <c r="A10786" t="n">
        <v>14270707</v>
      </c>
      <c r="B10786" t="n">
        <v>54329</v>
      </c>
      <c r="C10786" t="inlineStr">
        <is>
          <t>1427/07/07</t>
        </is>
      </c>
    </row>
    <row r="10787">
      <c r="A10787" t="n">
        <v>14270708</v>
      </c>
      <c r="B10787" t="n">
        <v>54330</v>
      </c>
      <c r="C10787" t="inlineStr">
        <is>
          <t>1427/07/08</t>
        </is>
      </c>
    </row>
    <row r="10788">
      <c r="A10788" t="n">
        <v>14270709</v>
      </c>
      <c r="B10788" t="n">
        <v>54331</v>
      </c>
      <c r="C10788" t="inlineStr">
        <is>
          <t>1427/07/09</t>
        </is>
      </c>
    </row>
    <row r="10789">
      <c r="A10789" t="n">
        <v>14270710</v>
      </c>
      <c r="B10789" t="n">
        <v>54332</v>
      </c>
      <c r="C10789" t="inlineStr">
        <is>
          <t>1427/07/10</t>
        </is>
      </c>
    </row>
    <row r="10790">
      <c r="A10790" t="n">
        <v>14270711</v>
      </c>
      <c r="B10790" t="n">
        <v>54333</v>
      </c>
      <c r="C10790" t="inlineStr">
        <is>
          <t>1427/07/11</t>
        </is>
      </c>
    </row>
    <row r="10791">
      <c r="A10791" t="n">
        <v>14270712</v>
      </c>
      <c r="B10791" t="n">
        <v>54334</v>
      </c>
      <c r="C10791" t="inlineStr">
        <is>
          <t>1427/07/12</t>
        </is>
      </c>
    </row>
    <row r="10792">
      <c r="A10792" t="n">
        <v>14270713</v>
      </c>
      <c r="B10792" t="n">
        <v>54335</v>
      </c>
      <c r="C10792" t="inlineStr">
        <is>
          <t>1427/07/13</t>
        </is>
      </c>
    </row>
    <row r="10793">
      <c r="A10793" t="n">
        <v>14270714</v>
      </c>
      <c r="B10793" t="n">
        <v>54336</v>
      </c>
      <c r="C10793" t="inlineStr">
        <is>
          <t>1427/07/14</t>
        </is>
      </c>
    </row>
    <row r="10794">
      <c r="A10794" t="n">
        <v>14270715</v>
      </c>
      <c r="B10794" t="n">
        <v>54337</v>
      </c>
      <c r="C10794" t="inlineStr">
        <is>
          <t>1427/07/15</t>
        </is>
      </c>
    </row>
    <row r="10795">
      <c r="A10795" t="n">
        <v>14270716</v>
      </c>
      <c r="B10795" t="n">
        <v>54338</v>
      </c>
      <c r="C10795" t="inlineStr">
        <is>
          <t>1427/07/16</t>
        </is>
      </c>
    </row>
    <row r="10796">
      <c r="A10796" t="n">
        <v>14270717</v>
      </c>
      <c r="B10796" t="n">
        <v>54339</v>
      </c>
      <c r="C10796" t="inlineStr">
        <is>
          <t>1427/07/17</t>
        </is>
      </c>
    </row>
    <row r="10797">
      <c r="A10797" t="n">
        <v>14270718</v>
      </c>
      <c r="B10797" t="n">
        <v>54340</v>
      </c>
      <c r="C10797" t="inlineStr">
        <is>
          <t>1427/07/18</t>
        </is>
      </c>
    </row>
    <row r="10798">
      <c r="A10798" t="n">
        <v>14270719</v>
      </c>
      <c r="B10798" t="n">
        <v>54341</v>
      </c>
      <c r="C10798" t="inlineStr">
        <is>
          <t>1427/07/19</t>
        </is>
      </c>
    </row>
    <row r="10799">
      <c r="A10799" t="n">
        <v>14270720</v>
      </c>
      <c r="B10799" t="n">
        <v>54342</v>
      </c>
      <c r="C10799" t="inlineStr">
        <is>
          <t>1427/07/20</t>
        </is>
      </c>
    </row>
    <row r="10800">
      <c r="A10800" t="n">
        <v>14270721</v>
      </c>
      <c r="B10800" t="n">
        <v>54343</v>
      </c>
      <c r="C10800" t="inlineStr">
        <is>
          <t>1427/07/21</t>
        </is>
      </c>
    </row>
    <row r="10801">
      <c r="A10801" t="n">
        <v>14270722</v>
      </c>
      <c r="B10801" t="n">
        <v>54344</v>
      </c>
      <c r="C10801" t="inlineStr">
        <is>
          <t>1427/07/22</t>
        </is>
      </c>
    </row>
    <row r="10802">
      <c r="A10802" t="n">
        <v>14270723</v>
      </c>
      <c r="B10802" t="n">
        <v>54345</v>
      </c>
      <c r="C10802" t="inlineStr">
        <is>
          <t>1427/07/23</t>
        </is>
      </c>
    </row>
    <row r="10803">
      <c r="A10803" t="n">
        <v>14270724</v>
      </c>
      <c r="B10803" t="n">
        <v>54346</v>
      </c>
      <c r="C10803" t="inlineStr">
        <is>
          <t>1427/07/24</t>
        </is>
      </c>
    </row>
    <row r="10804">
      <c r="A10804" t="n">
        <v>14270725</v>
      </c>
      <c r="B10804" t="n">
        <v>54347</v>
      </c>
      <c r="C10804" t="inlineStr">
        <is>
          <t>1427/07/25</t>
        </is>
      </c>
    </row>
    <row r="10805">
      <c r="A10805" t="n">
        <v>14270726</v>
      </c>
      <c r="B10805" t="n">
        <v>54348</v>
      </c>
      <c r="C10805" t="inlineStr">
        <is>
          <t>1427/07/26</t>
        </is>
      </c>
    </row>
    <row r="10806">
      <c r="A10806" t="n">
        <v>14270727</v>
      </c>
      <c r="B10806" t="n">
        <v>54349</v>
      </c>
      <c r="C10806" t="inlineStr">
        <is>
          <t>1427/07/27</t>
        </is>
      </c>
    </row>
    <row r="10807">
      <c r="A10807" t="n">
        <v>14270728</v>
      </c>
      <c r="B10807" t="n">
        <v>54350</v>
      </c>
      <c r="C10807" t="inlineStr">
        <is>
          <t>1427/07/28</t>
        </is>
      </c>
    </row>
    <row r="10808">
      <c r="A10808" t="n">
        <v>14270729</v>
      </c>
      <c r="B10808" t="n">
        <v>54351</v>
      </c>
      <c r="C10808" t="inlineStr">
        <is>
          <t>1427/07/29</t>
        </is>
      </c>
    </row>
    <row r="10809">
      <c r="A10809" t="n">
        <v>14270730</v>
      </c>
      <c r="B10809" t="n">
        <v>54352</v>
      </c>
      <c r="C10809" t="inlineStr">
        <is>
          <t>1427/07/30</t>
        </is>
      </c>
    </row>
    <row r="10810">
      <c r="A10810" t="n">
        <v>14270801</v>
      </c>
      <c r="B10810" t="n">
        <v>54353</v>
      </c>
      <c r="C10810" t="inlineStr">
        <is>
          <t>1427/08/01</t>
        </is>
      </c>
    </row>
    <row r="10811">
      <c r="A10811" t="n">
        <v>14270802</v>
      </c>
      <c r="B10811" t="n">
        <v>54354</v>
      </c>
      <c r="C10811" t="inlineStr">
        <is>
          <t>1427/08/02</t>
        </is>
      </c>
    </row>
    <row r="10812">
      <c r="A10812" t="n">
        <v>14270803</v>
      </c>
      <c r="B10812" t="n">
        <v>54355</v>
      </c>
      <c r="C10812" t="inlineStr">
        <is>
          <t>1427/08/03</t>
        </is>
      </c>
    </row>
    <row r="10813">
      <c r="A10813" t="n">
        <v>14270804</v>
      </c>
      <c r="B10813" t="n">
        <v>54356</v>
      </c>
      <c r="C10813" t="inlineStr">
        <is>
          <t>1427/08/04</t>
        </is>
      </c>
    </row>
    <row r="10814">
      <c r="A10814" t="n">
        <v>14270805</v>
      </c>
      <c r="B10814" t="n">
        <v>54357</v>
      </c>
      <c r="C10814" t="inlineStr">
        <is>
          <t>1427/08/05</t>
        </is>
      </c>
    </row>
    <row r="10815">
      <c r="A10815" t="n">
        <v>14270806</v>
      </c>
      <c r="B10815" t="n">
        <v>54358</v>
      </c>
      <c r="C10815" t="inlineStr">
        <is>
          <t>1427/08/06</t>
        </is>
      </c>
    </row>
    <row r="10816">
      <c r="A10816" t="n">
        <v>14270807</v>
      </c>
      <c r="B10816" t="n">
        <v>54359</v>
      </c>
      <c r="C10816" t="inlineStr">
        <is>
          <t>1427/08/07</t>
        </is>
      </c>
    </row>
    <row r="10817">
      <c r="A10817" t="n">
        <v>14270808</v>
      </c>
      <c r="B10817" t="n">
        <v>54360</v>
      </c>
      <c r="C10817" t="inlineStr">
        <is>
          <t>1427/08/08</t>
        </is>
      </c>
    </row>
    <row r="10818">
      <c r="A10818" t="n">
        <v>14270809</v>
      </c>
      <c r="B10818" t="n">
        <v>54361</v>
      </c>
      <c r="C10818" t="inlineStr">
        <is>
          <t>1427/08/09</t>
        </is>
      </c>
    </row>
    <row r="10819">
      <c r="A10819" t="n">
        <v>14270810</v>
      </c>
      <c r="B10819" t="n">
        <v>54362</v>
      </c>
      <c r="C10819" t="inlineStr">
        <is>
          <t>1427/08/10</t>
        </is>
      </c>
    </row>
    <row r="10820">
      <c r="A10820" t="n">
        <v>14270811</v>
      </c>
      <c r="B10820" t="n">
        <v>54363</v>
      </c>
      <c r="C10820" t="inlineStr">
        <is>
          <t>1427/08/11</t>
        </is>
      </c>
    </row>
    <row r="10821">
      <c r="A10821" t="n">
        <v>14270812</v>
      </c>
      <c r="B10821" t="n">
        <v>54364</v>
      </c>
      <c r="C10821" t="inlineStr">
        <is>
          <t>1427/08/12</t>
        </is>
      </c>
    </row>
    <row r="10822">
      <c r="A10822" t="n">
        <v>14270813</v>
      </c>
      <c r="B10822" t="n">
        <v>54365</v>
      </c>
      <c r="C10822" t="inlineStr">
        <is>
          <t>1427/08/13</t>
        </is>
      </c>
    </row>
    <row r="10823">
      <c r="A10823" t="n">
        <v>14270814</v>
      </c>
      <c r="B10823" t="n">
        <v>54366</v>
      </c>
      <c r="C10823" t="inlineStr">
        <is>
          <t>1427/08/14</t>
        </is>
      </c>
    </row>
    <row r="10824">
      <c r="A10824" t="n">
        <v>14270815</v>
      </c>
      <c r="B10824" t="n">
        <v>54367</v>
      </c>
      <c r="C10824" t="inlineStr">
        <is>
          <t>1427/08/15</t>
        </is>
      </c>
    </row>
    <row r="10825">
      <c r="A10825" t="n">
        <v>14270816</v>
      </c>
      <c r="B10825" t="n">
        <v>54368</v>
      </c>
      <c r="C10825" t="inlineStr">
        <is>
          <t>1427/08/16</t>
        </is>
      </c>
    </row>
    <row r="10826">
      <c r="A10826" t="n">
        <v>14270817</v>
      </c>
      <c r="B10826" t="n">
        <v>54369</v>
      </c>
      <c r="C10826" t="inlineStr">
        <is>
          <t>1427/08/17</t>
        </is>
      </c>
    </row>
    <row r="10827">
      <c r="A10827" t="n">
        <v>14270818</v>
      </c>
      <c r="B10827" t="n">
        <v>54370</v>
      </c>
      <c r="C10827" t="inlineStr">
        <is>
          <t>1427/08/18</t>
        </is>
      </c>
    </row>
    <row r="10828">
      <c r="A10828" t="n">
        <v>14270819</v>
      </c>
      <c r="B10828" t="n">
        <v>54371</v>
      </c>
      <c r="C10828" t="inlineStr">
        <is>
          <t>1427/08/19</t>
        </is>
      </c>
    </row>
    <row r="10829">
      <c r="A10829" t="n">
        <v>14270820</v>
      </c>
      <c r="B10829" t="n">
        <v>54372</v>
      </c>
      <c r="C10829" t="inlineStr">
        <is>
          <t>1427/08/20</t>
        </is>
      </c>
    </row>
    <row r="10830">
      <c r="A10830" t="n">
        <v>14270821</v>
      </c>
      <c r="B10830" t="n">
        <v>54373</v>
      </c>
      <c r="C10830" t="inlineStr">
        <is>
          <t>1427/08/21</t>
        </is>
      </c>
    </row>
    <row r="10831">
      <c r="A10831" t="n">
        <v>14270822</v>
      </c>
      <c r="B10831" t="n">
        <v>54374</v>
      </c>
      <c r="C10831" t="inlineStr">
        <is>
          <t>1427/08/22</t>
        </is>
      </c>
    </row>
    <row r="10832">
      <c r="A10832" t="n">
        <v>14270823</v>
      </c>
      <c r="B10832" t="n">
        <v>54375</v>
      </c>
      <c r="C10832" t="inlineStr">
        <is>
          <t>1427/08/23</t>
        </is>
      </c>
    </row>
    <row r="10833">
      <c r="A10833" t="n">
        <v>14270824</v>
      </c>
      <c r="B10833" t="n">
        <v>54376</v>
      </c>
      <c r="C10833" t="inlineStr">
        <is>
          <t>1427/08/24</t>
        </is>
      </c>
    </row>
    <row r="10834">
      <c r="A10834" t="n">
        <v>14270825</v>
      </c>
      <c r="B10834" t="n">
        <v>54377</v>
      </c>
      <c r="C10834" t="inlineStr">
        <is>
          <t>1427/08/25</t>
        </is>
      </c>
    </row>
    <row r="10835">
      <c r="A10835" t="n">
        <v>14270826</v>
      </c>
      <c r="B10835" t="n">
        <v>54378</v>
      </c>
      <c r="C10835" t="inlineStr">
        <is>
          <t>1427/08/26</t>
        </is>
      </c>
    </row>
    <row r="10836">
      <c r="A10836" t="n">
        <v>14270827</v>
      </c>
      <c r="B10836" t="n">
        <v>54379</v>
      </c>
      <c r="C10836" t="inlineStr">
        <is>
          <t>1427/08/27</t>
        </is>
      </c>
    </row>
    <row r="10837">
      <c r="A10837" t="n">
        <v>14270828</v>
      </c>
      <c r="B10837" t="n">
        <v>54380</v>
      </c>
      <c r="C10837" t="inlineStr">
        <is>
          <t>1427/08/28</t>
        </is>
      </c>
    </row>
    <row r="10838">
      <c r="A10838" t="n">
        <v>14270829</v>
      </c>
      <c r="B10838" t="n">
        <v>54381</v>
      </c>
      <c r="C10838" t="inlineStr">
        <is>
          <t>1427/08/29</t>
        </is>
      </c>
    </row>
    <row r="10839">
      <c r="A10839" t="n">
        <v>14270830</v>
      </c>
      <c r="B10839" t="n">
        <v>54382</v>
      </c>
      <c r="C10839" t="inlineStr">
        <is>
          <t>1427/08/30</t>
        </is>
      </c>
    </row>
    <row r="10840">
      <c r="A10840" t="n">
        <v>14270901</v>
      </c>
      <c r="B10840" t="n">
        <v>54383</v>
      </c>
      <c r="C10840" t="inlineStr">
        <is>
          <t>1427/09/01</t>
        </is>
      </c>
    </row>
    <row r="10841">
      <c r="A10841" t="n">
        <v>14270902</v>
      </c>
      <c r="B10841" t="n">
        <v>54384</v>
      </c>
      <c r="C10841" t="inlineStr">
        <is>
          <t>1427/09/02</t>
        </is>
      </c>
    </row>
    <row r="10842">
      <c r="A10842" t="n">
        <v>14270903</v>
      </c>
      <c r="B10842" t="n">
        <v>54385</v>
      </c>
      <c r="C10842" t="inlineStr">
        <is>
          <t>1427/09/03</t>
        </is>
      </c>
    </row>
    <row r="10843">
      <c r="A10843" t="n">
        <v>14270904</v>
      </c>
      <c r="B10843" t="n">
        <v>54386</v>
      </c>
      <c r="C10843" t="inlineStr">
        <is>
          <t>1427/09/04</t>
        </is>
      </c>
    </row>
    <row r="10844">
      <c r="A10844" t="n">
        <v>14270905</v>
      </c>
      <c r="B10844" t="n">
        <v>54387</v>
      </c>
      <c r="C10844" t="inlineStr">
        <is>
          <t>1427/09/05</t>
        </is>
      </c>
    </row>
    <row r="10845">
      <c r="A10845" t="n">
        <v>14270906</v>
      </c>
      <c r="B10845" t="n">
        <v>54388</v>
      </c>
      <c r="C10845" t="inlineStr">
        <is>
          <t>1427/09/06</t>
        </is>
      </c>
    </row>
    <row r="10846">
      <c r="A10846" t="n">
        <v>14270907</v>
      </c>
      <c r="B10846" t="n">
        <v>54389</v>
      </c>
      <c r="C10846" t="inlineStr">
        <is>
          <t>1427/09/07</t>
        </is>
      </c>
    </row>
    <row r="10847">
      <c r="A10847" t="n">
        <v>14270908</v>
      </c>
      <c r="B10847" t="n">
        <v>54390</v>
      </c>
      <c r="C10847" t="inlineStr">
        <is>
          <t>1427/09/08</t>
        </is>
      </c>
    </row>
    <row r="10848">
      <c r="A10848" t="n">
        <v>14270909</v>
      </c>
      <c r="B10848" t="n">
        <v>54391</v>
      </c>
      <c r="C10848" t="inlineStr">
        <is>
          <t>1427/09/09</t>
        </is>
      </c>
    </row>
    <row r="10849">
      <c r="A10849" t="n">
        <v>14270910</v>
      </c>
      <c r="B10849" t="n">
        <v>54392</v>
      </c>
      <c r="C10849" t="inlineStr">
        <is>
          <t>1427/09/10</t>
        </is>
      </c>
    </row>
    <row r="10850">
      <c r="A10850" t="n">
        <v>14270911</v>
      </c>
      <c r="B10850" t="n">
        <v>54393</v>
      </c>
      <c r="C10850" t="inlineStr">
        <is>
          <t>1427/09/11</t>
        </is>
      </c>
    </row>
    <row r="10851">
      <c r="A10851" t="n">
        <v>14270912</v>
      </c>
      <c r="B10851" t="n">
        <v>54394</v>
      </c>
      <c r="C10851" t="inlineStr">
        <is>
          <t>1427/09/12</t>
        </is>
      </c>
    </row>
    <row r="10852">
      <c r="A10852" t="n">
        <v>14270913</v>
      </c>
      <c r="B10852" t="n">
        <v>54395</v>
      </c>
      <c r="C10852" t="inlineStr">
        <is>
          <t>1427/09/13</t>
        </is>
      </c>
    </row>
    <row r="10853">
      <c r="A10853" t="n">
        <v>14270914</v>
      </c>
      <c r="B10853" t="n">
        <v>54396</v>
      </c>
      <c r="C10853" t="inlineStr">
        <is>
          <t>1427/09/14</t>
        </is>
      </c>
    </row>
    <row r="10854">
      <c r="A10854" t="n">
        <v>14270915</v>
      </c>
      <c r="B10854" t="n">
        <v>54397</v>
      </c>
      <c r="C10854" t="inlineStr">
        <is>
          <t>1427/09/15</t>
        </is>
      </c>
    </row>
    <row r="10855">
      <c r="A10855" t="n">
        <v>14270916</v>
      </c>
      <c r="B10855" t="n">
        <v>54398</v>
      </c>
      <c r="C10855" t="inlineStr">
        <is>
          <t>1427/09/16</t>
        </is>
      </c>
    </row>
    <row r="10856">
      <c r="A10856" t="n">
        <v>14270917</v>
      </c>
      <c r="B10856" t="n">
        <v>54399</v>
      </c>
      <c r="C10856" t="inlineStr">
        <is>
          <t>1427/09/17</t>
        </is>
      </c>
    </row>
    <row r="10857">
      <c r="A10857" t="n">
        <v>14270918</v>
      </c>
      <c r="B10857" t="n">
        <v>54400</v>
      </c>
      <c r="C10857" t="inlineStr">
        <is>
          <t>1427/09/18</t>
        </is>
      </c>
    </row>
    <row r="10858">
      <c r="A10858" t="n">
        <v>14270919</v>
      </c>
      <c r="B10858" t="n">
        <v>54401</v>
      </c>
      <c r="C10858" t="inlineStr">
        <is>
          <t>1427/09/19</t>
        </is>
      </c>
    </row>
    <row r="10859">
      <c r="A10859" t="n">
        <v>14270920</v>
      </c>
      <c r="B10859" t="n">
        <v>54402</v>
      </c>
      <c r="C10859" t="inlineStr">
        <is>
          <t>1427/09/20</t>
        </is>
      </c>
    </row>
    <row r="10860">
      <c r="A10860" t="n">
        <v>14270921</v>
      </c>
      <c r="B10860" t="n">
        <v>54403</v>
      </c>
      <c r="C10860" t="inlineStr">
        <is>
          <t>1427/09/21</t>
        </is>
      </c>
    </row>
    <row r="10861">
      <c r="A10861" t="n">
        <v>14270922</v>
      </c>
      <c r="B10861" t="n">
        <v>54404</v>
      </c>
      <c r="C10861" t="inlineStr">
        <is>
          <t>1427/09/22</t>
        </is>
      </c>
    </row>
    <row r="10862">
      <c r="A10862" t="n">
        <v>14270923</v>
      </c>
      <c r="B10862" t="n">
        <v>54405</v>
      </c>
      <c r="C10862" t="inlineStr">
        <is>
          <t>1427/09/23</t>
        </is>
      </c>
    </row>
    <row r="10863">
      <c r="A10863" t="n">
        <v>14270924</v>
      </c>
      <c r="B10863" t="n">
        <v>54406</v>
      </c>
      <c r="C10863" t="inlineStr">
        <is>
          <t>1427/09/24</t>
        </is>
      </c>
    </row>
    <row r="10864">
      <c r="A10864" t="n">
        <v>14270925</v>
      </c>
      <c r="B10864" t="n">
        <v>54407</v>
      </c>
      <c r="C10864" t="inlineStr">
        <is>
          <t>1427/09/25</t>
        </is>
      </c>
    </row>
    <row r="10865">
      <c r="A10865" t="n">
        <v>14270926</v>
      </c>
      <c r="B10865" t="n">
        <v>54408</v>
      </c>
      <c r="C10865" t="inlineStr">
        <is>
          <t>1427/09/26</t>
        </is>
      </c>
    </row>
    <row r="10866">
      <c r="A10866" t="n">
        <v>14270927</v>
      </c>
      <c r="B10866" t="n">
        <v>54409</v>
      </c>
      <c r="C10866" t="inlineStr">
        <is>
          <t>1427/09/27</t>
        </is>
      </c>
    </row>
    <row r="10867">
      <c r="A10867" t="n">
        <v>14270928</v>
      </c>
      <c r="B10867" t="n">
        <v>54410</v>
      </c>
      <c r="C10867" t="inlineStr">
        <is>
          <t>1427/09/28</t>
        </is>
      </c>
    </row>
    <row r="10868">
      <c r="A10868" t="n">
        <v>14270929</v>
      </c>
      <c r="B10868" t="n">
        <v>54411</v>
      </c>
      <c r="C10868" t="inlineStr">
        <is>
          <t>1427/09/29</t>
        </is>
      </c>
    </row>
    <row r="10869">
      <c r="A10869" t="n">
        <v>14270930</v>
      </c>
      <c r="B10869" t="n">
        <v>54412</v>
      </c>
      <c r="C10869" t="inlineStr">
        <is>
          <t>1427/09/30</t>
        </is>
      </c>
    </row>
    <row r="10870">
      <c r="A10870" t="n">
        <v>14271001</v>
      </c>
      <c r="B10870" t="n">
        <v>54413</v>
      </c>
      <c r="C10870" t="inlineStr">
        <is>
          <t>1427/10/01</t>
        </is>
      </c>
    </row>
    <row r="10871">
      <c r="A10871" t="n">
        <v>14271002</v>
      </c>
      <c r="B10871" t="n">
        <v>54414</v>
      </c>
      <c r="C10871" t="inlineStr">
        <is>
          <t>1427/10/02</t>
        </is>
      </c>
    </row>
    <row r="10872">
      <c r="A10872" t="n">
        <v>14271003</v>
      </c>
      <c r="B10872" t="n">
        <v>54415</v>
      </c>
      <c r="C10872" t="inlineStr">
        <is>
          <t>1427/10/03</t>
        </is>
      </c>
    </row>
    <row r="10873">
      <c r="A10873" t="n">
        <v>14271004</v>
      </c>
      <c r="B10873" t="n">
        <v>54416</v>
      </c>
      <c r="C10873" t="inlineStr">
        <is>
          <t>1427/10/04</t>
        </is>
      </c>
    </row>
    <row r="10874">
      <c r="A10874" t="n">
        <v>14271005</v>
      </c>
      <c r="B10874" t="n">
        <v>54417</v>
      </c>
      <c r="C10874" t="inlineStr">
        <is>
          <t>1427/10/05</t>
        </is>
      </c>
    </row>
    <row r="10875">
      <c r="A10875" t="n">
        <v>14271006</v>
      </c>
      <c r="B10875" t="n">
        <v>54418</v>
      </c>
      <c r="C10875" t="inlineStr">
        <is>
          <t>1427/10/06</t>
        </is>
      </c>
    </row>
    <row r="10876">
      <c r="A10876" t="n">
        <v>14271007</v>
      </c>
      <c r="B10876" t="n">
        <v>54419</v>
      </c>
      <c r="C10876" t="inlineStr">
        <is>
          <t>1427/10/07</t>
        </is>
      </c>
    </row>
    <row r="10877">
      <c r="A10877" t="n">
        <v>14271008</v>
      </c>
      <c r="B10877" t="n">
        <v>54420</v>
      </c>
      <c r="C10877" t="inlineStr">
        <is>
          <t>1427/10/08</t>
        </is>
      </c>
    </row>
    <row r="10878">
      <c r="A10878" t="n">
        <v>14271009</v>
      </c>
      <c r="B10878" t="n">
        <v>54421</v>
      </c>
      <c r="C10878" t="inlineStr">
        <is>
          <t>1427/10/09</t>
        </is>
      </c>
    </row>
    <row r="10879">
      <c r="A10879" t="n">
        <v>14271010</v>
      </c>
      <c r="B10879" t="n">
        <v>54422</v>
      </c>
      <c r="C10879" t="inlineStr">
        <is>
          <t>1427/10/10</t>
        </is>
      </c>
    </row>
    <row r="10880">
      <c r="A10880" t="n">
        <v>14271011</v>
      </c>
      <c r="B10880" t="n">
        <v>54423</v>
      </c>
      <c r="C10880" t="inlineStr">
        <is>
          <t>1427/10/11</t>
        </is>
      </c>
    </row>
    <row r="10881">
      <c r="A10881" t="n">
        <v>14271012</v>
      </c>
      <c r="B10881" t="n">
        <v>54424</v>
      </c>
      <c r="C10881" t="inlineStr">
        <is>
          <t>1427/10/12</t>
        </is>
      </c>
    </row>
    <row r="10882">
      <c r="A10882" t="n">
        <v>14271013</v>
      </c>
      <c r="B10882" t="n">
        <v>54425</v>
      </c>
      <c r="C10882" t="inlineStr">
        <is>
          <t>1427/10/13</t>
        </is>
      </c>
    </row>
    <row r="10883">
      <c r="A10883" t="n">
        <v>14271014</v>
      </c>
      <c r="B10883" t="n">
        <v>54426</v>
      </c>
      <c r="C10883" t="inlineStr">
        <is>
          <t>1427/10/14</t>
        </is>
      </c>
    </row>
    <row r="10884">
      <c r="A10884" t="n">
        <v>14271015</v>
      </c>
      <c r="B10884" t="n">
        <v>54427</v>
      </c>
      <c r="C10884" t="inlineStr">
        <is>
          <t>1427/10/15</t>
        </is>
      </c>
    </row>
    <row r="10885">
      <c r="A10885" t="n">
        <v>14271016</v>
      </c>
      <c r="B10885" t="n">
        <v>54428</v>
      </c>
      <c r="C10885" t="inlineStr">
        <is>
          <t>1427/10/16</t>
        </is>
      </c>
    </row>
    <row r="10886">
      <c r="A10886" t="n">
        <v>14271017</v>
      </c>
      <c r="B10886" t="n">
        <v>54429</v>
      </c>
      <c r="C10886" t="inlineStr">
        <is>
          <t>1427/10/17</t>
        </is>
      </c>
    </row>
    <row r="10887">
      <c r="A10887" t="n">
        <v>14271018</v>
      </c>
      <c r="B10887" t="n">
        <v>54430</v>
      </c>
      <c r="C10887" t="inlineStr">
        <is>
          <t>1427/10/18</t>
        </is>
      </c>
    </row>
    <row r="10888">
      <c r="A10888" t="n">
        <v>14271019</v>
      </c>
      <c r="B10888" t="n">
        <v>54431</v>
      </c>
      <c r="C10888" t="inlineStr">
        <is>
          <t>1427/10/19</t>
        </is>
      </c>
    </row>
    <row r="10889">
      <c r="A10889" t="n">
        <v>14271020</v>
      </c>
      <c r="B10889" t="n">
        <v>54432</v>
      </c>
      <c r="C10889" t="inlineStr">
        <is>
          <t>1427/10/20</t>
        </is>
      </c>
    </row>
    <row r="10890">
      <c r="A10890" t="n">
        <v>14271021</v>
      </c>
      <c r="B10890" t="n">
        <v>54433</v>
      </c>
      <c r="C10890" t="inlineStr">
        <is>
          <t>1427/10/21</t>
        </is>
      </c>
    </row>
    <row r="10891">
      <c r="A10891" t="n">
        <v>14271022</v>
      </c>
      <c r="B10891" t="n">
        <v>54434</v>
      </c>
      <c r="C10891" t="inlineStr">
        <is>
          <t>1427/10/22</t>
        </is>
      </c>
    </row>
    <row r="10892">
      <c r="A10892" t="n">
        <v>14271023</v>
      </c>
      <c r="B10892" t="n">
        <v>54435</v>
      </c>
      <c r="C10892" t="inlineStr">
        <is>
          <t>1427/10/23</t>
        </is>
      </c>
    </row>
    <row r="10893">
      <c r="A10893" t="n">
        <v>14271024</v>
      </c>
      <c r="B10893" t="n">
        <v>54436</v>
      </c>
      <c r="C10893" t="inlineStr">
        <is>
          <t>1427/10/24</t>
        </is>
      </c>
    </row>
    <row r="10894">
      <c r="A10894" t="n">
        <v>14271025</v>
      </c>
      <c r="B10894" t="n">
        <v>54437</v>
      </c>
      <c r="C10894" t="inlineStr">
        <is>
          <t>1427/10/25</t>
        </is>
      </c>
    </row>
    <row r="10895">
      <c r="A10895" t="n">
        <v>14271026</v>
      </c>
      <c r="B10895" t="n">
        <v>54438</v>
      </c>
      <c r="C10895" t="inlineStr">
        <is>
          <t>1427/10/26</t>
        </is>
      </c>
    </row>
    <row r="10896">
      <c r="A10896" t="n">
        <v>14271027</v>
      </c>
      <c r="B10896" t="n">
        <v>54439</v>
      </c>
      <c r="C10896" t="inlineStr">
        <is>
          <t>1427/10/27</t>
        </is>
      </c>
    </row>
    <row r="10897">
      <c r="A10897" t="n">
        <v>14271028</v>
      </c>
      <c r="B10897" t="n">
        <v>54440</v>
      </c>
      <c r="C10897" t="inlineStr">
        <is>
          <t>1427/10/28</t>
        </is>
      </c>
    </row>
    <row r="10898">
      <c r="A10898" t="n">
        <v>14271029</v>
      </c>
      <c r="B10898" t="n">
        <v>54441</v>
      </c>
      <c r="C10898" t="inlineStr">
        <is>
          <t>1427/10/29</t>
        </is>
      </c>
    </row>
    <row r="10899">
      <c r="A10899" t="n">
        <v>14271030</v>
      </c>
      <c r="B10899" t="n">
        <v>54442</v>
      </c>
      <c r="C10899" t="inlineStr">
        <is>
          <t>1427/10/30</t>
        </is>
      </c>
    </row>
    <row r="10900">
      <c r="A10900" t="n">
        <v>14271101</v>
      </c>
      <c r="B10900" t="n">
        <v>54443</v>
      </c>
      <c r="C10900" t="inlineStr">
        <is>
          <t>1427/11/01</t>
        </is>
      </c>
    </row>
    <row r="10901">
      <c r="A10901" t="n">
        <v>14271102</v>
      </c>
      <c r="B10901" t="n">
        <v>54444</v>
      </c>
      <c r="C10901" t="inlineStr">
        <is>
          <t>1427/11/02</t>
        </is>
      </c>
    </row>
    <row r="10902">
      <c r="A10902" t="n">
        <v>14271103</v>
      </c>
      <c r="B10902" t="n">
        <v>54445</v>
      </c>
      <c r="C10902" t="inlineStr">
        <is>
          <t>1427/11/03</t>
        </is>
      </c>
    </row>
    <row r="10903">
      <c r="A10903" t="n">
        <v>14271104</v>
      </c>
      <c r="B10903" t="n">
        <v>54446</v>
      </c>
      <c r="C10903" t="inlineStr">
        <is>
          <t>1427/11/04</t>
        </is>
      </c>
    </row>
    <row r="10904">
      <c r="A10904" t="n">
        <v>14271105</v>
      </c>
      <c r="B10904" t="n">
        <v>54447</v>
      </c>
      <c r="C10904" t="inlineStr">
        <is>
          <t>1427/11/05</t>
        </is>
      </c>
    </row>
    <row r="10905">
      <c r="A10905" t="n">
        <v>14271106</v>
      </c>
      <c r="B10905" t="n">
        <v>54448</v>
      </c>
      <c r="C10905" t="inlineStr">
        <is>
          <t>1427/11/06</t>
        </is>
      </c>
    </row>
    <row r="10906">
      <c r="A10906" t="n">
        <v>14271107</v>
      </c>
      <c r="B10906" t="n">
        <v>54449</v>
      </c>
      <c r="C10906" t="inlineStr">
        <is>
          <t>1427/11/07</t>
        </is>
      </c>
    </row>
    <row r="10907">
      <c r="A10907" t="n">
        <v>14271108</v>
      </c>
      <c r="B10907" t="n">
        <v>54450</v>
      </c>
      <c r="C10907" t="inlineStr">
        <is>
          <t>1427/11/08</t>
        </is>
      </c>
    </row>
    <row r="10908">
      <c r="A10908" t="n">
        <v>14271109</v>
      </c>
      <c r="B10908" t="n">
        <v>54451</v>
      </c>
      <c r="C10908" t="inlineStr">
        <is>
          <t>1427/11/09</t>
        </is>
      </c>
    </row>
    <row r="10909">
      <c r="A10909" t="n">
        <v>14271110</v>
      </c>
      <c r="B10909" t="n">
        <v>54452</v>
      </c>
      <c r="C10909" t="inlineStr">
        <is>
          <t>1427/11/10</t>
        </is>
      </c>
    </row>
    <row r="10910">
      <c r="A10910" t="n">
        <v>14271111</v>
      </c>
      <c r="B10910" t="n">
        <v>54453</v>
      </c>
      <c r="C10910" t="inlineStr">
        <is>
          <t>1427/11/11</t>
        </is>
      </c>
    </row>
    <row r="10911">
      <c r="A10911" t="n">
        <v>14271112</v>
      </c>
      <c r="B10911" t="n">
        <v>54454</v>
      </c>
      <c r="C10911" t="inlineStr">
        <is>
          <t>1427/11/12</t>
        </is>
      </c>
    </row>
    <row r="10912">
      <c r="A10912" t="n">
        <v>14271113</v>
      </c>
      <c r="B10912" t="n">
        <v>54455</v>
      </c>
      <c r="C10912" t="inlineStr">
        <is>
          <t>1427/11/13</t>
        </is>
      </c>
    </row>
    <row r="10913">
      <c r="A10913" t="n">
        <v>14271114</v>
      </c>
      <c r="B10913" t="n">
        <v>54456</v>
      </c>
      <c r="C10913" t="inlineStr">
        <is>
          <t>1427/11/14</t>
        </is>
      </c>
    </row>
    <row r="10914">
      <c r="A10914" t="n">
        <v>14271115</v>
      </c>
      <c r="B10914" t="n">
        <v>54457</v>
      </c>
      <c r="C10914" t="inlineStr">
        <is>
          <t>1427/11/15</t>
        </is>
      </c>
    </row>
    <row r="10915">
      <c r="A10915" t="n">
        <v>14271116</v>
      </c>
      <c r="B10915" t="n">
        <v>54458</v>
      </c>
      <c r="C10915" t="inlineStr">
        <is>
          <t>1427/11/16</t>
        </is>
      </c>
    </row>
    <row r="10916">
      <c r="A10916" t="n">
        <v>14271117</v>
      </c>
      <c r="B10916" t="n">
        <v>54459</v>
      </c>
      <c r="C10916" t="inlineStr">
        <is>
          <t>1427/11/17</t>
        </is>
      </c>
    </row>
    <row r="10917">
      <c r="A10917" t="n">
        <v>14271118</v>
      </c>
      <c r="B10917" t="n">
        <v>54460</v>
      </c>
      <c r="C10917" t="inlineStr">
        <is>
          <t>1427/11/18</t>
        </is>
      </c>
    </row>
    <row r="10918">
      <c r="A10918" t="n">
        <v>14271119</v>
      </c>
      <c r="B10918" t="n">
        <v>54461</v>
      </c>
      <c r="C10918" t="inlineStr">
        <is>
          <t>1427/11/19</t>
        </is>
      </c>
    </row>
    <row r="10919">
      <c r="A10919" t="n">
        <v>14271120</v>
      </c>
      <c r="B10919" t="n">
        <v>54462</v>
      </c>
      <c r="C10919" t="inlineStr">
        <is>
          <t>1427/11/20</t>
        </is>
      </c>
    </row>
    <row r="10920">
      <c r="A10920" t="n">
        <v>14271121</v>
      </c>
      <c r="B10920" t="n">
        <v>54463</v>
      </c>
      <c r="C10920" t="inlineStr">
        <is>
          <t>1427/11/21</t>
        </is>
      </c>
    </row>
    <row r="10921">
      <c r="A10921" t="n">
        <v>14271122</v>
      </c>
      <c r="B10921" t="n">
        <v>54464</v>
      </c>
      <c r="C10921" t="inlineStr">
        <is>
          <t>1427/11/22</t>
        </is>
      </c>
    </row>
    <row r="10922">
      <c r="A10922" t="n">
        <v>14271123</v>
      </c>
      <c r="B10922" t="n">
        <v>54465</v>
      </c>
      <c r="C10922" t="inlineStr">
        <is>
          <t>1427/11/23</t>
        </is>
      </c>
    </row>
    <row r="10923">
      <c r="A10923" t="n">
        <v>14271124</v>
      </c>
      <c r="B10923" t="n">
        <v>54466</v>
      </c>
      <c r="C10923" t="inlineStr">
        <is>
          <t>1427/11/24</t>
        </is>
      </c>
    </row>
    <row r="10924">
      <c r="A10924" t="n">
        <v>14271125</v>
      </c>
      <c r="B10924" t="n">
        <v>54467</v>
      </c>
      <c r="C10924" t="inlineStr">
        <is>
          <t>1427/11/25</t>
        </is>
      </c>
    </row>
    <row r="10925">
      <c r="A10925" t="n">
        <v>14271126</v>
      </c>
      <c r="B10925" t="n">
        <v>54468</v>
      </c>
      <c r="C10925" t="inlineStr">
        <is>
          <t>1427/11/26</t>
        </is>
      </c>
    </row>
    <row r="10926">
      <c r="A10926" t="n">
        <v>14271127</v>
      </c>
      <c r="B10926" t="n">
        <v>54469</v>
      </c>
      <c r="C10926" t="inlineStr">
        <is>
          <t>1427/11/27</t>
        </is>
      </c>
    </row>
    <row r="10927">
      <c r="A10927" t="n">
        <v>14271128</v>
      </c>
      <c r="B10927" t="n">
        <v>54470</v>
      </c>
      <c r="C10927" t="inlineStr">
        <is>
          <t>1427/11/28</t>
        </is>
      </c>
    </row>
    <row r="10928">
      <c r="A10928" t="n">
        <v>14271129</v>
      </c>
      <c r="B10928" t="n">
        <v>54471</v>
      </c>
      <c r="C10928" t="inlineStr">
        <is>
          <t>1427/11/29</t>
        </is>
      </c>
    </row>
    <row r="10929">
      <c r="A10929" t="n">
        <v>14271130</v>
      </c>
      <c r="B10929" t="n">
        <v>54472</v>
      </c>
      <c r="C10929" t="inlineStr">
        <is>
          <t>1427/11/30</t>
        </is>
      </c>
    </row>
    <row r="10930">
      <c r="A10930" t="n">
        <v>14271201</v>
      </c>
      <c r="B10930" t="n">
        <v>54473</v>
      </c>
      <c r="C10930" t="inlineStr">
        <is>
          <t>1427/12/01</t>
        </is>
      </c>
    </row>
    <row r="10931">
      <c r="A10931" t="n">
        <v>14271202</v>
      </c>
      <c r="B10931" t="n">
        <v>54474</v>
      </c>
      <c r="C10931" t="inlineStr">
        <is>
          <t>1427/12/02</t>
        </is>
      </c>
    </row>
    <row r="10932">
      <c r="A10932" t="n">
        <v>14271203</v>
      </c>
      <c r="B10932" t="n">
        <v>54475</v>
      </c>
      <c r="C10932" t="inlineStr">
        <is>
          <t>1427/12/03</t>
        </is>
      </c>
    </row>
    <row r="10933">
      <c r="A10933" t="n">
        <v>14271204</v>
      </c>
      <c r="B10933" t="n">
        <v>54476</v>
      </c>
      <c r="C10933" t="inlineStr">
        <is>
          <t>1427/12/04</t>
        </is>
      </c>
    </row>
    <row r="10934">
      <c r="A10934" t="n">
        <v>14271205</v>
      </c>
      <c r="B10934" t="n">
        <v>54477</v>
      </c>
      <c r="C10934" t="inlineStr">
        <is>
          <t>1427/12/05</t>
        </is>
      </c>
    </row>
    <row r="10935">
      <c r="A10935" t="n">
        <v>14271206</v>
      </c>
      <c r="B10935" t="n">
        <v>54478</v>
      </c>
      <c r="C10935" t="inlineStr">
        <is>
          <t>1427/12/06</t>
        </is>
      </c>
    </row>
    <row r="10936">
      <c r="A10936" t="n">
        <v>14271207</v>
      </c>
      <c r="B10936" t="n">
        <v>54479</v>
      </c>
      <c r="C10936" t="inlineStr">
        <is>
          <t>1427/12/07</t>
        </is>
      </c>
    </row>
    <row r="10937">
      <c r="A10937" t="n">
        <v>14271208</v>
      </c>
      <c r="B10937" t="n">
        <v>54480</v>
      </c>
      <c r="C10937" t="inlineStr">
        <is>
          <t>1427/12/08</t>
        </is>
      </c>
    </row>
    <row r="10938">
      <c r="A10938" t="n">
        <v>14271209</v>
      </c>
      <c r="B10938" t="n">
        <v>54481</v>
      </c>
      <c r="C10938" t="inlineStr">
        <is>
          <t>1427/12/09</t>
        </is>
      </c>
    </row>
    <row r="10939">
      <c r="A10939" t="n">
        <v>14271210</v>
      </c>
      <c r="B10939" t="n">
        <v>54482</v>
      </c>
      <c r="C10939" t="inlineStr">
        <is>
          <t>1427/12/10</t>
        </is>
      </c>
    </row>
    <row r="10940">
      <c r="A10940" t="n">
        <v>14271211</v>
      </c>
      <c r="B10940" t="n">
        <v>54483</v>
      </c>
      <c r="C10940" t="inlineStr">
        <is>
          <t>1427/12/11</t>
        </is>
      </c>
    </row>
    <row r="10941">
      <c r="A10941" t="n">
        <v>14271212</v>
      </c>
      <c r="B10941" t="n">
        <v>54484</v>
      </c>
      <c r="C10941" t="inlineStr">
        <is>
          <t>1427/12/12</t>
        </is>
      </c>
    </row>
    <row r="10942">
      <c r="A10942" t="n">
        <v>14271213</v>
      </c>
      <c r="B10942" t="n">
        <v>54485</v>
      </c>
      <c r="C10942" t="inlineStr">
        <is>
          <t>1427/12/13</t>
        </is>
      </c>
    </row>
    <row r="10943">
      <c r="A10943" t="n">
        <v>14271214</v>
      </c>
      <c r="B10943" t="n">
        <v>54486</v>
      </c>
      <c r="C10943" t="inlineStr">
        <is>
          <t>1427/12/14</t>
        </is>
      </c>
    </row>
    <row r="10944">
      <c r="A10944" t="n">
        <v>14271215</v>
      </c>
      <c r="B10944" t="n">
        <v>54487</v>
      </c>
      <c r="C10944" t="inlineStr">
        <is>
          <t>1427/12/15</t>
        </is>
      </c>
    </row>
    <row r="10945">
      <c r="A10945" t="n">
        <v>14271216</v>
      </c>
      <c r="B10945" t="n">
        <v>54488</v>
      </c>
      <c r="C10945" t="inlineStr">
        <is>
          <t>1427/12/16</t>
        </is>
      </c>
    </row>
    <row r="10946">
      <c r="A10946" t="n">
        <v>14271217</v>
      </c>
      <c r="B10946" t="n">
        <v>54489</v>
      </c>
      <c r="C10946" t="inlineStr">
        <is>
          <t>1427/12/17</t>
        </is>
      </c>
    </row>
    <row r="10947">
      <c r="A10947" t="n">
        <v>14271218</v>
      </c>
      <c r="B10947" t="n">
        <v>54490</v>
      </c>
      <c r="C10947" t="inlineStr">
        <is>
          <t>1427/12/18</t>
        </is>
      </c>
    </row>
    <row r="10948">
      <c r="A10948" t="n">
        <v>14271219</v>
      </c>
      <c r="B10948" t="n">
        <v>54491</v>
      </c>
      <c r="C10948" t="inlineStr">
        <is>
          <t>1427/12/19</t>
        </is>
      </c>
    </row>
    <row r="10949">
      <c r="A10949" t="n">
        <v>14271220</v>
      </c>
      <c r="B10949" t="n">
        <v>54492</v>
      </c>
      <c r="C10949" t="inlineStr">
        <is>
          <t>1427/12/20</t>
        </is>
      </c>
    </row>
    <row r="10950">
      <c r="A10950" t="n">
        <v>14271221</v>
      </c>
      <c r="B10950" t="n">
        <v>54493</v>
      </c>
      <c r="C10950" t="inlineStr">
        <is>
          <t>1427/12/21</t>
        </is>
      </c>
    </row>
    <row r="10951">
      <c r="A10951" t="n">
        <v>14271222</v>
      </c>
      <c r="B10951" t="n">
        <v>54494</v>
      </c>
      <c r="C10951" t="inlineStr">
        <is>
          <t>1427/12/22</t>
        </is>
      </c>
    </row>
    <row r="10952">
      <c r="A10952" t="n">
        <v>14271223</v>
      </c>
      <c r="B10952" t="n">
        <v>54495</v>
      </c>
      <c r="C10952" t="inlineStr">
        <is>
          <t>1427/12/23</t>
        </is>
      </c>
    </row>
    <row r="10953">
      <c r="A10953" t="n">
        <v>14271224</v>
      </c>
      <c r="B10953" t="n">
        <v>54496</v>
      </c>
      <c r="C10953" t="inlineStr">
        <is>
          <t>1427/12/24</t>
        </is>
      </c>
    </row>
    <row r="10954">
      <c r="A10954" t="n">
        <v>14271225</v>
      </c>
      <c r="B10954" t="n">
        <v>54497</v>
      </c>
      <c r="C10954" t="inlineStr">
        <is>
          <t>1427/12/25</t>
        </is>
      </c>
    </row>
    <row r="10955">
      <c r="A10955" t="n">
        <v>14271226</v>
      </c>
      <c r="B10955" t="n">
        <v>54498</v>
      </c>
      <c r="C10955" t="inlineStr">
        <is>
          <t>1427/12/26</t>
        </is>
      </c>
    </row>
    <row r="10956">
      <c r="A10956" t="n">
        <v>14271227</v>
      </c>
      <c r="B10956" t="n">
        <v>54499</v>
      </c>
      <c r="C10956" t="inlineStr">
        <is>
          <t>1427/12/27</t>
        </is>
      </c>
    </row>
    <row r="10957">
      <c r="A10957" t="n">
        <v>14271228</v>
      </c>
      <c r="B10957" t="n">
        <v>54500</v>
      </c>
      <c r="C10957" t="inlineStr">
        <is>
          <t>1427/12/28</t>
        </is>
      </c>
    </row>
    <row r="10958">
      <c r="A10958" t="n">
        <v>14271229</v>
      </c>
      <c r="B10958" t="n">
        <v>54501</v>
      </c>
      <c r="C10958" t="inlineStr">
        <is>
          <t>1427/12/29</t>
        </is>
      </c>
    </row>
    <row r="10959">
      <c r="A10959" t="n">
        <v>14280101</v>
      </c>
      <c r="B10959" t="n">
        <v>54502</v>
      </c>
      <c r="C10959" t="inlineStr">
        <is>
          <t>1428/01/01</t>
        </is>
      </c>
    </row>
    <row r="10960">
      <c r="A10960" t="n">
        <v>14280102</v>
      </c>
      <c r="B10960" t="n">
        <v>54503</v>
      </c>
      <c r="C10960" t="inlineStr">
        <is>
          <t>1428/01/02</t>
        </is>
      </c>
    </row>
    <row r="10961">
      <c r="A10961" t="n">
        <v>14280103</v>
      </c>
      <c r="B10961" t="n">
        <v>54504</v>
      </c>
      <c r="C10961" t="inlineStr">
        <is>
          <t>1428/01/03</t>
        </is>
      </c>
    </row>
    <row r="10962">
      <c r="A10962" t="n">
        <v>14280104</v>
      </c>
      <c r="B10962" t="n">
        <v>54505</v>
      </c>
      <c r="C10962" t="inlineStr">
        <is>
          <t>1428/01/04</t>
        </is>
      </c>
    </row>
    <row r="10963">
      <c r="A10963" t="n">
        <v>14280105</v>
      </c>
      <c r="B10963" t="n">
        <v>54506</v>
      </c>
      <c r="C10963" t="inlineStr">
        <is>
          <t>1428/01/05</t>
        </is>
      </c>
    </row>
    <row r="10964">
      <c r="A10964" t="n">
        <v>14280106</v>
      </c>
      <c r="B10964" t="n">
        <v>54507</v>
      </c>
      <c r="C10964" t="inlineStr">
        <is>
          <t>1428/01/06</t>
        </is>
      </c>
    </row>
    <row r="10965">
      <c r="A10965" t="n">
        <v>14280107</v>
      </c>
      <c r="B10965" t="n">
        <v>54508</v>
      </c>
      <c r="C10965" t="inlineStr">
        <is>
          <t>1428/01/07</t>
        </is>
      </c>
    </row>
    <row r="10966">
      <c r="A10966" t="n">
        <v>14280108</v>
      </c>
      <c r="B10966" t="n">
        <v>54509</v>
      </c>
      <c r="C10966" t="inlineStr">
        <is>
          <t>1428/01/08</t>
        </is>
      </c>
    </row>
    <row r="10967">
      <c r="A10967" t="n">
        <v>14280109</v>
      </c>
      <c r="B10967" t="n">
        <v>54510</v>
      </c>
      <c r="C10967" t="inlineStr">
        <is>
          <t>1428/01/09</t>
        </is>
      </c>
    </row>
    <row r="10968">
      <c r="A10968" t="n">
        <v>14280110</v>
      </c>
      <c r="B10968" t="n">
        <v>54511</v>
      </c>
      <c r="C10968" t="inlineStr">
        <is>
          <t>1428/01/10</t>
        </is>
      </c>
    </row>
    <row r="10969">
      <c r="A10969" t="n">
        <v>14280111</v>
      </c>
      <c r="B10969" t="n">
        <v>54512</v>
      </c>
      <c r="C10969" t="inlineStr">
        <is>
          <t>1428/01/11</t>
        </is>
      </c>
    </row>
    <row r="10970">
      <c r="A10970" t="n">
        <v>14280112</v>
      </c>
      <c r="B10970" t="n">
        <v>54513</v>
      </c>
      <c r="C10970" t="inlineStr">
        <is>
          <t>1428/01/12</t>
        </is>
      </c>
    </row>
    <row r="10971">
      <c r="A10971" t="n">
        <v>14280113</v>
      </c>
      <c r="B10971" t="n">
        <v>54514</v>
      </c>
      <c r="C10971" t="inlineStr">
        <is>
          <t>1428/01/13</t>
        </is>
      </c>
    </row>
    <row r="10972">
      <c r="A10972" t="n">
        <v>14280114</v>
      </c>
      <c r="B10972" t="n">
        <v>54515</v>
      </c>
      <c r="C10972" t="inlineStr">
        <is>
          <t>1428/01/14</t>
        </is>
      </c>
    </row>
    <row r="10973">
      <c r="A10973" t="n">
        <v>14280115</v>
      </c>
      <c r="B10973" t="n">
        <v>54516</v>
      </c>
      <c r="C10973" t="inlineStr">
        <is>
          <t>1428/01/15</t>
        </is>
      </c>
    </row>
    <row r="10974">
      <c r="A10974" t="n">
        <v>14280116</v>
      </c>
      <c r="B10974" t="n">
        <v>54517</v>
      </c>
      <c r="C10974" t="inlineStr">
        <is>
          <t>1428/01/16</t>
        </is>
      </c>
    </row>
    <row r="10975">
      <c r="A10975" t="n">
        <v>14280117</v>
      </c>
      <c r="B10975" t="n">
        <v>54518</v>
      </c>
      <c r="C10975" t="inlineStr">
        <is>
          <t>1428/01/17</t>
        </is>
      </c>
    </row>
    <row r="10976">
      <c r="A10976" t="n">
        <v>14280118</v>
      </c>
      <c r="B10976" t="n">
        <v>54519</v>
      </c>
      <c r="C10976" t="inlineStr">
        <is>
          <t>1428/01/18</t>
        </is>
      </c>
    </row>
    <row r="10977">
      <c r="A10977" t="n">
        <v>14280119</v>
      </c>
      <c r="B10977" t="n">
        <v>54520</v>
      </c>
      <c r="C10977" t="inlineStr">
        <is>
          <t>1428/01/19</t>
        </is>
      </c>
    </row>
    <row r="10978">
      <c r="A10978" t="n">
        <v>14280120</v>
      </c>
      <c r="B10978" t="n">
        <v>54521</v>
      </c>
      <c r="C10978" t="inlineStr">
        <is>
          <t>1428/01/20</t>
        </is>
      </c>
    </row>
    <row r="10979">
      <c r="A10979" t="n">
        <v>14280121</v>
      </c>
      <c r="B10979" t="n">
        <v>54522</v>
      </c>
      <c r="C10979" t="inlineStr">
        <is>
          <t>1428/01/21</t>
        </is>
      </c>
    </row>
    <row r="10980">
      <c r="A10980" t="n">
        <v>14280122</v>
      </c>
      <c r="B10980" t="n">
        <v>54523</v>
      </c>
      <c r="C10980" t="inlineStr">
        <is>
          <t>1428/01/22</t>
        </is>
      </c>
    </row>
    <row r="10981">
      <c r="A10981" t="n">
        <v>14280123</v>
      </c>
      <c r="B10981" t="n">
        <v>54524</v>
      </c>
      <c r="C10981" t="inlineStr">
        <is>
          <t>1428/01/23</t>
        </is>
      </c>
    </row>
    <row r="10982">
      <c r="A10982" t="n">
        <v>14280124</v>
      </c>
      <c r="B10982" t="n">
        <v>54525</v>
      </c>
      <c r="C10982" t="inlineStr">
        <is>
          <t>1428/01/24</t>
        </is>
      </c>
    </row>
    <row r="10983">
      <c r="A10983" t="n">
        <v>14280125</v>
      </c>
      <c r="B10983" t="n">
        <v>54526</v>
      </c>
      <c r="C10983" t="inlineStr">
        <is>
          <t>1428/01/25</t>
        </is>
      </c>
    </row>
    <row r="10984">
      <c r="A10984" t="n">
        <v>14280126</v>
      </c>
      <c r="B10984" t="n">
        <v>54527</v>
      </c>
      <c r="C10984" t="inlineStr">
        <is>
          <t>1428/01/26</t>
        </is>
      </c>
    </row>
    <row r="10985">
      <c r="A10985" t="n">
        <v>14280127</v>
      </c>
      <c r="B10985" t="n">
        <v>54528</v>
      </c>
      <c r="C10985" t="inlineStr">
        <is>
          <t>1428/01/27</t>
        </is>
      </c>
    </row>
    <row r="10986">
      <c r="A10986" t="n">
        <v>14280128</v>
      </c>
      <c r="B10986" t="n">
        <v>54529</v>
      </c>
      <c r="C10986" t="inlineStr">
        <is>
          <t>1428/01/28</t>
        </is>
      </c>
    </row>
    <row r="10987">
      <c r="A10987" t="n">
        <v>14280129</v>
      </c>
      <c r="B10987" t="n">
        <v>54530</v>
      </c>
      <c r="C10987" t="inlineStr">
        <is>
          <t>1428/01/29</t>
        </is>
      </c>
    </row>
    <row r="10988">
      <c r="A10988" t="n">
        <v>14280130</v>
      </c>
      <c r="B10988" t="n">
        <v>54531</v>
      </c>
      <c r="C10988" t="inlineStr">
        <is>
          <t>1428/01/30</t>
        </is>
      </c>
    </row>
    <row r="10989">
      <c r="A10989" t="n">
        <v>14280131</v>
      </c>
      <c r="B10989" t="n">
        <v>54532</v>
      </c>
      <c r="C10989" t="inlineStr">
        <is>
          <t>1428/01/31</t>
        </is>
      </c>
    </row>
    <row r="10990">
      <c r="A10990" t="n">
        <v>14280201</v>
      </c>
      <c r="B10990" t="n">
        <v>54533</v>
      </c>
      <c r="C10990" t="inlineStr">
        <is>
          <t>1428/02/01</t>
        </is>
      </c>
    </row>
    <row r="10991">
      <c r="A10991" t="n">
        <v>14280202</v>
      </c>
      <c r="B10991" t="n">
        <v>54534</v>
      </c>
      <c r="C10991" t="inlineStr">
        <is>
          <t>1428/02/02</t>
        </is>
      </c>
    </row>
    <row r="10992">
      <c r="A10992" t="n">
        <v>14280203</v>
      </c>
      <c r="B10992" t="n">
        <v>54535</v>
      </c>
      <c r="C10992" t="inlineStr">
        <is>
          <t>1428/02/03</t>
        </is>
      </c>
    </row>
    <row r="10993">
      <c r="A10993" t="n">
        <v>14280204</v>
      </c>
      <c r="B10993" t="n">
        <v>54536</v>
      </c>
      <c r="C10993" t="inlineStr">
        <is>
          <t>1428/02/04</t>
        </is>
      </c>
    </row>
    <row r="10994">
      <c r="A10994" t="n">
        <v>14280205</v>
      </c>
      <c r="B10994" t="n">
        <v>54537</v>
      </c>
      <c r="C10994" t="inlineStr">
        <is>
          <t>1428/02/05</t>
        </is>
      </c>
    </row>
    <row r="10995">
      <c r="A10995" t="n">
        <v>14280206</v>
      </c>
      <c r="B10995" t="n">
        <v>54538</v>
      </c>
      <c r="C10995" t="inlineStr">
        <is>
          <t>1428/02/06</t>
        </is>
      </c>
    </row>
    <row r="10996">
      <c r="A10996" t="n">
        <v>14280207</v>
      </c>
      <c r="B10996" t="n">
        <v>54539</v>
      </c>
      <c r="C10996" t="inlineStr">
        <is>
          <t>1428/02/07</t>
        </is>
      </c>
    </row>
    <row r="10997">
      <c r="A10997" t="n">
        <v>14280208</v>
      </c>
      <c r="B10997" t="n">
        <v>54540</v>
      </c>
      <c r="C10997" t="inlineStr">
        <is>
          <t>1428/02/08</t>
        </is>
      </c>
    </row>
    <row r="10998">
      <c r="A10998" t="n">
        <v>14280209</v>
      </c>
      <c r="B10998" t="n">
        <v>54541</v>
      </c>
      <c r="C10998" t="inlineStr">
        <is>
          <t>1428/02/09</t>
        </is>
      </c>
    </row>
    <row r="10999">
      <c r="A10999" t="n">
        <v>14280210</v>
      </c>
      <c r="B10999" t="n">
        <v>54542</v>
      </c>
      <c r="C10999" t="inlineStr">
        <is>
          <t>1428/02/10</t>
        </is>
      </c>
    </row>
    <row r="11000">
      <c r="A11000" t="n">
        <v>14280211</v>
      </c>
      <c r="B11000" t="n">
        <v>54543</v>
      </c>
      <c r="C11000" t="inlineStr">
        <is>
          <t>1428/02/11</t>
        </is>
      </c>
    </row>
    <row r="11001">
      <c r="A11001" t="n">
        <v>14280212</v>
      </c>
      <c r="B11001" t="n">
        <v>54544</v>
      </c>
      <c r="C11001" t="inlineStr">
        <is>
          <t>1428/02/12</t>
        </is>
      </c>
    </row>
    <row r="11002">
      <c r="A11002" t="n">
        <v>14280213</v>
      </c>
      <c r="B11002" t="n">
        <v>54545</v>
      </c>
      <c r="C11002" t="inlineStr">
        <is>
          <t>1428/02/13</t>
        </is>
      </c>
    </row>
    <row r="11003">
      <c r="A11003" t="n">
        <v>14280214</v>
      </c>
      <c r="B11003" t="n">
        <v>54546</v>
      </c>
      <c r="C11003" t="inlineStr">
        <is>
          <t>1428/02/14</t>
        </is>
      </c>
    </row>
    <row r="11004">
      <c r="A11004" t="n">
        <v>14280215</v>
      </c>
      <c r="B11004" t="n">
        <v>54547</v>
      </c>
      <c r="C11004" t="inlineStr">
        <is>
          <t>1428/02/15</t>
        </is>
      </c>
    </row>
    <row r="11005">
      <c r="A11005" t="n">
        <v>14280216</v>
      </c>
      <c r="B11005" t="n">
        <v>54548</v>
      </c>
      <c r="C11005" t="inlineStr">
        <is>
          <t>1428/02/16</t>
        </is>
      </c>
    </row>
    <row r="11006">
      <c r="A11006" t="n">
        <v>14280217</v>
      </c>
      <c r="B11006" t="n">
        <v>54549</v>
      </c>
      <c r="C11006" t="inlineStr">
        <is>
          <t>1428/02/17</t>
        </is>
      </c>
    </row>
    <row r="11007">
      <c r="A11007" t="n">
        <v>14280218</v>
      </c>
      <c r="B11007" t="n">
        <v>54550</v>
      </c>
      <c r="C11007" t="inlineStr">
        <is>
          <t>1428/02/18</t>
        </is>
      </c>
    </row>
    <row r="11008">
      <c r="A11008" t="n">
        <v>14280219</v>
      </c>
      <c r="B11008" t="n">
        <v>54551</v>
      </c>
      <c r="C11008" t="inlineStr">
        <is>
          <t>1428/02/19</t>
        </is>
      </c>
    </row>
    <row r="11009">
      <c r="A11009" t="n">
        <v>14280220</v>
      </c>
      <c r="B11009" t="n">
        <v>54552</v>
      </c>
      <c r="C11009" t="inlineStr">
        <is>
          <t>1428/02/20</t>
        </is>
      </c>
    </row>
    <row r="11010">
      <c r="A11010" t="n">
        <v>14280221</v>
      </c>
      <c r="B11010" t="n">
        <v>54553</v>
      </c>
      <c r="C11010" t="inlineStr">
        <is>
          <t>1428/02/21</t>
        </is>
      </c>
    </row>
    <row r="11011">
      <c r="A11011" t="n">
        <v>14280222</v>
      </c>
      <c r="B11011" t="n">
        <v>54554</v>
      </c>
      <c r="C11011" t="inlineStr">
        <is>
          <t>1428/02/22</t>
        </is>
      </c>
    </row>
    <row r="11012">
      <c r="A11012" t="n">
        <v>14280223</v>
      </c>
      <c r="B11012" t="n">
        <v>54555</v>
      </c>
      <c r="C11012" t="inlineStr">
        <is>
          <t>1428/02/23</t>
        </is>
      </c>
    </row>
    <row r="11013">
      <c r="A11013" t="n">
        <v>14280224</v>
      </c>
      <c r="B11013" t="n">
        <v>54556</v>
      </c>
      <c r="C11013" t="inlineStr">
        <is>
          <t>1428/02/24</t>
        </is>
      </c>
    </row>
    <row r="11014">
      <c r="A11014" t="n">
        <v>14280225</v>
      </c>
      <c r="B11014" t="n">
        <v>54557</v>
      </c>
      <c r="C11014" t="inlineStr">
        <is>
          <t>1428/02/25</t>
        </is>
      </c>
    </row>
    <row r="11015">
      <c r="A11015" t="n">
        <v>14280226</v>
      </c>
      <c r="B11015" t="n">
        <v>54558</v>
      </c>
      <c r="C11015" t="inlineStr">
        <is>
          <t>1428/02/26</t>
        </is>
      </c>
    </row>
    <row r="11016">
      <c r="A11016" t="n">
        <v>14280227</v>
      </c>
      <c r="B11016" t="n">
        <v>54559</v>
      </c>
      <c r="C11016" t="inlineStr">
        <is>
          <t>1428/02/27</t>
        </is>
      </c>
    </row>
    <row r="11017">
      <c r="A11017" t="n">
        <v>14280228</v>
      </c>
      <c r="B11017" t="n">
        <v>54560</v>
      </c>
      <c r="C11017" t="inlineStr">
        <is>
          <t>1428/02/28</t>
        </is>
      </c>
    </row>
    <row r="11018">
      <c r="A11018" t="n">
        <v>14280229</v>
      </c>
      <c r="B11018" t="n">
        <v>54561</v>
      </c>
      <c r="C11018" t="inlineStr">
        <is>
          <t>1428/02/29</t>
        </is>
      </c>
    </row>
    <row r="11019">
      <c r="A11019" t="n">
        <v>14280230</v>
      </c>
      <c r="B11019" t="n">
        <v>54562</v>
      </c>
      <c r="C11019" t="inlineStr">
        <is>
          <t>1428/02/30</t>
        </is>
      </c>
    </row>
    <row r="11020">
      <c r="A11020" t="n">
        <v>14280231</v>
      </c>
      <c r="B11020" t="n">
        <v>54563</v>
      </c>
      <c r="C11020" t="inlineStr">
        <is>
          <t>1428/02/31</t>
        </is>
      </c>
    </row>
    <row r="11021">
      <c r="A11021" t="n">
        <v>14280301</v>
      </c>
      <c r="B11021" t="n">
        <v>54564</v>
      </c>
      <c r="C11021" t="inlineStr">
        <is>
          <t>1428/03/01</t>
        </is>
      </c>
    </row>
    <row r="11022">
      <c r="A11022" t="n">
        <v>14280302</v>
      </c>
      <c r="B11022" t="n">
        <v>54565</v>
      </c>
      <c r="C11022" t="inlineStr">
        <is>
          <t>1428/03/02</t>
        </is>
      </c>
    </row>
    <row r="11023">
      <c r="A11023" t="n">
        <v>14280303</v>
      </c>
      <c r="B11023" t="n">
        <v>54566</v>
      </c>
      <c r="C11023" t="inlineStr">
        <is>
          <t>1428/03/03</t>
        </is>
      </c>
    </row>
    <row r="11024">
      <c r="A11024" t="n">
        <v>14280304</v>
      </c>
      <c r="B11024" t="n">
        <v>54567</v>
      </c>
      <c r="C11024" t="inlineStr">
        <is>
          <t>1428/03/04</t>
        </is>
      </c>
    </row>
    <row r="11025">
      <c r="A11025" t="n">
        <v>14280305</v>
      </c>
      <c r="B11025" t="n">
        <v>54568</v>
      </c>
      <c r="C11025" t="inlineStr">
        <is>
          <t>1428/03/05</t>
        </is>
      </c>
    </row>
    <row r="11026">
      <c r="A11026" t="n">
        <v>14280306</v>
      </c>
      <c r="B11026" t="n">
        <v>54569</v>
      </c>
      <c r="C11026" t="inlineStr">
        <is>
          <t>1428/03/06</t>
        </is>
      </c>
    </row>
    <row r="11027">
      <c r="A11027" t="n">
        <v>14280307</v>
      </c>
      <c r="B11027" t="n">
        <v>54570</v>
      </c>
      <c r="C11027" t="inlineStr">
        <is>
          <t>1428/03/07</t>
        </is>
      </c>
    </row>
    <row r="11028">
      <c r="A11028" t="n">
        <v>14280308</v>
      </c>
      <c r="B11028" t="n">
        <v>54571</v>
      </c>
      <c r="C11028" t="inlineStr">
        <is>
          <t>1428/03/08</t>
        </is>
      </c>
    </row>
    <row r="11029">
      <c r="A11029" t="n">
        <v>14280309</v>
      </c>
      <c r="B11029" t="n">
        <v>54572</v>
      </c>
      <c r="C11029" t="inlineStr">
        <is>
          <t>1428/03/09</t>
        </is>
      </c>
    </row>
    <row r="11030">
      <c r="A11030" t="n">
        <v>14280310</v>
      </c>
      <c r="B11030" t="n">
        <v>54573</v>
      </c>
      <c r="C11030" t="inlineStr">
        <is>
          <t>1428/03/10</t>
        </is>
      </c>
    </row>
    <row r="11031">
      <c r="A11031" t="n">
        <v>14280311</v>
      </c>
      <c r="B11031" t="n">
        <v>54574</v>
      </c>
      <c r="C11031" t="inlineStr">
        <is>
          <t>1428/03/11</t>
        </is>
      </c>
    </row>
    <row r="11032">
      <c r="A11032" t="n">
        <v>14280312</v>
      </c>
      <c r="B11032" t="n">
        <v>54575</v>
      </c>
      <c r="C11032" t="inlineStr">
        <is>
          <t>1428/03/12</t>
        </is>
      </c>
    </row>
    <row r="11033">
      <c r="A11033" t="n">
        <v>14280313</v>
      </c>
      <c r="B11033" t="n">
        <v>54576</v>
      </c>
      <c r="C11033" t="inlineStr">
        <is>
          <t>1428/03/13</t>
        </is>
      </c>
    </row>
    <row r="11034">
      <c r="A11034" t="n">
        <v>14280314</v>
      </c>
      <c r="B11034" t="n">
        <v>54577</v>
      </c>
      <c r="C11034" t="inlineStr">
        <is>
          <t>1428/03/14</t>
        </is>
      </c>
    </row>
    <row r="11035">
      <c r="A11035" t="n">
        <v>14280315</v>
      </c>
      <c r="B11035" t="n">
        <v>54578</v>
      </c>
      <c r="C11035" t="inlineStr">
        <is>
          <t>1428/03/15</t>
        </is>
      </c>
    </row>
    <row r="11036">
      <c r="A11036" t="n">
        <v>14280316</v>
      </c>
      <c r="B11036" t="n">
        <v>54579</v>
      </c>
      <c r="C11036" t="inlineStr">
        <is>
          <t>1428/03/16</t>
        </is>
      </c>
    </row>
    <row r="11037">
      <c r="A11037" t="n">
        <v>14280317</v>
      </c>
      <c r="B11037" t="n">
        <v>54580</v>
      </c>
      <c r="C11037" t="inlineStr">
        <is>
          <t>1428/03/17</t>
        </is>
      </c>
    </row>
    <row r="11038">
      <c r="A11038" t="n">
        <v>14280318</v>
      </c>
      <c r="B11038" t="n">
        <v>54581</v>
      </c>
      <c r="C11038" t="inlineStr">
        <is>
          <t>1428/03/18</t>
        </is>
      </c>
    </row>
    <row r="11039">
      <c r="A11039" t="n">
        <v>14280319</v>
      </c>
      <c r="B11039" t="n">
        <v>54582</v>
      </c>
      <c r="C11039" t="inlineStr">
        <is>
          <t>1428/03/19</t>
        </is>
      </c>
    </row>
    <row r="11040">
      <c r="A11040" t="n">
        <v>14280320</v>
      </c>
      <c r="B11040" t="n">
        <v>54583</v>
      </c>
      <c r="C11040" t="inlineStr">
        <is>
          <t>1428/03/20</t>
        </is>
      </c>
    </row>
    <row r="11041">
      <c r="A11041" t="n">
        <v>14280321</v>
      </c>
      <c r="B11041" t="n">
        <v>54584</v>
      </c>
      <c r="C11041" t="inlineStr">
        <is>
          <t>1428/03/21</t>
        </is>
      </c>
    </row>
    <row r="11042">
      <c r="A11042" t="n">
        <v>14280322</v>
      </c>
      <c r="B11042" t="n">
        <v>54585</v>
      </c>
      <c r="C11042" t="inlineStr">
        <is>
          <t>1428/03/22</t>
        </is>
      </c>
    </row>
    <row r="11043">
      <c r="A11043" t="n">
        <v>14280323</v>
      </c>
      <c r="B11043" t="n">
        <v>54586</v>
      </c>
      <c r="C11043" t="inlineStr">
        <is>
          <t>1428/03/23</t>
        </is>
      </c>
    </row>
    <row r="11044">
      <c r="A11044" t="n">
        <v>14280324</v>
      </c>
      <c r="B11044" t="n">
        <v>54587</v>
      </c>
      <c r="C11044" t="inlineStr">
        <is>
          <t>1428/03/24</t>
        </is>
      </c>
    </row>
    <row r="11045">
      <c r="A11045" t="n">
        <v>14280325</v>
      </c>
      <c r="B11045" t="n">
        <v>54588</v>
      </c>
      <c r="C11045" t="inlineStr">
        <is>
          <t>1428/03/25</t>
        </is>
      </c>
    </row>
    <row r="11046">
      <c r="A11046" t="n">
        <v>14280326</v>
      </c>
      <c r="B11046" t="n">
        <v>54589</v>
      </c>
      <c r="C11046" t="inlineStr">
        <is>
          <t>1428/03/26</t>
        </is>
      </c>
    </row>
    <row r="11047">
      <c r="A11047" t="n">
        <v>14280327</v>
      </c>
      <c r="B11047" t="n">
        <v>54590</v>
      </c>
      <c r="C11047" t="inlineStr">
        <is>
          <t>1428/03/27</t>
        </is>
      </c>
    </row>
    <row r="11048">
      <c r="A11048" t="n">
        <v>14280328</v>
      </c>
      <c r="B11048" t="n">
        <v>54591</v>
      </c>
      <c r="C11048" t="inlineStr">
        <is>
          <t>1428/03/28</t>
        </is>
      </c>
    </row>
    <row r="11049">
      <c r="A11049" t="n">
        <v>14280329</v>
      </c>
      <c r="B11049" t="n">
        <v>54592</v>
      </c>
      <c r="C11049" t="inlineStr">
        <is>
          <t>1428/03/29</t>
        </is>
      </c>
    </row>
    <row r="11050">
      <c r="A11050" t="n">
        <v>14280330</v>
      </c>
      <c r="B11050" t="n">
        <v>54593</v>
      </c>
      <c r="C11050" t="inlineStr">
        <is>
          <t>1428/03/30</t>
        </is>
      </c>
    </row>
    <row r="11051">
      <c r="A11051" t="n">
        <v>14280331</v>
      </c>
      <c r="B11051" t="n">
        <v>54594</v>
      </c>
      <c r="C11051" t="inlineStr">
        <is>
          <t>1428/03/31</t>
        </is>
      </c>
    </row>
    <row r="11052">
      <c r="A11052" t="n">
        <v>14280401</v>
      </c>
      <c r="B11052" t="n">
        <v>54595</v>
      </c>
      <c r="C11052" t="inlineStr">
        <is>
          <t>1428/04/01</t>
        </is>
      </c>
    </row>
    <row r="11053">
      <c r="A11053" t="n">
        <v>14280402</v>
      </c>
      <c r="B11053" t="n">
        <v>54596</v>
      </c>
      <c r="C11053" t="inlineStr">
        <is>
          <t>1428/04/02</t>
        </is>
      </c>
    </row>
    <row r="11054">
      <c r="A11054" t="n">
        <v>14280403</v>
      </c>
      <c r="B11054" t="n">
        <v>54597</v>
      </c>
      <c r="C11054" t="inlineStr">
        <is>
          <t>1428/04/03</t>
        </is>
      </c>
    </row>
    <row r="11055">
      <c r="A11055" t="n">
        <v>14280404</v>
      </c>
      <c r="B11055" t="n">
        <v>54598</v>
      </c>
      <c r="C11055" t="inlineStr">
        <is>
          <t>1428/04/04</t>
        </is>
      </c>
    </row>
    <row r="11056">
      <c r="A11056" t="n">
        <v>14280405</v>
      </c>
      <c r="B11056" t="n">
        <v>54599</v>
      </c>
      <c r="C11056" t="inlineStr">
        <is>
          <t>1428/04/05</t>
        </is>
      </c>
    </row>
    <row r="11057">
      <c r="A11057" t="n">
        <v>14280406</v>
      </c>
      <c r="B11057" t="n">
        <v>54600</v>
      </c>
      <c r="C11057" t="inlineStr">
        <is>
          <t>1428/04/06</t>
        </is>
      </c>
    </row>
    <row r="11058">
      <c r="A11058" t="n">
        <v>14280407</v>
      </c>
      <c r="B11058" t="n">
        <v>54601</v>
      </c>
      <c r="C11058" t="inlineStr">
        <is>
          <t>1428/04/07</t>
        </is>
      </c>
    </row>
    <row r="11059">
      <c r="A11059" t="n">
        <v>14280408</v>
      </c>
      <c r="B11059" t="n">
        <v>54602</v>
      </c>
      <c r="C11059" t="inlineStr">
        <is>
          <t>1428/04/08</t>
        </is>
      </c>
    </row>
    <row r="11060">
      <c r="A11060" t="n">
        <v>14280409</v>
      </c>
      <c r="B11060" t="n">
        <v>54603</v>
      </c>
      <c r="C11060" t="inlineStr">
        <is>
          <t>1428/04/09</t>
        </is>
      </c>
    </row>
    <row r="11061">
      <c r="A11061" t="n">
        <v>14280410</v>
      </c>
      <c r="B11061" t="n">
        <v>54604</v>
      </c>
      <c r="C11061" t="inlineStr">
        <is>
          <t>1428/04/10</t>
        </is>
      </c>
    </row>
    <row r="11062">
      <c r="A11062" t="n">
        <v>14280411</v>
      </c>
      <c r="B11062" t="n">
        <v>54605</v>
      </c>
      <c r="C11062" t="inlineStr">
        <is>
          <t>1428/04/11</t>
        </is>
      </c>
    </row>
    <row r="11063">
      <c r="A11063" t="n">
        <v>14280412</v>
      </c>
      <c r="B11063" t="n">
        <v>54606</v>
      </c>
      <c r="C11063" t="inlineStr">
        <is>
          <t>1428/04/12</t>
        </is>
      </c>
    </row>
    <row r="11064">
      <c r="A11064" t="n">
        <v>14280413</v>
      </c>
      <c r="B11064" t="n">
        <v>54607</v>
      </c>
      <c r="C11064" t="inlineStr">
        <is>
          <t>1428/04/13</t>
        </is>
      </c>
    </row>
    <row r="11065">
      <c r="A11065" t="n">
        <v>14280414</v>
      </c>
      <c r="B11065" t="n">
        <v>54608</v>
      </c>
      <c r="C11065" t="inlineStr">
        <is>
          <t>1428/04/14</t>
        </is>
      </c>
    </row>
    <row r="11066">
      <c r="A11066" t="n">
        <v>14280415</v>
      </c>
      <c r="B11066" t="n">
        <v>54609</v>
      </c>
      <c r="C11066" t="inlineStr">
        <is>
          <t>1428/04/15</t>
        </is>
      </c>
    </row>
    <row r="11067">
      <c r="A11067" t="n">
        <v>14280416</v>
      </c>
      <c r="B11067" t="n">
        <v>54610</v>
      </c>
      <c r="C11067" t="inlineStr">
        <is>
          <t>1428/04/16</t>
        </is>
      </c>
    </row>
    <row r="11068">
      <c r="A11068" t="n">
        <v>14280417</v>
      </c>
      <c r="B11068" t="n">
        <v>54611</v>
      </c>
      <c r="C11068" t="inlineStr">
        <is>
          <t>1428/04/17</t>
        </is>
      </c>
    </row>
    <row r="11069">
      <c r="A11069" t="n">
        <v>14280418</v>
      </c>
      <c r="B11069" t="n">
        <v>54612</v>
      </c>
      <c r="C11069" t="inlineStr">
        <is>
          <t>1428/04/18</t>
        </is>
      </c>
    </row>
    <row r="11070">
      <c r="A11070" t="n">
        <v>14280419</v>
      </c>
      <c r="B11070" t="n">
        <v>54613</v>
      </c>
      <c r="C11070" t="inlineStr">
        <is>
          <t>1428/04/19</t>
        </is>
      </c>
    </row>
    <row r="11071">
      <c r="A11071" t="n">
        <v>14280420</v>
      </c>
      <c r="B11071" t="n">
        <v>54614</v>
      </c>
      <c r="C11071" t="inlineStr">
        <is>
          <t>1428/04/20</t>
        </is>
      </c>
    </row>
    <row r="11072">
      <c r="A11072" t="n">
        <v>14280421</v>
      </c>
      <c r="B11072" t="n">
        <v>54615</v>
      </c>
      <c r="C11072" t="inlineStr">
        <is>
          <t>1428/04/21</t>
        </is>
      </c>
    </row>
    <row r="11073">
      <c r="A11073" t="n">
        <v>14280422</v>
      </c>
      <c r="B11073" t="n">
        <v>54616</v>
      </c>
      <c r="C11073" t="inlineStr">
        <is>
          <t>1428/04/22</t>
        </is>
      </c>
    </row>
    <row r="11074">
      <c r="A11074" t="n">
        <v>14280423</v>
      </c>
      <c r="B11074" t="n">
        <v>54617</v>
      </c>
      <c r="C11074" t="inlineStr">
        <is>
          <t>1428/04/23</t>
        </is>
      </c>
    </row>
    <row r="11075">
      <c r="A11075" t="n">
        <v>14280424</v>
      </c>
      <c r="B11075" t="n">
        <v>54618</v>
      </c>
      <c r="C11075" t="inlineStr">
        <is>
          <t>1428/04/24</t>
        </is>
      </c>
    </row>
    <row r="11076">
      <c r="A11076" t="n">
        <v>14280425</v>
      </c>
      <c r="B11076" t="n">
        <v>54619</v>
      </c>
      <c r="C11076" t="inlineStr">
        <is>
          <t>1428/04/25</t>
        </is>
      </c>
    </row>
    <row r="11077">
      <c r="A11077" t="n">
        <v>14280426</v>
      </c>
      <c r="B11077" t="n">
        <v>54620</v>
      </c>
      <c r="C11077" t="inlineStr">
        <is>
          <t>1428/04/26</t>
        </is>
      </c>
    </row>
    <row r="11078">
      <c r="A11078" t="n">
        <v>14280427</v>
      </c>
      <c r="B11078" t="n">
        <v>54621</v>
      </c>
      <c r="C11078" t="inlineStr">
        <is>
          <t>1428/04/27</t>
        </is>
      </c>
    </row>
    <row r="11079">
      <c r="A11079" t="n">
        <v>14280428</v>
      </c>
      <c r="B11079" t="n">
        <v>54622</v>
      </c>
      <c r="C11079" t="inlineStr">
        <is>
          <t>1428/04/28</t>
        </is>
      </c>
    </row>
    <row r="11080">
      <c r="A11080" t="n">
        <v>14280429</v>
      </c>
      <c r="B11080" t="n">
        <v>54623</v>
      </c>
      <c r="C11080" t="inlineStr">
        <is>
          <t>1428/04/29</t>
        </is>
      </c>
    </row>
    <row r="11081">
      <c r="A11081" t="n">
        <v>14280430</v>
      </c>
      <c r="B11081" t="n">
        <v>54624</v>
      </c>
      <c r="C11081" t="inlineStr">
        <is>
          <t>1428/04/30</t>
        </is>
      </c>
    </row>
    <row r="11082">
      <c r="A11082" t="n">
        <v>14280431</v>
      </c>
      <c r="B11082" t="n">
        <v>54625</v>
      </c>
      <c r="C11082" t="inlineStr">
        <is>
          <t>1428/04/31</t>
        </is>
      </c>
    </row>
    <row r="11083">
      <c r="A11083" t="n">
        <v>14280501</v>
      </c>
      <c r="B11083" t="n">
        <v>54626</v>
      </c>
      <c r="C11083" t="inlineStr">
        <is>
          <t>1428/05/01</t>
        </is>
      </c>
    </row>
    <row r="11084">
      <c r="A11084" t="n">
        <v>14280502</v>
      </c>
      <c r="B11084" t="n">
        <v>54627</v>
      </c>
      <c r="C11084" t="inlineStr">
        <is>
          <t>1428/05/02</t>
        </is>
      </c>
    </row>
    <row r="11085">
      <c r="A11085" t="n">
        <v>14280503</v>
      </c>
      <c r="B11085" t="n">
        <v>54628</v>
      </c>
      <c r="C11085" t="inlineStr">
        <is>
          <t>1428/05/03</t>
        </is>
      </c>
    </row>
    <row r="11086">
      <c r="A11086" t="n">
        <v>14280504</v>
      </c>
      <c r="B11086" t="n">
        <v>54629</v>
      </c>
      <c r="C11086" t="inlineStr">
        <is>
          <t>1428/05/04</t>
        </is>
      </c>
    </row>
    <row r="11087">
      <c r="A11087" t="n">
        <v>14280505</v>
      </c>
      <c r="B11087" t="n">
        <v>54630</v>
      </c>
      <c r="C11087" t="inlineStr">
        <is>
          <t>1428/05/05</t>
        </is>
      </c>
    </row>
    <row r="11088">
      <c r="A11088" t="n">
        <v>14280506</v>
      </c>
      <c r="B11088" t="n">
        <v>54631</v>
      </c>
      <c r="C11088" t="inlineStr">
        <is>
          <t>1428/05/06</t>
        </is>
      </c>
    </row>
    <row r="11089">
      <c r="A11089" t="n">
        <v>14280507</v>
      </c>
      <c r="B11089" t="n">
        <v>54632</v>
      </c>
      <c r="C11089" t="inlineStr">
        <is>
          <t>1428/05/07</t>
        </is>
      </c>
    </row>
    <row r="11090">
      <c r="A11090" t="n">
        <v>14280508</v>
      </c>
      <c r="B11090" t="n">
        <v>54633</v>
      </c>
      <c r="C11090" t="inlineStr">
        <is>
          <t>1428/05/08</t>
        </is>
      </c>
    </row>
    <row r="11091">
      <c r="A11091" t="n">
        <v>14280509</v>
      </c>
      <c r="B11091" t="n">
        <v>54634</v>
      </c>
      <c r="C11091" t="inlineStr">
        <is>
          <t>1428/05/09</t>
        </is>
      </c>
    </row>
    <row r="11092">
      <c r="A11092" t="n">
        <v>14280510</v>
      </c>
      <c r="B11092" t="n">
        <v>54635</v>
      </c>
      <c r="C11092" t="inlineStr">
        <is>
          <t>1428/05/10</t>
        </is>
      </c>
    </row>
    <row r="11093">
      <c r="A11093" t="n">
        <v>14280511</v>
      </c>
      <c r="B11093" t="n">
        <v>54636</v>
      </c>
      <c r="C11093" t="inlineStr">
        <is>
          <t>1428/05/11</t>
        </is>
      </c>
    </row>
    <row r="11094">
      <c r="A11094" t="n">
        <v>14280512</v>
      </c>
      <c r="B11094" t="n">
        <v>54637</v>
      </c>
      <c r="C11094" t="inlineStr">
        <is>
          <t>1428/05/12</t>
        </is>
      </c>
    </row>
    <row r="11095">
      <c r="A11095" t="n">
        <v>14280513</v>
      </c>
      <c r="B11095" t="n">
        <v>54638</v>
      </c>
      <c r="C11095" t="inlineStr">
        <is>
          <t>1428/05/13</t>
        </is>
      </c>
    </row>
    <row r="11096">
      <c r="A11096" t="n">
        <v>14280514</v>
      </c>
      <c r="B11096" t="n">
        <v>54639</v>
      </c>
      <c r="C11096" t="inlineStr">
        <is>
          <t>1428/05/14</t>
        </is>
      </c>
    </row>
    <row r="11097">
      <c r="A11097" t="n">
        <v>14280515</v>
      </c>
      <c r="B11097" t="n">
        <v>54640</v>
      </c>
      <c r="C11097" t="inlineStr">
        <is>
          <t>1428/05/15</t>
        </is>
      </c>
    </row>
    <row r="11098">
      <c r="A11098" t="n">
        <v>14280516</v>
      </c>
      <c r="B11098" t="n">
        <v>54641</v>
      </c>
      <c r="C11098" t="inlineStr">
        <is>
          <t>1428/05/16</t>
        </is>
      </c>
    </row>
    <row r="11099">
      <c r="A11099" t="n">
        <v>14280517</v>
      </c>
      <c r="B11099" t="n">
        <v>54642</v>
      </c>
      <c r="C11099" t="inlineStr">
        <is>
          <t>1428/05/17</t>
        </is>
      </c>
    </row>
    <row r="11100">
      <c r="A11100" t="n">
        <v>14280518</v>
      </c>
      <c r="B11100" t="n">
        <v>54643</v>
      </c>
      <c r="C11100" t="inlineStr">
        <is>
          <t>1428/05/18</t>
        </is>
      </c>
    </row>
    <row r="11101">
      <c r="A11101" t="n">
        <v>14280519</v>
      </c>
      <c r="B11101" t="n">
        <v>54644</v>
      </c>
      <c r="C11101" t="inlineStr">
        <is>
          <t>1428/05/19</t>
        </is>
      </c>
    </row>
    <row r="11102">
      <c r="A11102" t="n">
        <v>14280520</v>
      </c>
      <c r="B11102" t="n">
        <v>54645</v>
      </c>
      <c r="C11102" t="inlineStr">
        <is>
          <t>1428/05/20</t>
        </is>
      </c>
    </row>
    <row r="11103">
      <c r="A11103" t="n">
        <v>14280521</v>
      </c>
      <c r="B11103" t="n">
        <v>54646</v>
      </c>
      <c r="C11103" t="inlineStr">
        <is>
          <t>1428/05/21</t>
        </is>
      </c>
    </row>
    <row r="11104">
      <c r="A11104" t="n">
        <v>14280522</v>
      </c>
      <c r="B11104" t="n">
        <v>54647</v>
      </c>
      <c r="C11104" t="inlineStr">
        <is>
          <t>1428/05/22</t>
        </is>
      </c>
    </row>
    <row r="11105">
      <c r="A11105" t="n">
        <v>14280523</v>
      </c>
      <c r="B11105" t="n">
        <v>54648</v>
      </c>
      <c r="C11105" t="inlineStr">
        <is>
          <t>1428/05/23</t>
        </is>
      </c>
    </row>
    <row r="11106">
      <c r="A11106" t="n">
        <v>14280524</v>
      </c>
      <c r="B11106" t="n">
        <v>54649</v>
      </c>
      <c r="C11106" t="inlineStr">
        <is>
          <t>1428/05/24</t>
        </is>
      </c>
    </row>
    <row r="11107">
      <c r="A11107" t="n">
        <v>14280525</v>
      </c>
      <c r="B11107" t="n">
        <v>54650</v>
      </c>
      <c r="C11107" t="inlineStr">
        <is>
          <t>1428/05/25</t>
        </is>
      </c>
    </row>
    <row r="11108">
      <c r="A11108" t="n">
        <v>14280526</v>
      </c>
      <c r="B11108" t="n">
        <v>54651</v>
      </c>
      <c r="C11108" t="inlineStr">
        <is>
          <t>1428/05/26</t>
        </is>
      </c>
    </row>
    <row r="11109">
      <c r="A11109" t="n">
        <v>14280527</v>
      </c>
      <c r="B11109" t="n">
        <v>54652</v>
      </c>
      <c r="C11109" t="inlineStr">
        <is>
          <t>1428/05/27</t>
        </is>
      </c>
    </row>
    <row r="11110">
      <c r="A11110" t="n">
        <v>14280528</v>
      </c>
      <c r="B11110" t="n">
        <v>54653</v>
      </c>
      <c r="C11110" t="inlineStr">
        <is>
          <t>1428/05/28</t>
        </is>
      </c>
    </row>
    <row r="11111">
      <c r="A11111" t="n">
        <v>14280529</v>
      </c>
      <c r="B11111" t="n">
        <v>54654</v>
      </c>
      <c r="C11111" t="inlineStr">
        <is>
          <t>1428/05/29</t>
        </is>
      </c>
    </row>
    <row r="11112">
      <c r="A11112" t="n">
        <v>14280530</v>
      </c>
      <c r="B11112" t="n">
        <v>54655</v>
      </c>
      <c r="C11112" t="inlineStr">
        <is>
          <t>1428/05/30</t>
        </is>
      </c>
    </row>
    <row r="11113">
      <c r="A11113" t="n">
        <v>14280531</v>
      </c>
      <c r="B11113" t="n">
        <v>54656</v>
      </c>
      <c r="C11113" t="inlineStr">
        <is>
          <t>1428/05/31</t>
        </is>
      </c>
    </row>
    <row r="11114">
      <c r="A11114" t="n">
        <v>14280601</v>
      </c>
      <c r="B11114" t="n">
        <v>54657</v>
      </c>
      <c r="C11114" t="inlineStr">
        <is>
          <t>1428/06/01</t>
        </is>
      </c>
    </row>
    <row r="11115">
      <c r="A11115" t="n">
        <v>14280602</v>
      </c>
      <c r="B11115" t="n">
        <v>54658</v>
      </c>
      <c r="C11115" t="inlineStr">
        <is>
          <t>1428/06/02</t>
        </is>
      </c>
    </row>
    <row r="11116">
      <c r="A11116" t="n">
        <v>14280603</v>
      </c>
      <c r="B11116" t="n">
        <v>54659</v>
      </c>
      <c r="C11116" t="inlineStr">
        <is>
          <t>1428/06/03</t>
        </is>
      </c>
    </row>
    <row r="11117">
      <c r="A11117" t="n">
        <v>14280604</v>
      </c>
      <c r="B11117" t="n">
        <v>54660</v>
      </c>
      <c r="C11117" t="inlineStr">
        <is>
          <t>1428/06/04</t>
        </is>
      </c>
    </row>
    <row r="11118">
      <c r="A11118" t="n">
        <v>14280605</v>
      </c>
      <c r="B11118" t="n">
        <v>54661</v>
      </c>
      <c r="C11118" t="inlineStr">
        <is>
          <t>1428/06/05</t>
        </is>
      </c>
    </row>
    <row r="11119">
      <c r="A11119" t="n">
        <v>14280606</v>
      </c>
      <c r="B11119" t="n">
        <v>54662</v>
      </c>
      <c r="C11119" t="inlineStr">
        <is>
          <t>1428/06/06</t>
        </is>
      </c>
    </row>
    <row r="11120">
      <c r="A11120" t="n">
        <v>14280607</v>
      </c>
      <c r="B11120" t="n">
        <v>54663</v>
      </c>
      <c r="C11120" t="inlineStr">
        <is>
          <t>1428/06/07</t>
        </is>
      </c>
    </row>
    <row r="11121">
      <c r="A11121" t="n">
        <v>14280608</v>
      </c>
      <c r="B11121" t="n">
        <v>54664</v>
      </c>
      <c r="C11121" t="inlineStr">
        <is>
          <t>1428/06/08</t>
        </is>
      </c>
    </row>
    <row r="11122">
      <c r="A11122" t="n">
        <v>14280609</v>
      </c>
      <c r="B11122" t="n">
        <v>54665</v>
      </c>
      <c r="C11122" t="inlineStr">
        <is>
          <t>1428/06/09</t>
        </is>
      </c>
    </row>
    <row r="11123">
      <c r="A11123" t="n">
        <v>14280610</v>
      </c>
      <c r="B11123" t="n">
        <v>54666</v>
      </c>
      <c r="C11123" t="inlineStr">
        <is>
          <t>1428/06/10</t>
        </is>
      </c>
    </row>
    <row r="11124">
      <c r="A11124" t="n">
        <v>14280611</v>
      </c>
      <c r="B11124" t="n">
        <v>54667</v>
      </c>
      <c r="C11124" t="inlineStr">
        <is>
          <t>1428/06/11</t>
        </is>
      </c>
    </row>
    <row r="11125">
      <c r="A11125" t="n">
        <v>14280612</v>
      </c>
      <c r="B11125" t="n">
        <v>54668</v>
      </c>
      <c r="C11125" t="inlineStr">
        <is>
          <t>1428/06/12</t>
        </is>
      </c>
    </row>
    <row r="11126">
      <c r="A11126" t="n">
        <v>14280613</v>
      </c>
      <c r="B11126" t="n">
        <v>54669</v>
      </c>
      <c r="C11126" t="inlineStr">
        <is>
          <t>1428/06/13</t>
        </is>
      </c>
    </row>
    <row r="11127">
      <c r="A11127" t="n">
        <v>14280614</v>
      </c>
      <c r="B11127" t="n">
        <v>54670</v>
      </c>
      <c r="C11127" t="inlineStr">
        <is>
          <t>1428/06/14</t>
        </is>
      </c>
    </row>
    <row r="11128">
      <c r="A11128" t="n">
        <v>14280615</v>
      </c>
      <c r="B11128" t="n">
        <v>54671</v>
      </c>
      <c r="C11128" t="inlineStr">
        <is>
          <t>1428/06/15</t>
        </is>
      </c>
    </row>
    <row r="11129">
      <c r="A11129" t="n">
        <v>14280616</v>
      </c>
      <c r="B11129" t="n">
        <v>54672</v>
      </c>
      <c r="C11129" t="inlineStr">
        <is>
          <t>1428/06/16</t>
        </is>
      </c>
    </row>
    <row r="11130">
      <c r="A11130" t="n">
        <v>14280617</v>
      </c>
      <c r="B11130" t="n">
        <v>54673</v>
      </c>
      <c r="C11130" t="inlineStr">
        <is>
          <t>1428/06/17</t>
        </is>
      </c>
    </row>
    <row r="11131">
      <c r="A11131" t="n">
        <v>14280618</v>
      </c>
      <c r="B11131" t="n">
        <v>54674</v>
      </c>
      <c r="C11131" t="inlineStr">
        <is>
          <t>1428/06/18</t>
        </is>
      </c>
    </row>
    <row r="11132">
      <c r="A11132" t="n">
        <v>14280619</v>
      </c>
      <c r="B11132" t="n">
        <v>54675</v>
      </c>
      <c r="C11132" t="inlineStr">
        <is>
          <t>1428/06/19</t>
        </is>
      </c>
    </row>
    <row r="11133">
      <c r="A11133" t="n">
        <v>14280620</v>
      </c>
      <c r="B11133" t="n">
        <v>54676</v>
      </c>
      <c r="C11133" t="inlineStr">
        <is>
          <t>1428/06/20</t>
        </is>
      </c>
    </row>
    <row r="11134">
      <c r="A11134" t="n">
        <v>14280621</v>
      </c>
      <c r="B11134" t="n">
        <v>54677</v>
      </c>
      <c r="C11134" t="inlineStr">
        <is>
          <t>1428/06/21</t>
        </is>
      </c>
    </row>
    <row r="11135">
      <c r="A11135" t="n">
        <v>14280622</v>
      </c>
      <c r="B11135" t="n">
        <v>54678</v>
      </c>
      <c r="C11135" t="inlineStr">
        <is>
          <t>1428/06/22</t>
        </is>
      </c>
    </row>
    <row r="11136">
      <c r="A11136" t="n">
        <v>14280623</v>
      </c>
      <c r="B11136" t="n">
        <v>54679</v>
      </c>
      <c r="C11136" t="inlineStr">
        <is>
          <t>1428/06/23</t>
        </is>
      </c>
    </row>
    <row r="11137">
      <c r="A11137" t="n">
        <v>14280624</v>
      </c>
      <c r="B11137" t="n">
        <v>54680</v>
      </c>
      <c r="C11137" t="inlineStr">
        <is>
          <t>1428/06/24</t>
        </is>
      </c>
    </row>
    <row r="11138">
      <c r="A11138" t="n">
        <v>14280625</v>
      </c>
      <c r="B11138" t="n">
        <v>54681</v>
      </c>
      <c r="C11138" t="inlineStr">
        <is>
          <t>1428/06/25</t>
        </is>
      </c>
    </row>
    <row r="11139">
      <c r="A11139" t="n">
        <v>14280626</v>
      </c>
      <c r="B11139" t="n">
        <v>54682</v>
      </c>
      <c r="C11139" t="inlineStr">
        <is>
          <t>1428/06/26</t>
        </is>
      </c>
    </row>
    <row r="11140">
      <c r="A11140" t="n">
        <v>14280627</v>
      </c>
      <c r="B11140" t="n">
        <v>54683</v>
      </c>
      <c r="C11140" t="inlineStr">
        <is>
          <t>1428/06/27</t>
        </is>
      </c>
    </row>
    <row r="11141">
      <c r="A11141" t="n">
        <v>14280628</v>
      </c>
      <c r="B11141" t="n">
        <v>54684</v>
      </c>
      <c r="C11141" t="inlineStr">
        <is>
          <t>1428/06/28</t>
        </is>
      </c>
    </row>
    <row r="11142">
      <c r="A11142" t="n">
        <v>14280629</v>
      </c>
      <c r="B11142" t="n">
        <v>54685</v>
      </c>
      <c r="C11142" t="inlineStr">
        <is>
          <t>1428/06/29</t>
        </is>
      </c>
    </row>
    <row r="11143">
      <c r="A11143" t="n">
        <v>14280630</v>
      </c>
      <c r="B11143" t="n">
        <v>54686</v>
      </c>
      <c r="C11143" t="inlineStr">
        <is>
          <t>1428/06/30</t>
        </is>
      </c>
    </row>
    <row r="11144">
      <c r="A11144" t="n">
        <v>14280631</v>
      </c>
      <c r="B11144" t="n">
        <v>54687</v>
      </c>
      <c r="C11144" t="inlineStr">
        <is>
          <t>1428/06/31</t>
        </is>
      </c>
    </row>
    <row r="11145">
      <c r="A11145" t="n">
        <v>14280701</v>
      </c>
      <c r="B11145" t="n">
        <v>54688</v>
      </c>
      <c r="C11145" t="inlineStr">
        <is>
          <t>1428/07/01</t>
        </is>
      </c>
    </row>
    <row r="11146">
      <c r="A11146" t="n">
        <v>14280702</v>
      </c>
      <c r="B11146" t="n">
        <v>54689</v>
      </c>
      <c r="C11146" t="inlineStr">
        <is>
          <t>1428/07/02</t>
        </is>
      </c>
    </row>
    <row r="11147">
      <c r="A11147" t="n">
        <v>14280703</v>
      </c>
      <c r="B11147" t="n">
        <v>54690</v>
      </c>
      <c r="C11147" t="inlineStr">
        <is>
          <t>1428/07/03</t>
        </is>
      </c>
    </row>
    <row r="11148">
      <c r="A11148" t="n">
        <v>14280704</v>
      </c>
      <c r="B11148" t="n">
        <v>54691</v>
      </c>
      <c r="C11148" t="inlineStr">
        <is>
          <t>1428/07/04</t>
        </is>
      </c>
    </row>
    <row r="11149">
      <c r="A11149" t="n">
        <v>14280705</v>
      </c>
      <c r="B11149" t="n">
        <v>54692</v>
      </c>
      <c r="C11149" t="inlineStr">
        <is>
          <t>1428/07/05</t>
        </is>
      </c>
    </row>
    <row r="11150">
      <c r="A11150" t="n">
        <v>14280706</v>
      </c>
      <c r="B11150" t="n">
        <v>54693</v>
      </c>
      <c r="C11150" t="inlineStr">
        <is>
          <t>1428/07/06</t>
        </is>
      </c>
    </row>
    <row r="11151">
      <c r="A11151" t="n">
        <v>14280707</v>
      </c>
      <c r="B11151" t="n">
        <v>54694</v>
      </c>
      <c r="C11151" t="inlineStr">
        <is>
          <t>1428/07/07</t>
        </is>
      </c>
    </row>
    <row r="11152">
      <c r="A11152" t="n">
        <v>14280708</v>
      </c>
      <c r="B11152" t="n">
        <v>54695</v>
      </c>
      <c r="C11152" t="inlineStr">
        <is>
          <t>1428/07/08</t>
        </is>
      </c>
    </row>
    <row r="11153">
      <c r="A11153" t="n">
        <v>14280709</v>
      </c>
      <c r="B11153" t="n">
        <v>54696</v>
      </c>
      <c r="C11153" t="inlineStr">
        <is>
          <t>1428/07/09</t>
        </is>
      </c>
    </row>
    <row r="11154">
      <c r="A11154" t="n">
        <v>14280710</v>
      </c>
      <c r="B11154" t="n">
        <v>54697</v>
      </c>
      <c r="C11154" t="inlineStr">
        <is>
          <t>1428/07/10</t>
        </is>
      </c>
    </row>
    <row r="11155">
      <c r="A11155" t="n">
        <v>14280711</v>
      </c>
      <c r="B11155" t="n">
        <v>54698</v>
      </c>
      <c r="C11155" t="inlineStr">
        <is>
          <t>1428/07/11</t>
        </is>
      </c>
    </row>
    <row r="11156">
      <c r="A11156" t="n">
        <v>14280712</v>
      </c>
      <c r="B11156" t="n">
        <v>54699</v>
      </c>
      <c r="C11156" t="inlineStr">
        <is>
          <t>1428/07/12</t>
        </is>
      </c>
    </row>
    <row r="11157">
      <c r="A11157" t="n">
        <v>14280713</v>
      </c>
      <c r="B11157" t="n">
        <v>54700</v>
      </c>
      <c r="C11157" t="inlineStr">
        <is>
          <t>1428/07/13</t>
        </is>
      </c>
    </row>
    <row r="11158">
      <c r="A11158" t="n">
        <v>14280714</v>
      </c>
      <c r="B11158" t="n">
        <v>54701</v>
      </c>
      <c r="C11158" t="inlineStr">
        <is>
          <t>1428/07/14</t>
        </is>
      </c>
    </row>
    <row r="11159">
      <c r="A11159" t="n">
        <v>14280715</v>
      </c>
      <c r="B11159" t="n">
        <v>54702</v>
      </c>
      <c r="C11159" t="inlineStr">
        <is>
          <t>1428/07/15</t>
        </is>
      </c>
    </row>
    <row r="11160">
      <c r="A11160" t="n">
        <v>14280716</v>
      </c>
      <c r="B11160" t="n">
        <v>54703</v>
      </c>
      <c r="C11160" t="inlineStr">
        <is>
          <t>1428/07/16</t>
        </is>
      </c>
    </row>
    <row r="11161">
      <c r="A11161" t="n">
        <v>14280717</v>
      </c>
      <c r="B11161" t="n">
        <v>54704</v>
      </c>
      <c r="C11161" t="inlineStr">
        <is>
          <t>1428/07/17</t>
        </is>
      </c>
    </row>
    <row r="11162">
      <c r="A11162" t="n">
        <v>14280718</v>
      </c>
      <c r="B11162" t="n">
        <v>54705</v>
      </c>
      <c r="C11162" t="inlineStr">
        <is>
          <t>1428/07/18</t>
        </is>
      </c>
    </row>
    <row r="11163">
      <c r="A11163" t="n">
        <v>14280719</v>
      </c>
      <c r="B11163" t="n">
        <v>54706</v>
      </c>
      <c r="C11163" t="inlineStr">
        <is>
          <t>1428/07/19</t>
        </is>
      </c>
    </row>
    <row r="11164">
      <c r="A11164" t="n">
        <v>14280720</v>
      </c>
      <c r="B11164" t="n">
        <v>54707</v>
      </c>
      <c r="C11164" t="inlineStr">
        <is>
          <t>1428/07/20</t>
        </is>
      </c>
    </row>
    <row r="11165">
      <c r="A11165" t="n">
        <v>14280721</v>
      </c>
      <c r="B11165" t="n">
        <v>54708</v>
      </c>
      <c r="C11165" t="inlineStr">
        <is>
          <t>1428/07/21</t>
        </is>
      </c>
    </row>
    <row r="11166">
      <c r="A11166" t="n">
        <v>14280722</v>
      </c>
      <c r="B11166" t="n">
        <v>54709</v>
      </c>
      <c r="C11166" t="inlineStr">
        <is>
          <t>1428/07/22</t>
        </is>
      </c>
    </row>
    <row r="11167">
      <c r="A11167" t="n">
        <v>14280723</v>
      </c>
      <c r="B11167" t="n">
        <v>54710</v>
      </c>
      <c r="C11167" t="inlineStr">
        <is>
          <t>1428/07/23</t>
        </is>
      </c>
    </row>
    <row r="11168">
      <c r="A11168" t="n">
        <v>14280724</v>
      </c>
      <c r="B11168" t="n">
        <v>54711</v>
      </c>
      <c r="C11168" t="inlineStr">
        <is>
          <t>1428/07/24</t>
        </is>
      </c>
    </row>
    <row r="11169">
      <c r="A11169" t="n">
        <v>14280725</v>
      </c>
      <c r="B11169" t="n">
        <v>54712</v>
      </c>
      <c r="C11169" t="inlineStr">
        <is>
          <t>1428/07/25</t>
        </is>
      </c>
    </row>
    <row r="11170">
      <c r="A11170" t="n">
        <v>14280726</v>
      </c>
      <c r="B11170" t="n">
        <v>54713</v>
      </c>
      <c r="C11170" t="inlineStr">
        <is>
          <t>1428/07/26</t>
        </is>
      </c>
    </row>
    <row r="11171">
      <c r="A11171" t="n">
        <v>14280727</v>
      </c>
      <c r="B11171" t="n">
        <v>54714</v>
      </c>
      <c r="C11171" t="inlineStr">
        <is>
          <t>1428/07/27</t>
        </is>
      </c>
    </row>
    <row r="11172">
      <c r="A11172" t="n">
        <v>14280728</v>
      </c>
      <c r="B11172" t="n">
        <v>54715</v>
      </c>
      <c r="C11172" t="inlineStr">
        <is>
          <t>1428/07/28</t>
        </is>
      </c>
    </row>
    <row r="11173">
      <c r="A11173" t="n">
        <v>14280729</v>
      </c>
      <c r="B11173" t="n">
        <v>54716</v>
      </c>
      <c r="C11173" t="inlineStr">
        <is>
          <t>1428/07/29</t>
        </is>
      </c>
    </row>
    <row r="11174">
      <c r="A11174" t="n">
        <v>14280730</v>
      </c>
      <c r="B11174" t="n">
        <v>54717</v>
      </c>
      <c r="C11174" t="inlineStr">
        <is>
          <t>1428/07/30</t>
        </is>
      </c>
    </row>
    <row r="11175">
      <c r="A11175" t="n">
        <v>14280801</v>
      </c>
      <c r="B11175" t="n">
        <v>54718</v>
      </c>
      <c r="C11175" t="inlineStr">
        <is>
          <t>1428/08/01</t>
        </is>
      </c>
    </row>
    <row r="11176">
      <c r="A11176" t="n">
        <v>14280802</v>
      </c>
      <c r="B11176" t="n">
        <v>54719</v>
      </c>
      <c r="C11176" t="inlineStr">
        <is>
          <t>1428/08/02</t>
        </is>
      </c>
    </row>
    <row r="11177">
      <c r="A11177" t="n">
        <v>14280803</v>
      </c>
      <c r="B11177" t="n">
        <v>54720</v>
      </c>
      <c r="C11177" t="inlineStr">
        <is>
          <t>1428/08/03</t>
        </is>
      </c>
    </row>
    <row r="11178">
      <c r="A11178" t="n">
        <v>14280804</v>
      </c>
      <c r="B11178" t="n">
        <v>54721</v>
      </c>
      <c r="C11178" t="inlineStr">
        <is>
          <t>1428/08/04</t>
        </is>
      </c>
    </row>
    <row r="11179">
      <c r="A11179" t="n">
        <v>14280805</v>
      </c>
      <c r="B11179" t="n">
        <v>54722</v>
      </c>
      <c r="C11179" t="inlineStr">
        <is>
          <t>1428/08/05</t>
        </is>
      </c>
    </row>
    <row r="11180">
      <c r="A11180" t="n">
        <v>14280806</v>
      </c>
      <c r="B11180" t="n">
        <v>54723</v>
      </c>
      <c r="C11180" t="inlineStr">
        <is>
          <t>1428/08/06</t>
        </is>
      </c>
    </row>
    <row r="11181">
      <c r="A11181" t="n">
        <v>14280807</v>
      </c>
      <c r="B11181" t="n">
        <v>54724</v>
      </c>
      <c r="C11181" t="inlineStr">
        <is>
          <t>1428/08/07</t>
        </is>
      </c>
    </row>
    <row r="11182">
      <c r="A11182" t="n">
        <v>14280808</v>
      </c>
      <c r="B11182" t="n">
        <v>54725</v>
      </c>
      <c r="C11182" t="inlineStr">
        <is>
          <t>1428/08/08</t>
        </is>
      </c>
    </row>
    <row r="11183">
      <c r="A11183" t="n">
        <v>14280809</v>
      </c>
      <c r="B11183" t="n">
        <v>54726</v>
      </c>
      <c r="C11183" t="inlineStr">
        <is>
          <t>1428/08/09</t>
        </is>
      </c>
    </row>
    <row r="11184">
      <c r="A11184" t="n">
        <v>14280810</v>
      </c>
      <c r="B11184" t="n">
        <v>54727</v>
      </c>
      <c r="C11184" t="inlineStr">
        <is>
          <t>1428/08/10</t>
        </is>
      </c>
    </row>
    <row r="11185">
      <c r="A11185" t="n">
        <v>14280811</v>
      </c>
      <c r="B11185" t="n">
        <v>54728</v>
      </c>
      <c r="C11185" t="inlineStr">
        <is>
          <t>1428/08/11</t>
        </is>
      </c>
    </row>
    <row r="11186">
      <c r="A11186" t="n">
        <v>14280812</v>
      </c>
      <c r="B11186" t="n">
        <v>54729</v>
      </c>
      <c r="C11186" t="inlineStr">
        <is>
          <t>1428/08/12</t>
        </is>
      </c>
    </row>
    <row r="11187">
      <c r="A11187" t="n">
        <v>14280813</v>
      </c>
      <c r="B11187" t="n">
        <v>54730</v>
      </c>
      <c r="C11187" t="inlineStr">
        <is>
          <t>1428/08/13</t>
        </is>
      </c>
    </row>
    <row r="11188">
      <c r="A11188" t="n">
        <v>14280814</v>
      </c>
      <c r="B11188" t="n">
        <v>54731</v>
      </c>
      <c r="C11188" t="inlineStr">
        <is>
          <t>1428/08/14</t>
        </is>
      </c>
    </row>
    <row r="11189">
      <c r="A11189" t="n">
        <v>14280815</v>
      </c>
      <c r="B11189" t="n">
        <v>54732</v>
      </c>
      <c r="C11189" t="inlineStr">
        <is>
          <t>1428/08/15</t>
        </is>
      </c>
    </row>
    <row r="11190">
      <c r="A11190" t="n">
        <v>14280816</v>
      </c>
      <c r="B11190" t="n">
        <v>54733</v>
      </c>
      <c r="C11190" t="inlineStr">
        <is>
          <t>1428/08/16</t>
        </is>
      </c>
    </row>
    <row r="11191">
      <c r="A11191" t="n">
        <v>14280817</v>
      </c>
      <c r="B11191" t="n">
        <v>54734</v>
      </c>
      <c r="C11191" t="inlineStr">
        <is>
          <t>1428/08/17</t>
        </is>
      </c>
    </row>
    <row r="11192">
      <c r="A11192" t="n">
        <v>14280818</v>
      </c>
      <c r="B11192" t="n">
        <v>54735</v>
      </c>
      <c r="C11192" t="inlineStr">
        <is>
          <t>1428/08/18</t>
        </is>
      </c>
    </row>
    <row r="11193">
      <c r="A11193" t="n">
        <v>14280819</v>
      </c>
      <c r="B11193" t="n">
        <v>54736</v>
      </c>
      <c r="C11193" t="inlineStr">
        <is>
          <t>1428/08/19</t>
        </is>
      </c>
    </row>
    <row r="11194">
      <c r="A11194" t="n">
        <v>14280820</v>
      </c>
      <c r="B11194" t="n">
        <v>54737</v>
      </c>
      <c r="C11194" t="inlineStr">
        <is>
          <t>1428/08/20</t>
        </is>
      </c>
    </row>
    <row r="11195">
      <c r="A11195" t="n">
        <v>14280821</v>
      </c>
      <c r="B11195" t="n">
        <v>54738</v>
      </c>
      <c r="C11195" t="inlineStr">
        <is>
          <t>1428/08/21</t>
        </is>
      </c>
    </row>
    <row r="11196">
      <c r="A11196" t="n">
        <v>14280822</v>
      </c>
      <c r="B11196" t="n">
        <v>54739</v>
      </c>
      <c r="C11196" t="inlineStr">
        <is>
          <t>1428/08/22</t>
        </is>
      </c>
    </row>
    <row r="11197">
      <c r="A11197" t="n">
        <v>14280823</v>
      </c>
      <c r="B11197" t="n">
        <v>54740</v>
      </c>
      <c r="C11197" t="inlineStr">
        <is>
          <t>1428/08/23</t>
        </is>
      </c>
    </row>
    <row r="11198">
      <c r="A11198" t="n">
        <v>14280824</v>
      </c>
      <c r="B11198" t="n">
        <v>54741</v>
      </c>
      <c r="C11198" t="inlineStr">
        <is>
          <t>1428/08/24</t>
        </is>
      </c>
    </row>
    <row r="11199">
      <c r="A11199" t="n">
        <v>14280825</v>
      </c>
      <c r="B11199" t="n">
        <v>54742</v>
      </c>
      <c r="C11199" t="inlineStr">
        <is>
          <t>1428/08/25</t>
        </is>
      </c>
    </row>
    <row r="11200">
      <c r="A11200" t="n">
        <v>14280826</v>
      </c>
      <c r="B11200" t="n">
        <v>54743</v>
      </c>
      <c r="C11200" t="inlineStr">
        <is>
          <t>1428/08/26</t>
        </is>
      </c>
    </row>
    <row r="11201">
      <c r="A11201" t="n">
        <v>14280827</v>
      </c>
      <c r="B11201" t="n">
        <v>54744</v>
      </c>
      <c r="C11201" t="inlineStr">
        <is>
          <t>1428/08/27</t>
        </is>
      </c>
    </row>
    <row r="11202">
      <c r="A11202" t="n">
        <v>14280828</v>
      </c>
      <c r="B11202" t="n">
        <v>54745</v>
      </c>
      <c r="C11202" t="inlineStr">
        <is>
          <t>1428/08/28</t>
        </is>
      </c>
    </row>
    <row r="11203">
      <c r="A11203" t="n">
        <v>14280829</v>
      </c>
      <c r="B11203" t="n">
        <v>54746</v>
      </c>
      <c r="C11203" t="inlineStr">
        <is>
          <t>1428/08/29</t>
        </is>
      </c>
    </row>
    <row r="11204">
      <c r="A11204" t="n">
        <v>14280830</v>
      </c>
      <c r="B11204" t="n">
        <v>54747</v>
      </c>
      <c r="C11204" t="inlineStr">
        <is>
          <t>1428/08/30</t>
        </is>
      </c>
    </row>
    <row r="11205">
      <c r="A11205" t="n">
        <v>14280901</v>
      </c>
      <c r="B11205" t="n">
        <v>54748</v>
      </c>
      <c r="C11205" t="inlineStr">
        <is>
          <t>1428/09/01</t>
        </is>
      </c>
    </row>
    <row r="11206">
      <c r="A11206" t="n">
        <v>14280902</v>
      </c>
      <c r="B11206" t="n">
        <v>54749</v>
      </c>
      <c r="C11206" t="inlineStr">
        <is>
          <t>1428/09/02</t>
        </is>
      </c>
    </row>
    <row r="11207">
      <c r="A11207" t="n">
        <v>14280903</v>
      </c>
      <c r="B11207" t="n">
        <v>54750</v>
      </c>
      <c r="C11207" t="inlineStr">
        <is>
          <t>1428/09/03</t>
        </is>
      </c>
    </row>
    <row r="11208">
      <c r="A11208" t="n">
        <v>14280904</v>
      </c>
      <c r="B11208" t="n">
        <v>54751</v>
      </c>
      <c r="C11208" t="inlineStr">
        <is>
          <t>1428/09/04</t>
        </is>
      </c>
    </row>
    <row r="11209">
      <c r="A11209" t="n">
        <v>14280905</v>
      </c>
      <c r="B11209" t="n">
        <v>54752</v>
      </c>
      <c r="C11209" t="inlineStr">
        <is>
          <t>1428/09/05</t>
        </is>
      </c>
    </row>
    <row r="11210">
      <c r="A11210" t="n">
        <v>14280906</v>
      </c>
      <c r="B11210" t="n">
        <v>54753</v>
      </c>
      <c r="C11210" t="inlineStr">
        <is>
          <t>1428/09/06</t>
        </is>
      </c>
    </row>
    <row r="11211">
      <c r="A11211" t="n">
        <v>14280907</v>
      </c>
      <c r="B11211" t="n">
        <v>54754</v>
      </c>
      <c r="C11211" t="inlineStr">
        <is>
          <t>1428/09/07</t>
        </is>
      </c>
    </row>
    <row r="11212">
      <c r="A11212" t="n">
        <v>14280908</v>
      </c>
      <c r="B11212" t="n">
        <v>54755</v>
      </c>
      <c r="C11212" t="inlineStr">
        <is>
          <t>1428/09/08</t>
        </is>
      </c>
    </row>
    <row r="11213">
      <c r="A11213" t="n">
        <v>14280909</v>
      </c>
      <c r="B11213" t="n">
        <v>54756</v>
      </c>
      <c r="C11213" t="inlineStr">
        <is>
          <t>1428/09/09</t>
        </is>
      </c>
    </row>
    <row r="11214">
      <c r="A11214" t="n">
        <v>14280910</v>
      </c>
      <c r="B11214" t="n">
        <v>54757</v>
      </c>
      <c r="C11214" t="inlineStr">
        <is>
          <t>1428/09/10</t>
        </is>
      </c>
    </row>
    <row r="11215">
      <c r="A11215" t="n">
        <v>14280911</v>
      </c>
      <c r="B11215" t="n">
        <v>54758</v>
      </c>
      <c r="C11215" t="inlineStr">
        <is>
          <t>1428/09/11</t>
        </is>
      </c>
    </row>
    <row r="11216">
      <c r="A11216" t="n">
        <v>14280912</v>
      </c>
      <c r="B11216" t="n">
        <v>54759</v>
      </c>
      <c r="C11216" t="inlineStr">
        <is>
          <t>1428/09/12</t>
        </is>
      </c>
    </row>
    <row r="11217">
      <c r="A11217" t="n">
        <v>14280913</v>
      </c>
      <c r="B11217" t="n">
        <v>54760</v>
      </c>
      <c r="C11217" t="inlineStr">
        <is>
          <t>1428/09/13</t>
        </is>
      </c>
    </row>
    <row r="11218">
      <c r="A11218" t="n">
        <v>14280914</v>
      </c>
      <c r="B11218" t="n">
        <v>54761</v>
      </c>
      <c r="C11218" t="inlineStr">
        <is>
          <t>1428/09/14</t>
        </is>
      </c>
    </row>
    <row r="11219">
      <c r="A11219" t="n">
        <v>14280915</v>
      </c>
      <c r="B11219" t="n">
        <v>54762</v>
      </c>
      <c r="C11219" t="inlineStr">
        <is>
          <t>1428/09/15</t>
        </is>
      </c>
    </row>
    <row r="11220">
      <c r="A11220" t="n">
        <v>14280916</v>
      </c>
      <c r="B11220" t="n">
        <v>54763</v>
      </c>
      <c r="C11220" t="inlineStr">
        <is>
          <t>1428/09/16</t>
        </is>
      </c>
    </row>
    <row r="11221">
      <c r="A11221" t="n">
        <v>14280917</v>
      </c>
      <c r="B11221" t="n">
        <v>54764</v>
      </c>
      <c r="C11221" t="inlineStr">
        <is>
          <t>1428/09/17</t>
        </is>
      </c>
    </row>
    <row r="11222">
      <c r="A11222" t="n">
        <v>14280918</v>
      </c>
      <c r="B11222" t="n">
        <v>54765</v>
      </c>
      <c r="C11222" t="inlineStr">
        <is>
          <t>1428/09/18</t>
        </is>
      </c>
    </row>
    <row r="11223">
      <c r="A11223" t="n">
        <v>14280919</v>
      </c>
      <c r="B11223" t="n">
        <v>54766</v>
      </c>
      <c r="C11223" t="inlineStr">
        <is>
          <t>1428/09/19</t>
        </is>
      </c>
    </row>
    <row r="11224">
      <c r="A11224" t="n">
        <v>14280920</v>
      </c>
      <c r="B11224" t="n">
        <v>54767</v>
      </c>
      <c r="C11224" t="inlineStr">
        <is>
          <t>1428/09/20</t>
        </is>
      </c>
    </row>
    <row r="11225">
      <c r="A11225" t="n">
        <v>14280921</v>
      </c>
      <c r="B11225" t="n">
        <v>54768</v>
      </c>
      <c r="C11225" t="inlineStr">
        <is>
          <t>1428/09/21</t>
        </is>
      </c>
    </row>
    <row r="11226">
      <c r="A11226" t="n">
        <v>14280922</v>
      </c>
      <c r="B11226" t="n">
        <v>54769</v>
      </c>
      <c r="C11226" t="inlineStr">
        <is>
          <t>1428/09/22</t>
        </is>
      </c>
    </row>
    <row r="11227">
      <c r="A11227" t="n">
        <v>14280923</v>
      </c>
      <c r="B11227" t="n">
        <v>54770</v>
      </c>
      <c r="C11227" t="inlineStr">
        <is>
          <t>1428/09/23</t>
        </is>
      </c>
    </row>
    <row r="11228">
      <c r="A11228" t="n">
        <v>14280924</v>
      </c>
      <c r="B11228" t="n">
        <v>54771</v>
      </c>
      <c r="C11228" t="inlineStr">
        <is>
          <t>1428/09/24</t>
        </is>
      </c>
    </row>
    <row r="11229">
      <c r="A11229" t="n">
        <v>14280925</v>
      </c>
      <c r="B11229" t="n">
        <v>54772</v>
      </c>
      <c r="C11229" t="inlineStr">
        <is>
          <t>1428/09/25</t>
        </is>
      </c>
    </row>
    <row r="11230">
      <c r="A11230" t="n">
        <v>14280926</v>
      </c>
      <c r="B11230" t="n">
        <v>54773</v>
      </c>
      <c r="C11230" t="inlineStr">
        <is>
          <t>1428/09/26</t>
        </is>
      </c>
    </row>
    <row r="11231">
      <c r="A11231" t="n">
        <v>14280927</v>
      </c>
      <c r="B11231" t="n">
        <v>54774</v>
      </c>
      <c r="C11231" t="inlineStr">
        <is>
          <t>1428/09/27</t>
        </is>
      </c>
    </row>
    <row r="11232">
      <c r="A11232" t="n">
        <v>14280928</v>
      </c>
      <c r="B11232" t="n">
        <v>54775</v>
      </c>
      <c r="C11232" t="inlineStr">
        <is>
          <t>1428/09/28</t>
        </is>
      </c>
    </row>
    <row r="11233">
      <c r="A11233" t="n">
        <v>14280929</v>
      </c>
      <c r="B11233" t="n">
        <v>54776</v>
      </c>
      <c r="C11233" t="inlineStr">
        <is>
          <t>1428/09/29</t>
        </is>
      </c>
    </row>
    <row r="11234">
      <c r="A11234" t="n">
        <v>14280930</v>
      </c>
      <c r="B11234" t="n">
        <v>54777</v>
      </c>
      <c r="C11234" t="inlineStr">
        <is>
          <t>1428/09/30</t>
        </is>
      </c>
    </row>
    <row r="11235">
      <c r="A11235" t="n">
        <v>14281001</v>
      </c>
      <c r="B11235" t="n">
        <v>54778</v>
      </c>
      <c r="C11235" t="inlineStr">
        <is>
          <t>1428/10/01</t>
        </is>
      </c>
    </row>
    <row r="11236">
      <c r="A11236" t="n">
        <v>14281002</v>
      </c>
      <c r="B11236" t="n">
        <v>54779</v>
      </c>
      <c r="C11236" t="inlineStr">
        <is>
          <t>1428/10/02</t>
        </is>
      </c>
    </row>
    <row r="11237">
      <c r="A11237" t="n">
        <v>14281003</v>
      </c>
      <c r="B11237" t="n">
        <v>54780</v>
      </c>
      <c r="C11237" t="inlineStr">
        <is>
          <t>1428/10/03</t>
        </is>
      </c>
    </row>
    <row r="11238">
      <c r="A11238" t="n">
        <v>14281004</v>
      </c>
      <c r="B11238" t="n">
        <v>54781</v>
      </c>
      <c r="C11238" t="inlineStr">
        <is>
          <t>1428/10/04</t>
        </is>
      </c>
    </row>
    <row r="11239">
      <c r="A11239" t="n">
        <v>14281005</v>
      </c>
      <c r="B11239" t="n">
        <v>54782</v>
      </c>
      <c r="C11239" t="inlineStr">
        <is>
          <t>1428/10/05</t>
        </is>
      </c>
    </row>
    <row r="11240">
      <c r="A11240" t="n">
        <v>14281006</v>
      </c>
      <c r="B11240" t="n">
        <v>54783</v>
      </c>
      <c r="C11240" t="inlineStr">
        <is>
          <t>1428/10/06</t>
        </is>
      </c>
    </row>
    <row r="11241">
      <c r="A11241" t="n">
        <v>14281007</v>
      </c>
      <c r="B11241" t="n">
        <v>54784</v>
      </c>
      <c r="C11241" t="inlineStr">
        <is>
          <t>1428/10/07</t>
        </is>
      </c>
    </row>
    <row r="11242">
      <c r="A11242" t="n">
        <v>14281008</v>
      </c>
      <c r="B11242" t="n">
        <v>54785</v>
      </c>
      <c r="C11242" t="inlineStr">
        <is>
          <t>1428/10/08</t>
        </is>
      </c>
    </row>
    <row r="11243">
      <c r="A11243" t="n">
        <v>14281009</v>
      </c>
      <c r="B11243" t="n">
        <v>54786</v>
      </c>
      <c r="C11243" t="inlineStr">
        <is>
          <t>1428/10/09</t>
        </is>
      </c>
    </row>
    <row r="11244">
      <c r="A11244" t="n">
        <v>14281010</v>
      </c>
      <c r="B11244" t="n">
        <v>54787</v>
      </c>
      <c r="C11244" t="inlineStr">
        <is>
          <t>1428/10/10</t>
        </is>
      </c>
    </row>
    <row r="11245">
      <c r="A11245" t="n">
        <v>14281011</v>
      </c>
      <c r="B11245" t="n">
        <v>54788</v>
      </c>
      <c r="C11245" t="inlineStr">
        <is>
          <t>1428/10/11</t>
        </is>
      </c>
    </row>
    <row r="11246">
      <c r="A11246" t="n">
        <v>14281012</v>
      </c>
      <c r="B11246" t="n">
        <v>54789</v>
      </c>
      <c r="C11246" t="inlineStr">
        <is>
          <t>1428/10/12</t>
        </is>
      </c>
    </row>
    <row r="11247">
      <c r="A11247" t="n">
        <v>14281013</v>
      </c>
      <c r="B11247" t="n">
        <v>54790</v>
      </c>
      <c r="C11247" t="inlineStr">
        <is>
          <t>1428/10/13</t>
        </is>
      </c>
    </row>
    <row r="11248">
      <c r="A11248" t="n">
        <v>14281014</v>
      </c>
      <c r="B11248" t="n">
        <v>54791</v>
      </c>
      <c r="C11248" t="inlineStr">
        <is>
          <t>1428/10/14</t>
        </is>
      </c>
    </row>
    <row r="11249">
      <c r="A11249" t="n">
        <v>14281015</v>
      </c>
      <c r="B11249" t="n">
        <v>54792</v>
      </c>
      <c r="C11249" t="inlineStr">
        <is>
          <t>1428/10/15</t>
        </is>
      </c>
    </row>
    <row r="11250">
      <c r="A11250" t="n">
        <v>14281016</v>
      </c>
      <c r="B11250" t="n">
        <v>54793</v>
      </c>
      <c r="C11250" t="inlineStr">
        <is>
          <t>1428/10/16</t>
        </is>
      </c>
    </row>
    <row r="11251">
      <c r="A11251" t="n">
        <v>14281017</v>
      </c>
      <c r="B11251" t="n">
        <v>54794</v>
      </c>
      <c r="C11251" t="inlineStr">
        <is>
          <t>1428/10/17</t>
        </is>
      </c>
    </row>
    <row r="11252">
      <c r="A11252" t="n">
        <v>14281018</v>
      </c>
      <c r="B11252" t="n">
        <v>54795</v>
      </c>
      <c r="C11252" t="inlineStr">
        <is>
          <t>1428/10/18</t>
        </is>
      </c>
    </row>
    <row r="11253">
      <c r="A11253" t="n">
        <v>14281019</v>
      </c>
      <c r="B11253" t="n">
        <v>54796</v>
      </c>
      <c r="C11253" t="inlineStr">
        <is>
          <t>1428/10/19</t>
        </is>
      </c>
    </row>
    <row r="11254">
      <c r="A11254" t="n">
        <v>14281020</v>
      </c>
      <c r="B11254" t="n">
        <v>54797</v>
      </c>
      <c r="C11254" t="inlineStr">
        <is>
          <t>1428/10/20</t>
        </is>
      </c>
    </row>
    <row r="11255">
      <c r="A11255" t="n">
        <v>14281021</v>
      </c>
      <c r="B11255" t="n">
        <v>54798</v>
      </c>
      <c r="C11255" t="inlineStr">
        <is>
          <t>1428/10/21</t>
        </is>
      </c>
    </row>
    <row r="11256">
      <c r="A11256" t="n">
        <v>14281022</v>
      </c>
      <c r="B11256" t="n">
        <v>54799</v>
      </c>
      <c r="C11256" t="inlineStr">
        <is>
          <t>1428/10/22</t>
        </is>
      </c>
    </row>
    <row r="11257">
      <c r="A11257" t="n">
        <v>14281023</v>
      </c>
      <c r="B11257" t="n">
        <v>54800</v>
      </c>
      <c r="C11257" t="inlineStr">
        <is>
          <t>1428/10/23</t>
        </is>
      </c>
    </row>
    <row r="11258">
      <c r="A11258" t="n">
        <v>14281024</v>
      </c>
      <c r="B11258" t="n">
        <v>54801</v>
      </c>
      <c r="C11258" t="inlineStr">
        <is>
          <t>1428/10/24</t>
        </is>
      </c>
    </row>
    <row r="11259">
      <c r="A11259" t="n">
        <v>14281025</v>
      </c>
      <c r="B11259" t="n">
        <v>54802</v>
      </c>
      <c r="C11259" t="inlineStr">
        <is>
          <t>1428/10/25</t>
        </is>
      </c>
    </row>
    <row r="11260">
      <c r="A11260" t="n">
        <v>14281026</v>
      </c>
      <c r="B11260" t="n">
        <v>54803</v>
      </c>
      <c r="C11260" t="inlineStr">
        <is>
          <t>1428/10/26</t>
        </is>
      </c>
    </row>
    <row r="11261">
      <c r="A11261" t="n">
        <v>14281027</v>
      </c>
      <c r="B11261" t="n">
        <v>54804</v>
      </c>
      <c r="C11261" t="inlineStr">
        <is>
          <t>1428/10/27</t>
        </is>
      </c>
    </row>
    <row r="11262">
      <c r="A11262" t="n">
        <v>14281028</v>
      </c>
      <c r="B11262" t="n">
        <v>54805</v>
      </c>
      <c r="C11262" t="inlineStr">
        <is>
          <t>1428/10/28</t>
        </is>
      </c>
    </row>
    <row r="11263">
      <c r="A11263" t="n">
        <v>14281029</v>
      </c>
      <c r="B11263" t="n">
        <v>54806</v>
      </c>
      <c r="C11263" t="inlineStr">
        <is>
          <t>1428/10/29</t>
        </is>
      </c>
    </row>
    <row r="11264">
      <c r="A11264" t="n">
        <v>14281030</v>
      </c>
      <c r="B11264" t="n">
        <v>54807</v>
      </c>
      <c r="C11264" t="inlineStr">
        <is>
          <t>1428/10/30</t>
        </is>
      </c>
    </row>
    <row r="11265">
      <c r="A11265" t="n">
        <v>14281101</v>
      </c>
      <c r="B11265" t="n">
        <v>54808</v>
      </c>
      <c r="C11265" t="inlineStr">
        <is>
          <t>1428/11/01</t>
        </is>
      </c>
    </row>
    <row r="11266">
      <c r="A11266" t="n">
        <v>14281102</v>
      </c>
      <c r="B11266" t="n">
        <v>54809</v>
      </c>
      <c r="C11266" t="inlineStr">
        <is>
          <t>1428/11/02</t>
        </is>
      </c>
    </row>
    <row r="11267">
      <c r="A11267" t="n">
        <v>14281103</v>
      </c>
      <c r="B11267" t="n">
        <v>54810</v>
      </c>
      <c r="C11267" t="inlineStr">
        <is>
          <t>1428/11/03</t>
        </is>
      </c>
    </row>
    <row r="11268">
      <c r="A11268" t="n">
        <v>14281104</v>
      </c>
      <c r="B11268" t="n">
        <v>54811</v>
      </c>
      <c r="C11268" t="inlineStr">
        <is>
          <t>1428/11/04</t>
        </is>
      </c>
    </row>
    <row r="11269">
      <c r="A11269" t="n">
        <v>14281105</v>
      </c>
      <c r="B11269" t="n">
        <v>54812</v>
      </c>
      <c r="C11269" t="inlineStr">
        <is>
          <t>1428/11/05</t>
        </is>
      </c>
    </row>
    <row r="11270">
      <c r="A11270" t="n">
        <v>14281106</v>
      </c>
      <c r="B11270" t="n">
        <v>54813</v>
      </c>
      <c r="C11270" t="inlineStr">
        <is>
          <t>1428/11/06</t>
        </is>
      </c>
    </row>
    <row r="11271">
      <c r="A11271" t="n">
        <v>14281107</v>
      </c>
      <c r="B11271" t="n">
        <v>54814</v>
      </c>
      <c r="C11271" t="inlineStr">
        <is>
          <t>1428/11/07</t>
        </is>
      </c>
    </row>
    <row r="11272">
      <c r="A11272" t="n">
        <v>14281108</v>
      </c>
      <c r="B11272" t="n">
        <v>54815</v>
      </c>
      <c r="C11272" t="inlineStr">
        <is>
          <t>1428/11/08</t>
        </is>
      </c>
    </row>
    <row r="11273">
      <c r="A11273" t="n">
        <v>14281109</v>
      </c>
      <c r="B11273" t="n">
        <v>54816</v>
      </c>
      <c r="C11273" t="inlineStr">
        <is>
          <t>1428/11/09</t>
        </is>
      </c>
    </row>
    <row r="11274">
      <c r="A11274" t="n">
        <v>14281110</v>
      </c>
      <c r="B11274" t="n">
        <v>54817</v>
      </c>
      <c r="C11274" t="inlineStr">
        <is>
          <t>1428/11/10</t>
        </is>
      </c>
    </row>
    <row r="11275">
      <c r="A11275" t="n">
        <v>14281111</v>
      </c>
      <c r="B11275" t="n">
        <v>54818</v>
      </c>
      <c r="C11275" t="inlineStr">
        <is>
          <t>1428/11/11</t>
        </is>
      </c>
    </row>
    <row r="11276">
      <c r="A11276" t="n">
        <v>14281112</v>
      </c>
      <c r="B11276" t="n">
        <v>54819</v>
      </c>
      <c r="C11276" t="inlineStr">
        <is>
          <t>1428/11/12</t>
        </is>
      </c>
    </row>
    <row r="11277">
      <c r="A11277" t="n">
        <v>14281113</v>
      </c>
      <c r="B11277" t="n">
        <v>54820</v>
      </c>
      <c r="C11277" t="inlineStr">
        <is>
          <t>1428/11/13</t>
        </is>
      </c>
    </row>
    <row r="11278">
      <c r="A11278" t="n">
        <v>14281114</v>
      </c>
      <c r="B11278" t="n">
        <v>54821</v>
      </c>
      <c r="C11278" t="inlineStr">
        <is>
          <t>1428/11/14</t>
        </is>
      </c>
    </row>
    <row r="11279">
      <c r="A11279" t="n">
        <v>14281115</v>
      </c>
      <c r="B11279" t="n">
        <v>54822</v>
      </c>
      <c r="C11279" t="inlineStr">
        <is>
          <t>1428/11/15</t>
        </is>
      </c>
    </row>
    <row r="11280">
      <c r="A11280" t="n">
        <v>14281116</v>
      </c>
      <c r="B11280" t="n">
        <v>54823</v>
      </c>
      <c r="C11280" t="inlineStr">
        <is>
          <t>1428/11/16</t>
        </is>
      </c>
    </row>
    <row r="11281">
      <c r="A11281" t="n">
        <v>14281117</v>
      </c>
      <c r="B11281" t="n">
        <v>54824</v>
      </c>
      <c r="C11281" t="inlineStr">
        <is>
          <t>1428/11/17</t>
        </is>
      </c>
    </row>
    <row r="11282">
      <c r="A11282" t="n">
        <v>14281118</v>
      </c>
      <c r="B11282" t="n">
        <v>54825</v>
      </c>
      <c r="C11282" t="inlineStr">
        <is>
          <t>1428/11/18</t>
        </is>
      </c>
    </row>
    <row r="11283">
      <c r="A11283" t="n">
        <v>14281119</v>
      </c>
      <c r="B11283" t="n">
        <v>54826</v>
      </c>
      <c r="C11283" t="inlineStr">
        <is>
          <t>1428/11/19</t>
        </is>
      </c>
    </row>
    <row r="11284">
      <c r="A11284" t="n">
        <v>14281120</v>
      </c>
      <c r="B11284" t="n">
        <v>54827</v>
      </c>
      <c r="C11284" t="inlineStr">
        <is>
          <t>1428/11/20</t>
        </is>
      </c>
    </row>
    <row r="11285">
      <c r="A11285" t="n">
        <v>14281121</v>
      </c>
      <c r="B11285" t="n">
        <v>54828</v>
      </c>
      <c r="C11285" t="inlineStr">
        <is>
          <t>1428/11/21</t>
        </is>
      </c>
    </row>
    <row r="11286">
      <c r="A11286" t="n">
        <v>14281122</v>
      </c>
      <c r="B11286" t="n">
        <v>54829</v>
      </c>
      <c r="C11286" t="inlineStr">
        <is>
          <t>1428/11/22</t>
        </is>
      </c>
    </row>
    <row r="11287">
      <c r="A11287" t="n">
        <v>14281123</v>
      </c>
      <c r="B11287" t="n">
        <v>54830</v>
      </c>
      <c r="C11287" t="inlineStr">
        <is>
          <t>1428/11/23</t>
        </is>
      </c>
    </row>
    <row r="11288">
      <c r="A11288" t="n">
        <v>14281124</v>
      </c>
      <c r="B11288" t="n">
        <v>54831</v>
      </c>
      <c r="C11288" t="inlineStr">
        <is>
          <t>1428/11/24</t>
        </is>
      </c>
    </row>
    <row r="11289">
      <c r="A11289" t="n">
        <v>14281125</v>
      </c>
      <c r="B11289" t="n">
        <v>54832</v>
      </c>
      <c r="C11289" t="inlineStr">
        <is>
          <t>1428/11/25</t>
        </is>
      </c>
    </row>
    <row r="11290">
      <c r="A11290" t="n">
        <v>14281126</v>
      </c>
      <c r="B11290" t="n">
        <v>54833</v>
      </c>
      <c r="C11290" t="inlineStr">
        <is>
          <t>1428/11/26</t>
        </is>
      </c>
    </row>
    <row r="11291">
      <c r="A11291" t="n">
        <v>14281127</v>
      </c>
      <c r="B11291" t="n">
        <v>54834</v>
      </c>
      <c r="C11291" t="inlineStr">
        <is>
          <t>1428/11/27</t>
        </is>
      </c>
    </row>
    <row r="11292">
      <c r="A11292" t="n">
        <v>14281128</v>
      </c>
      <c r="B11292" t="n">
        <v>54835</v>
      </c>
      <c r="C11292" t="inlineStr">
        <is>
          <t>1428/11/28</t>
        </is>
      </c>
    </row>
    <row r="11293">
      <c r="A11293" t="n">
        <v>14281129</v>
      </c>
      <c r="B11293" t="n">
        <v>54836</v>
      </c>
      <c r="C11293" t="inlineStr">
        <is>
          <t>1428/11/29</t>
        </is>
      </c>
    </row>
    <row r="11294">
      <c r="A11294" t="n">
        <v>14281130</v>
      </c>
      <c r="B11294" t="n">
        <v>54837</v>
      </c>
      <c r="C11294" t="inlineStr">
        <is>
          <t>1428/11/30</t>
        </is>
      </c>
    </row>
    <row r="11295">
      <c r="A11295" t="n">
        <v>14281201</v>
      </c>
      <c r="B11295" t="n">
        <v>54838</v>
      </c>
      <c r="C11295" t="inlineStr">
        <is>
          <t>1428/12/01</t>
        </is>
      </c>
    </row>
    <row r="11296">
      <c r="A11296" t="n">
        <v>14281202</v>
      </c>
      <c r="B11296" t="n">
        <v>54839</v>
      </c>
      <c r="C11296" t="inlineStr">
        <is>
          <t>1428/12/02</t>
        </is>
      </c>
    </row>
    <row r="11297">
      <c r="A11297" t="n">
        <v>14281203</v>
      </c>
      <c r="B11297" t="n">
        <v>54840</v>
      </c>
      <c r="C11297" t="inlineStr">
        <is>
          <t>1428/12/03</t>
        </is>
      </c>
    </row>
    <row r="11298">
      <c r="A11298" t="n">
        <v>14281204</v>
      </c>
      <c r="B11298" t="n">
        <v>54841</v>
      </c>
      <c r="C11298" t="inlineStr">
        <is>
          <t>1428/12/04</t>
        </is>
      </c>
    </row>
    <row r="11299">
      <c r="A11299" t="n">
        <v>14281205</v>
      </c>
      <c r="B11299" t="n">
        <v>54842</v>
      </c>
      <c r="C11299" t="inlineStr">
        <is>
          <t>1428/12/05</t>
        </is>
      </c>
    </row>
    <row r="11300">
      <c r="A11300" t="n">
        <v>14281206</v>
      </c>
      <c r="B11300" t="n">
        <v>54843</v>
      </c>
      <c r="C11300" t="inlineStr">
        <is>
          <t>1428/12/06</t>
        </is>
      </c>
    </row>
    <row r="11301">
      <c r="A11301" t="n">
        <v>14281207</v>
      </c>
      <c r="B11301" t="n">
        <v>54844</v>
      </c>
      <c r="C11301" t="inlineStr">
        <is>
          <t>1428/12/07</t>
        </is>
      </c>
    </row>
    <row r="11302">
      <c r="A11302" t="n">
        <v>14281208</v>
      </c>
      <c r="B11302" t="n">
        <v>54845</v>
      </c>
      <c r="C11302" t="inlineStr">
        <is>
          <t>1428/12/08</t>
        </is>
      </c>
    </row>
    <row r="11303">
      <c r="A11303" t="n">
        <v>14281209</v>
      </c>
      <c r="B11303" t="n">
        <v>54846</v>
      </c>
      <c r="C11303" t="inlineStr">
        <is>
          <t>1428/12/09</t>
        </is>
      </c>
    </row>
    <row r="11304">
      <c r="A11304" t="n">
        <v>14281210</v>
      </c>
      <c r="B11304" t="n">
        <v>54847</v>
      </c>
      <c r="C11304" t="inlineStr">
        <is>
          <t>1428/12/10</t>
        </is>
      </c>
    </row>
    <row r="11305">
      <c r="A11305" t="n">
        <v>14281211</v>
      </c>
      <c r="B11305" t="n">
        <v>54848</v>
      </c>
      <c r="C11305" t="inlineStr">
        <is>
          <t>1428/12/11</t>
        </is>
      </c>
    </row>
    <row r="11306">
      <c r="A11306" t="n">
        <v>14281212</v>
      </c>
      <c r="B11306" t="n">
        <v>54849</v>
      </c>
      <c r="C11306" t="inlineStr">
        <is>
          <t>1428/12/12</t>
        </is>
      </c>
    </row>
    <row r="11307">
      <c r="A11307" t="n">
        <v>14281213</v>
      </c>
      <c r="B11307" t="n">
        <v>54850</v>
      </c>
      <c r="C11307" t="inlineStr">
        <is>
          <t>1428/12/13</t>
        </is>
      </c>
    </row>
    <row r="11308">
      <c r="A11308" t="n">
        <v>14281214</v>
      </c>
      <c r="B11308" t="n">
        <v>54851</v>
      </c>
      <c r="C11308" t="inlineStr">
        <is>
          <t>1428/12/14</t>
        </is>
      </c>
    </row>
    <row r="11309">
      <c r="A11309" t="n">
        <v>14281215</v>
      </c>
      <c r="B11309" t="n">
        <v>54852</v>
      </c>
      <c r="C11309" t="inlineStr">
        <is>
          <t>1428/12/15</t>
        </is>
      </c>
    </row>
    <row r="11310">
      <c r="A11310" t="n">
        <v>14281216</v>
      </c>
      <c r="B11310" t="n">
        <v>54853</v>
      </c>
      <c r="C11310" t="inlineStr">
        <is>
          <t>1428/12/16</t>
        </is>
      </c>
    </row>
    <row r="11311">
      <c r="A11311" t="n">
        <v>14281217</v>
      </c>
      <c r="B11311" t="n">
        <v>54854</v>
      </c>
      <c r="C11311" t="inlineStr">
        <is>
          <t>1428/12/17</t>
        </is>
      </c>
    </row>
    <row r="11312">
      <c r="A11312" t="n">
        <v>14281218</v>
      </c>
      <c r="B11312" t="n">
        <v>54855</v>
      </c>
      <c r="C11312" t="inlineStr">
        <is>
          <t>1428/12/18</t>
        </is>
      </c>
    </row>
    <row r="11313">
      <c r="A11313" t="n">
        <v>14281219</v>
      </c>
      <c r="B11313" t="n">
        <v>54856</v>
      </c>
      <c r="C11313" t="inlineStr">
        <is>
          <t>1428/12/19</t>
        </is>
      </c>
    </row>
    <row r="11314">
      <c r="A11314" t="n">
        <v>14281220</v>
      </c>
      <c r="B11314" t="n">
        <v>54857</v>
      </c>
      <c r="C11314" t="inlineStr">
        <is>
          <t>1428/12/20</t>
        </is>
      </c>
    </row>
    <row r="11315">
      <c r="A11315" t="n">
        <v>14281221</v>
      </c>
      <c r="B11315" t="n">
        <v>54858</v>
      </c>
      <c r="C11315" t="inlineStr">
        <is>
          <t>1428/12/21</t>
        </is>
      </c>
    </row>
    <row r="11316">
      <c r="A11316" t="n">
        <v>14281222</v>
      </c>
      <c r="B11316" t="n">
        <v>54859</v>
      </c>
      <c r="C11316" t="inlineStr">
        <is>
          <t>1428/12/22</t>
        </is>
      </c>
    </row>
    <row r="11317">
      <c r="A11317" t="n">
        <v>14281223</v>
      </c>
      <c r="B11317" t="n">
        <v>54860</v>
      </c>
      <c r="C11317" t="inlineStr">
        <is>
          <t>1428/12/23</t>
        </is>
      </c>
    </row>
    <row r="11318">
      <c r="A11318" t="n">
        <v>14281224</v>
      </c>
      <c r="B11318" t="n">
        <v>54861</v>
      </c>
      <c r="C11318" t="inlineStr">
        <is>
          <t>1428/12/24</t>
        </is>
      </c>
    </row>
    <row r="11319">
      <c r="A11319" t="n">
        <v>14281225</v>
      </c>
      <c r="B11319" t="n">
        <v>54862</v>
      </c>
      <c r="C11319" t="inlineStr">
        <is>
          <t>1428/12/25</t>
        </is>
      </c>
    </row>
    <row r="11320">
      <c r="A11320" t="n">
        <v>14281226</v>
      </c>
      <c r="B11320" t="n">
        <v>54863</v>
      </c>
      <c r="C11320" t="inlineStr">
        <is>
          <t>1428/12/26</t>
        </is>
      </c>
    </row>
    <row r="11321">
      <c r="A11321" t="n">
        <v>14281227</v>
      </c>
      <c r="B11321" t="n">
        <v>54864</v>
      </c>
      <c r="C11321" t="inlineStr">
        <is>
          <t>1428/12/27</t>
        </is>
      </c>
    </row>
    <row r="11322">
      <c r="A11322" t="n">
        <v>14281228</v>
      </c>
      <c r="B11322" t="n">
        <v>54865</v>
      </c>
      <c r="C11322" t="inlineStr">
        <is>
          <t>1428/12/28</t>
        </is>
      </c>
    </row>
    <row r="11323">
      <c r="A11323" t="n">
        <v>14281229</v>
      </c>
      <c r="B11323" t="n">
        <v>54866</v>
      </c>
      <c r="C11323" t="inlineStr">
        <is>
          <t>1428/12/29</t>
        </is>
      </c>
    </row>
    <row r="11324">
      <c r="A11324" t="n">
        <v>14281230</v>
      </c>
      <c r="B11324" t="n">
        <v>54867</v>
      </c>
      <c r="C11324" t="inlineStr">
        <is>
          <t>1428/12/30</t>
        </is>
      </c>
    </row>
    <row r="11325">
      <c r="A11325" t="n">
        <v>14290101</v>
      </c>
      <c r="B11325" t="n">
        <v>54868</v>
      </c>
      <c r="C11325" t="inlineStr">
        <is>
          <t>1429/01/01</t>
        </is>
      </c>
    </row>
    <row r="11326">
      <c r="A11326" t="n">
        <v>14290102</v>
      </c>
      <c r="B11326" t="n">
        <v>54869</v>
      </c>
      <c r="C11326" t="inlineStr">
        <is>
          <t>1429/01/02</t>
        </is>
      </c>
    </row>
    <row r="11327">
      <c r="A11327" t="n">
        <v>14290103</v>
      </c>
      <c r="B11327" t="n">
        <v>54870</v>
      </c>
      <c r="C11327" t="inlineStr">
        <is>
          <t>1429/01/03</t>
        </is>
      </c>
    </row>
    <row r="11328">
      <c r="A11328" t="n">
        <v>14290104</v>
      </c>
      <c r="B11328" t="n">
        <v>54871</v>
      </c>
      <c r="C11328" t="inlineStr">
        <is>
          <t>1429/01/04</t>
        </is>
      </c>
    </row>
    <row r="11329">
      <c r="A11329" t="n">
        <v>14290105</v>
      </c>
      <c r="B11329" t="n">
        <v>54872</v>
      </c>
      <c r="C11329" t="inlineStr">
        <is>
          <t>1429/01/05</t>
        </is>
      </c>
    </row>
    <row r="11330">
      <c r="A11330" t="n">
        <v>14290106</v>
      </c>
      <c r="B11330" t="n">
        <v>54873</v>
      </c>
      <c r="C11330" t="inlineStr">
        <is>
          <t>1429/01/06</t>
        </is>
      </c>
    </row>
    <row r="11331">
      <c r="A11331" t="n">
        <v>14290107</v>
      </c>
      <c r="B11331" t="n">
        <v>54874</v>
      </c>
      <c r="C11331" t="inlineStr">
        <is>
          <t>1429/01/07</t>
        </is>
      </c>
    </row>
    <row r="11332">
      <c r="A11332" t="n">
        <v>14290108</v>
      </c>
      <c r="B11332" t="n">
        <v>54875</v>
      </c>
      <c r="C11332" t="inlineStr">
        <is>
          <t>1429/01/08</t>
        </is>
      </c>
    </row>
    <row r="11333">
      <c r="A11333" t="n">
        <v>14290109</v>
      </c>
      <c r="B11333" t="n">
        <v>54876</v>
      </c>
      <c r="C11333" t="inlineStr">
        <is>
          <t>1429/01/09</t>
        </is>
      </c>
    </row>
    <row r="11334">
      <c r="A11334" t="n">
        <v>14290110</v>
      </c>
      <c r="B11334" t="n">
        <v>54877</v>
      </c>
      <c r="C11334" t="inlineStr">
        <is>
          <t>1429/01/10</t>
        </is>
      </c>
    </row>
    <row r="11335">
      <c r="A11335" t="n">
        <v>14290111</v>
      </c>
      <c r="B11335" t="n">
        <v>54878</v>
      </c>
      <c r="C11335" t="inlineStr">
        <is>
          <t>1429/01/11</t>
        </is>
      </c>
    </row>
    <row r="11336">
      <c r="A11336" t="n">
        <v>14290112</v>
      </c>
      <c r="B11336" t="n">
        <v>54879</v>
      </c>
      <c r="C11336" t="inlineStr">
        <is>
          <t>1429/01/12</t>
        </is>
      </c>
    </row>
    <row r="11337">
      <c r="A11337" t="n">
        <v>14290113</v>
      </c>
      <c r="B11337" t="n">
        <v>54880</v>
      </c>
      <c r="C11337" t="inlineStr">
        <is>
          <t>1429/01/13</t>
        </is>
      </c>
    </row>
    <row r="11338">
      <c r="A11338" t="n">
        <v>14290114</v>
      </c>
      <c r="B11338" t="n">
        <v>54881</v>
      </c>
      <c r="C11338" t="inlineStr">
        <is>
          <t>1429/01/14</t>
        </is>
      </c>
    </row>
    <row r="11339">
      <c r="A11339" t="n">
        <v>14290115</v>
      </c>
      <c r="B11339" t="n">
        <v>54882</v>
      </c>
      <c r="C11339" t="inlineStr">
        <is>
          <t>1429/01/15</t>
        </is>
      </c>
    </row>
    <row r="11340">
      <c r="A11340" t="n">
        <v>14290116</v>
      </c>
      <c r="B11340" t="n">
        <v>54883</v>
      </c>
      <c r="C11340" t="inlineStr">
        <is>
          <t>1429/01/16</t>
        </is>
      </c>
    </row>
    <row r="11341">
      <c r="A11341" t="n">
        <v>14290117</v>
      </c>
      <c r="B11341" t="n">
        <v>54884</v>
      </c>
      <c r="C11341" t="inlineStr">
        <is>
          <t>1429/01/17</t>
        </is>
      </c>
    </row>
    <row r="11342">
      <c r="A11342" t="n">
        <v>14290118</v>
      </c>
      <c r="B11342" t="n">
        <v>54885</v>
      </c>
      <c r="C11342" t="inlineStr">
        <is>
          <t>1429/01/18</t>
        </is>
      </c>
    </row>
    <row r="11343">
      <c r="A11343" t="n">
        <v>14290119</v>
      </c>
      <c r="B11343" t="n">
        <v>54886</v>
      </c>
      <c r="C11343" t="inlineStr">
        <is>
          <t>1429/01/19</t>
        </is>
      </c>
    </row>
    <row r="11344">
      <c r="A11344" t="n">
        <v>14290120</v>
      </c>
      <c r="B11344" t="n">
        <v>54887</v>
      </c>
      <c r="C11344" t="inlineStr">
        <is>
          <t>1429/01/20</t>
        </is>
      </c>
    </row>
    <row r="11345">
      <c r="A11345" t="n">
        <v>14290121</v>
      </c>
      <c r="B11345" t="n">
        <v>54888</v>
      </c>
      <c r="C11345" t="inlineStr">
        <is>
          <t>1429/01/21</t>
        </is>
      </c>
    </row>
    <row r="11346">
      <c r="A11346" t="n">
        <v>14290122</v>
      </c>
      <c r="B11346" t="n">
        <v>54889</v>
      </c>
      <c r="C11346" t="inlineStr">
        <is>
          <t>1429/01/22</t>
        </is>
      </c>
    </row>
    <row r="11347">
      <c r="A11347" t="n">
        <v>14290123</v>
      </c>
      <c r="B11347" t="n">
        <v>54890</v>
      </c>
      <c r="C11347" t="inlineStr">
        <is>
          <t>1429/01/23</t>
        </is>
      </c>
    </row>
    <row r="11348">
      <c r="A11348" t="n">
        <v>14290124</v>
      </c>
      <c r="B11348" t="n">
        <v>54891</v>
      </c>
      <c r="C11348" t="inlineStr">
        <is>
          <t>1429/01/24</t>
        </is>
      </c>
    </row>
    <row r="11349">
      <c r="A11349" t="n">
        <v>14290125</v>
      </c>
      <c r="B11349" t="n">
        <v>54892</v>
      </c>
      <c r="C11349" t="inlineStr">
        <is>
          <t>1429/01/25</t>
        </is>
      </c>
    </row>
    <row r="11350">
      <c r="A11350" t="n">
        <v>14290126</v>
      </c>
      <c r="B11350" t="n">
        <v>54893</v>
      </c>
      <c r="C11350" t="inlineStr">
        <is>
          <t>1429/01/26</t>
        </is>
      </c>
    </row>
    <row r="11351">
      <c r="A11351" t="n">
        <v>14290127</v>
      </c>
      <c r="B11351" t="n">
        <v>54894</v>
      </c>
      <c r="C11351" t="inlineStr">
        <is>
          <t>1429/01/27</t>
        </is>
      </c>
    </row>
    <row r="11352">
      <c r="A11352" t="n">
        <v>14290128</v>
      </c>
      <c r="B11352" t="n">
        <v>54895</v>
      </c>
      <c r="C11352" t="inlineStr">
        <is>
          <t>1429/01/28</t>
        </is>
      </c>
    </row>
    <row r="11353">
      <c r="A11353" t="n">
        <v>14290129</v>
      </c>
      <c r="B11353" t="n">
        <v>54896</v>
      </c>
      <c r="C11353" t="inlineStr">
        <is>
          <t>1429/01/29</t>
        </is>
      </c>
    </row>
    <row r="11354">
      <c r="A11354" t="n">
        <v>14290130</v>
      </c>
      <c r="B11354" t="n">
        <v>54897</v>
      </c>
      <c r="C11354" t="inlineStr">
        <is>
          <t>1429/01/30</t>
        </is>
      </c>
    </row>
    <row r="11355">
      <c r="A11355" t="n">
        <v>14290131</v>
      </c>
      <c r="B11355" t="n">
        <v>54898</v>
      </c>
      <c r="C11355" t="inlineStr">
        <is>
          <t>1429/01/31</t>
        </is>
      </c>
    </row>
    <row r="11356">
      <c r="A11356" t="n">
        <v>14290201</v>
      </c>
      <c r="B11356" t="n">
        <v>54899</v>
      </c>
      <c r="C11356" t="inlineStr">
        <is>
          <t>1429/02/01</t>
        </is>
      </c>
    </row>
    <row r="11357">
      <c r="A11357" t="n">
        <v>14290202</v>
      </c>
      <c r="B11357" t="n">
        <v>54900</v>
      </c>
      <c r="C11357" t="inlineStr">
        <is>
          <t>1429/02/02</t>
        </is>
      </c>
    </row>
    <row r="11358">
      <c r="A11358" t="n">
        <v>14290203</v>
      </c>
      <c r="B11358" t="n">
        <v>54901</v>
      </c>
      <c r="C11358" t="inlineStr">
        <is>
          <t>1429/02/03</t>
        </is>
      </c>
    </row>
    <row r="11359">
      <c r="A11359" t="n">
        <v>14290204</v>
      </c>
      <c r="B11359" t="n">
        <v>54902</v>
      </c>
      <c r="C11359" t="inlineStr">
        <is>
          <t>1429/02/04</t>
        </is>
      </c>
    </row>
    <row r="11360">
      <c r="A11360" t="n">
        <v>14290205</v>
      </c>
      <c r="B11360" t="n">
        <v>54903</v>
      </c>
      <c r="C11360" t="inlineStr">
        <is>
          <t>1429/02/05</t>
        </is>
      </c>
    </row>
    <row r="11361">
      <c r="A11361" t="n">
        <v>14290206</v>
      </c>
      <c r="B11361" t="n">
        <v>54904</v>
      </c>
      <c r="C11361" t="inlineStr">
        <is>
          <t>1429/02/06</t>
        </is>
      </c>
    </row>
    <row r="11362">
      <c r="A11362" t="n">
        <v>14290207</v>
      </c>
      <c r="B11362" t="n">
        <v>54905</v>
      </c>
      <c r="C11362" t="inlineStr">
        <is>
          <t>1429/02/07</t>
        </is>
      </c>
    </row>
    <row r="11363">
      <c r="A11363" t="n">
        <v>14290208</v>
      </c>
      <c r="B11363" t="n">
        <v>54906</v>
      </c>
      <c r="C11363" t="inlineStr">
        <is>
          <t>1429/02/08</t>
        </is>
      </c>
    </row>
    <row r="11364">
      <c r="A11364" t="n">
        <v>14290209</v>
      </c>
      <c r="B11364" t="n">
        <v>54907</v>
      </c>
      <c r="C11364" t="inlineStr">
        <is>
          <t>1429/02/09</t>
        </is>
      </c>
    </row>
    <row r="11365">
      <c r="A11365" t="n">
        <v>14290210</v>
      </c>
      <c r="B11365" t="n">
        <v>54908</v>
      </c>
      <c r="C11365" t="inlineStr">
        <is>
          <t>1429/02/10</t>
        </is>
      </c>
    </row>
    <row r="11366">
      <c r="A11366" t="n">
        <v>14290211</v>
      </c>
      <c r="B11366" t="n">
        <v>54909</v>
      </c>
      <c r="C11366" t="inlineStr">
        <is>
          <t>1429/02/11</t>
        </is>
      </c>
    </row>
    <row r="11367">
      <c r="A11367" t="n">
        <v>14290212</v>
      </c>
      <c r="B11367" t="n">
        <v>54910</v>
      </c>
      <c r="C11367" t="inlineStr">
        <is>
          <t>1429/02/12</t>
        </is>
      </c>
    </row>
    <row r="11368">
      <c r="A11368" t="n">
        <v>14290213</v>
      </c>
      <c r="B11368" t="n">
        <v>54911</v>
      </c>
      <c r="C11368" t="inlineStr">
        <is>
          <t>1429/02/13</t>
        </is>
      </c>
    </row>
    <row r="11369">
      <c r="A11369" t="n">
        <v>14290214</v>
      </c>
      <c r="B11369" t="n">
        <v>54912</v>
      </c>
      <c r="C11369" t="inlineStr">
        <is>
          <t>1429/02/14</t>
        </is>
      </c>
    </row>
    <row r="11370">
      <c r="A11370" t="n">
        <v>14290215</v>
      </c>
      <c r="B11370" t="n">
        <v>54913</v>
      </c>
      <c r="C11370" t="inlineStr">
        <is>
          <t>1429/02/15</t>
        </is>
      </c>
    </row>
    <row r="11371">
      <c r="A11371" t="n">
        <v>14290216</v>
      </c>
      <c r="B11371" t="n">
        <v>54914</v>
      </c>
      <c r="C11371" t="inlineStr">
        <is>
          <t>1429/02/16</t>
        </is>
      </c>
    </row>
    <row r="11372">
      <c r="A11372" t="n">
        <v>14290217</v>
      </c>
      <c r="B11372" t="n">
        <v>54915</v>
      </c>
      <c r="C11372" t="inlineStr">
        <is>
          <t>1429/02/17</t>
        </is>
      </c>
    </row>
    <row r="11373">
      <c r="A11373" t="n">
        <v>14290218</v>
      </c>
      <c r="B11373" t="n">
        <v>54916</v>
      </c>
      <c r="C11373" t="inlineStr">
        <is>
          <t>1429/02/18</t>
        </is>
      </c>
    </row>
    <row r="11374">
      <c r="A11374" t="n">
        <v>14290219</v>
      </c>
      <c r="B11374" t="n">
        <v>54917</v>
      </c>
      <c r="C11374" t="inlineStr">
        <is>
          <t>1429/02/19</t>
        </is>
      </c>
    </row>
    <row r="11375">
      <c r="A11375" t="n">
        <v>14290220</v>
      </c>
      <c r="B11375" t="n">
        <v>54918</v>
      </c>
      <c r="C11375" t="inlineStr">
        <is>
          <t>1429/02/20</t>
        </is>
      </c>
    </row>
    <row r="11376">
      <c r="A11376" t="n">
        <v>14290221</v>
      </c>
      <c r="B11376" t="n">
        <v>54919</v>
      </c>
      <c r="C11376" t="inlineStr">
        <is>
          <t>1429/02/21</t>
        </is>
      </c>
    </row>
    <row r="11377">
      <c r="A11377" t="n">
        <v>14290222</v>
      </c>
      <c r="B11377" t="n">
        <v>54920</v>
      </c>
      <c r="C11377" t="inlineStr">
        <is>
          <t>1429/02/22</t>
        </is>
      </c>
    </row>
    <row r="11378">
      <c r="A11378" t="n">
        <v>14290223</v>
      </c>
      <c r="B11378" t="n">
        <v>54921</v>
      </c>
      <c r="C11378" t="inlineStr">
        <is>
          <t>1429/02/23</t>
        </is>
      </c>
    </row>
    <row r="11379">
      <c r="A11379" t="n">
        <v>14290224</v>
      </c>
      <c r="B11379" t="n">
        <v>54922</v>
      </c>
      <c r="C11379" t="inlineStr">
        <is>
          <t>1429/02/24</t>
        </is>
      </c>
    </row>
    <row r="11380">
      <c r="A11380" t="n">
        <v>14290225</v>
      </c>
      <c r="B11380" t="n">
        <v>54923</v>
      </c>
      <c r="C11380" t="inlineStr">
        <is>
          <t>1429/02/25</t>
        </is>
      </c>
    </row>
    <row r="11381">
      <c r="A11381" t="n">
        <v>14290226</v>
      </c>
      <c r="B11381" t="n">
        <v>54924</v>
      </c>
      <c r="C11381" t="inlineStr">
        <is>
          <t>1429/02/26</t>
        </is>
      </c>
    </row>
    <row r="11382">
      <c r="A11382" t="n">
        <v>14290227</v>
      </c>
      <c r="B11382" t="n">
        <v>54925</v>
      </c>
      <c r="C11382" t="inlineStr">
        <is>
          <t>1429/02/27</t>
        </is>
      </c>
    </row>
    <row r="11383">
      <c r="A11383" t="n">
        <v>14290228</v>
      </c>
      <c r="B11383" t="n">
        <v>54926</v>
      </c>
      <c r="C11383" t="inlineStr">
        <is>
          <t>1429/02/28</t>
        </is>
      </c>
    </row>
    <row r="11384">
      <c r="A11384" t="n">
        <v>14290229</v>
      </c>
      <c r="B11384" t="n">
        <v>54927</v>
      </c>
      <c r="C11384" t="inlineStr">
        <is>
          <t>1429/02/29</t>
        </is>
      </c>
    </row>
    <row r="11385">
      <c r="A11385" t="n">
        <v>14290230</v>
      </c>
      <c r="B11385" t="n">
        <v>54928</v>
      </c>
      <c r="C11385" t="inlineStr">
        <is>
          <t>1429/02/30</t>
        </is>
      </c>
    </row>
    <row r="11386">
      <c r="A11386" t="n">
        <v>14290231</v>
      </c>
      <c r="B11386" t="n">
        <v>54929</v>
      </c>
      <c r="C11386" t="inlineStr">
        <is>
          <t>1429/02/31</t>
        </is>
      </c>
    </row>
    <row r="11387">
      <c r="A11387" t="n">
        <v>14290301</v>
      </c>
      <c r="B11387" t="n">
        <v>54930</v>
      </c>
      <c r="C11387" t="inlineStr">
        <is>
          <t>1429/03/01</t>
        </is>
      </c>
    </row>
    <row r="11388">
      <c r="A11388" t="n">
        <v>14290302</v>
      </c>
      <c r="B11388" t="n">
        <v>54931</v>
      </c>
      <c r="C11388" t="inlineStr">
        <is>
          <t>1429/03/02</t>
        </is>
      </c>
    </row>
    <row r="11389">
      <c r="A11389" t="n">
        <v>14290303</v>
      </c>
      <c r="B11389" t="n">
        <v>54932</v>
      </c>
      <c r="C11389" t="inlineStr">
        <is>
          <t>1429/03/03</t>
        </is>
      </c>
    </row>
    <row r="11390">
      <c r="A11390" t="n">
        <v>14290304</v>
      </c>
      <c r="B11390" t="n">
        <v>54933</v>
      </c>
      <c r="C11390" t="inlineStr">
        <is>
          <t>1429/03/04</t>
        </is>
      </c>
    </row>
    <row r="11391">
      <c r="A11391" t="n">
        <v>14290305</v>
      </c>
      <c r="B11391" t="n">
        <v>54934</v>
      </c>
      <c r="C11391" t="inlineStr">
        <is>
          <t>1429/03/05</t>
        </is>
      </c>
    </row>
    <row r="11392">
      <c r="A11392" t="n">
        <v>14290306</v>
      </c>
      <c r="B11392" t="n">
        <v>54935</v>
      </c>
      <c r="C11392" t="inlineStr">
        <is>
          <t>1429/03/06</t>
        </is>
      </c>
    </row>
    <row r="11393">
      <c r="A11393" t="n">
        <v>14290307</v>
      </c>
      <c r="B11393" t="n">
        <v>54936</v>
      </c>
      <c r="C11393" t="inlineStr">
        <is>
          <t>1429/03/07</t>
        </is>
      </c>
    </row>
    <row r="11394">
      <c r="A11394" t="n">
        <v>14290308</v>
      </c>
      <c r="B11394" t="n">
        <v>54937</v>
      </c>
      <c r="C11394" t="inlineStr">
        <is>
          <t>1429/03/08</t>
        </is>
      </c>
    </row>
    <row r="11395">
      <c r="A11395" t="n">
        <v>14290309</v>
      </c>
      <c r="B11395" t="n">
        <v>54938</v>
      </c>
      <c r="C11395" t="inlineStr">
        <is>
          <t>1429/03/09</t>
        </is>
      </c>
    </row>
    <row r="11396">
      <c r="A11396" t="n">
        <v>14290310</v>
      </c>
      <c r="B11396" t="n">
        <v>54939</v>
      </c>
      <c r="C11396" t="inlineStr">
        <is>
          <t>1429/03/10</t>
        </is>
      </c>
    </row>
    <row r="11397">
      <c r="A11397" t="n">
        <v>14290311</v>
      </c>
      <c r="B11397" t="n">
        <v>54940</v>
      </c>
      <c r="C11397" t="inlineStr">
        <is>
          <t>1429/03/11</t>
        </is>
      </c>
    </row>
    <row r="11398">
      <c r="A11398" t="n">
        <v>14290312</v>
      </c>
      <c r="B11398" t="n">
        <v>54941</v>
      </c>
      <c r="C11398" t="inlineStr">
        <is>
          <t>1429/03/12</t>
        </is>
      </c>
    </row>
    <row r="11399">
      <c r="A11399" t="n">
        <v>14290313</v>
      </c>
      <c r="B11399" t="n">
        <v>54942</v>
      </c>
      <c r="C11399" t="inlineStr">
        <is>
          <t>1429/03/13</t>
        </is>
      </c>
    </row>
    <row r="11400">
      <c r="A11400" t="n">
        <v>14290314</v>
      </c>
      <c r="B11400" t="n">
        <v>54943</v>
      </c>
      <c r="C11400" t="inlineStr">
        <is>
          <t>1429/03/14</t>
        </is>
      </c>
    </row>
    <row r="11401">
      <c r="A11401" t="n">
        <v>14290315</v>
      </c>
      <c r="B11401" t="n">
        <v>54944</v>
      </c>
      <c r="C11401" t="inlineStr">
        <is>
          <t>1429/03/15</t>
        </is>
      </c>
    </row>
    <row r="11402">
      <c r="A11402" t="n">
        <v>14290316</v>
      </c>
      <c r="B11402" t="n">
        <v>54945</v>
      </c>
      <c r="C11402" t="inlineStr">
        <is>
          <t>1429/03/16</t>
        </is>
      </c>
    </row>
    <row r="11403">
      <c r="A11403" t="n">
        <v>14290317</v>
      </c>
      <c r="B11403" t="n">
        <v>54946</v>
      </c>
      <c r="C11403" t="inlineStr">
        <is>
          <t>1429/03/17</t>
        </is>
      </c>
    </row>
    <row r="11404">
      <c r="A11404" t="n">
        <v>14290318</v>
      </c>
      <c r="B11404" t="n">
        <v>54947</v>
      </c>
      <c r="C11404" t="inlineStr">
        <is>
          <t>1429/03/18</t>
        </is>
      </c>
    </row>
    <row r="11405">
      <c r="A11405" t="n">
        <v>14290319</v>
      </c>
      <c r="B11405" t="n">
        <v>54948</v>
      </c>
      <c r="C11405" t="inlineStr">
        <is>
          <t>1429/03/19</t>
        </is>
      </c>
    </row>
    <row r="11406">
      <c r="A11406" t="n">
        <v>14290320</v>
      </c>
      <c r="B11406" t="n">
        <v>54949</v>
      </c>
      <c r="C11406" t="inlineStr">
        <is>
          <t>1429/03/20</t>
        </is>
      </c>
    </row>
    <row r="11407">
      <c r="A11407" t="n">
        <v>14290321</v>
      </c>
      <c r="B11407" t="n">
        <v>54950</v>
      </c>
      <c r="C11407" t="inlineStr">
        <is>
          <t>1429/03/21</t>
        </is>
      </c>
    </row>
    <row r="11408">
      <c r="A11408" t="n">
        <v>14290322</v>
      </c>
      <c r="B11408" t="n">
        <v>54951</v>
      </c>
      <c r="C11408" t="inlineStr">
        <is>
          <t>1429/03/22</t>
        </is>
      </c>
    </row>
    <row r="11409">
      <c r="A11409" t="n">
        <v>14290323</v>
      </c>
      <c r="B11409" t="n">
        <v>54952</v>
      </c>
      <c r="C11409" t="inlineStr">
        <is>
          <t>1429/03/23</t>
        </is>
      </c>
    </row>
    <row r="11410">
      <c r="A11410" t="n">
        <v>14290324</v>
      </c>
      <c r="B11410" t="n">
        <v>54953</v>
      </c>
      <c r="C11410" t="inlineStr">
        <is>
          <t>1429/03/24</t>
        </is>
      </c>
    </row>
    <row r="11411">
      <c r="A11411" t="n">
        <v>14290325</v>
      </c>
      <c r="B11411" t="n">
        <v>54954</v>
      </c>
      <c r="C11411" t="inlineStr">
        <is>
          <t>1429/03/25</t>
        </is>
      </c>
    </row>
    <row r="11412">
      <c r="A11412" t="n">
        <v>14290326</v>
      </c>
      <c r="B11412" t="n">
        <v>54955</v>
      </c>
      <c r="C11412" t="inlineStr">
        <is>
          <t>1429/03/26</t>
        </is>
      </c>
    </row>
    <row r="11413">
      <c r="A11413" t="n">
        <v>14290327</v>
      </c>
      <c r="B11413" t="n">
        <v>54956</v>
      </c>
      <c r="C11413" t="inlineStr">
        <is>
          <t>1429/03/27</t>
        </is>
      </c>
    </row>
    <row r="11414">
      <c r="A11414" t="n">
        <v>14290328</v>
      </c>
      <c r="B11414" t="n">
        <v>54957</v>
      </c>
      <c r="C11414" t="inlineStr">
        <is>
          <t>1429/03/28</t>
        </is>
      </c>
    </row>
    <row r="11415">
      <c r="A11415" t="n">
        <v>14290329</v>
      </c>
      <c r="B11415" t="n">
        <v>54958</v>
      </c>
      <c r="C11415" t="inlineStr">
        <is>
          <t>1429/03/29</t>
        </is>
      </c>
    </row>
    <row r="11416">
      <c r="A11416" t="n">
        <v>14290330</v>
      </c>
      <c r="B11416" t="n">
        <v>54959</v>
      </c>
      <c r="C11416" t="inlineStr">
        <is>
          <t>1429/03/30</t>
        </is>
      </c>
    </row>
    <row r="11417">
      <c r="A11417" t="n">
        <v>14290331</v>
      </c>
      <c r="B11417" t="n">
        <v>54960</v>
      </c>
      <c r="C11417" t="inlineStr">
        <is>
          <t>1429/03/31</t>
        </is>
      </c>
    </row>
    <row r="11418">
      <c r="A11418" t="n">
        <v>14290401</v>
      </c>
      <c r="B11418" t="n">
        <v>54961</v>
      </c>
      <c r="C11418" t="inlineStr">
        <is>
          <t>1429/04/01</t>
        </is>
      </c>
    </row>
    <row r="11419">
      <c r="A11419" t="n">
        <v>14290402</v>
      </c>
      <c r="B11419" t="n">
        <v>54962</v>
      </c>
      <c r="C11419" t="inlineStr">
        <is>
          <t>1429/04/02</t>
        </is>
      </c>
    </row>
    <row r="11420">
      <c r="A11420" t="n">
        <v>14290403</v>
      </c>
      <c r="B11420" t="n">
        <v>54963</v>
      </c>
      <c r="C11420" t="inlineStr">
        <is>
          <t>1429/04/03</t>
        </is>
      </c>
    </row>
    <row r="11421">
      <c r="A11421" t="n">
        <v>14290404</v>
      </c>
      <c r="B11421" t="n">
        <v>54964</v>
      </c>
      <c r="C11421" t="inlineStr">
        <is>
          <t>1429/04/04</t>
        </is>
      </c>
    </row>
    <row r="11422">
      <c r="A11422" t="n">
        <v>14290405</v>
      </c>
      <c r="B11422" t="n">
        <v>54965</v>
      </c>
      <c r="C11422" t="inlineStr">
        <is>
          <t>1429/04/05</t>
        </is>
      </c>
    </row>
    <row r="11423">
      <c r="A11423" t="n">
        <v>14290406</v>
      </c>
      <c r="B11423" t="n">
        <v>54966</v>
      </c>
      <c r="C11423" t="inlineStr">
        <is>
          <t>1429/04/06</t>
        </is>
      </c>
    </row>
    <row r="11424">
      <c r="A11424" t="n">
        <v>14290407</v>
      </c>
      <c r="B11424" t="n">
        <v>54967</v>
      </c>
      <c r="C11424" t="inlineStr">
        <is>
          <t>1429/04/07</t>
        </is>
      </c>
    </row>
    <row r="11425">
      <c r="A11425" t="n">
        <v>14290408</v>
      </c>
      <c r="B11425" t="n">
        <v>54968</v>
      </c>
      <c r="C11425" t="inlineStr">
        <is>
          <t>1429/04/08</t>
        </is>
      </c>
    </row>
    <row r="11426">
      <c r="A11426" t="n">
        <v>14290409</v>
      </c>
      <c r="B11426" t="n">
        <v>54969</v>
      </c>
      <c r="C11426" t="inlineStr">
        <is>
          <t>1429/04/09</t>
        </is>
      </c>
    </row>
    <row r="11427">
      <c r="A11427" t="n">
        <v>14290410</v>
      </c>
      <c r="B11427" t="n">
        <v>54970</v>
      </c>
      <c r="C11427" t="inlineStr">
        <is>
          <t>1429/04/10</t>
        </is>
      </c>
    </row>
    <row r="11428">
      <c r="A11428" t="n">
        <v>14290411</v>
      </c>
      <c r="B11428" t="n">
        <v>54971</v>
      </c>
      <c r="C11428" t="inlineStr">
        <is>
          <t>1429/04/11</t>
        </is>
      </c>
    </row>
    <row r="11429">
      <c r="A11429" t="n">
        <v>14290412</v>
      </c>
      <c r="B11429" t="n">
        <v>54972</v>
      </c>
      <c r="C11429" t="inlineStr">
        <is>
          <t>1429/04/12</t>
        </is>
      </c>
    </row>
    <row r="11430">
      <c r="A11430" t="n">
        <v>14290413</v>
      </c>
      <c r="B11430" t="n">
        <v>54973</v>
      </c>
      <c r="C11430" t="inlineStr">
        <is>
          <t>1429/04/13</t>
        </is>
      </c>
    </row>
    <row r="11431">
      <c r="A11431" t="n">
        <v>14290414</v>
      </c>
      <c r="B11431" t="n">
        <v>54974</v>
      </c>
      <c r="C11431" t="inlineStr">
        <is>
          <t>1429/04/14</t>
        </is>
      </c>
    </row>
    <row r="11432">
      <c r="A11432" t="n">
        <v>14290415</v>
      </c>
      <c r="B11432" t="n">
        <v>54975</v>
      </c>
      <c r="C11432" t="inlineStr">
        <is>
          <t>1429/04/15</t>
        </is>
      </c>
    </row>
    <row r="11433">
      <c r="A11433" t="n">
        <v>14290416</v>
      </c>
      <c r="B11433" t="n">
        <v>54976</v>
      </c>
      <c r="C11433" t="inlineStr">
        <is>
          <t>1429/04/16</t>
        </is>
      </c>
    </row>
    <row r="11434">
      <c r="A11434" t="n">
        <v>14290417</v>
      </c>
      <c r="B11434" t="n">
        <v>54977</v>
      </c>
      <c r="C11434" t="inlineStr">
        <is>
          <t>1429/04/17</t>
        </is>
      </c>
    </row>
    <row r="11435">
      <c r="A11435" t="n">
        <v>14290418</v>
      </c>
      <c r="B11435" t="n">
        <v>54978</v>
      </c>
      <c r="C11435" t="inlineStr">
        <is>
          <t>1429/04/18</t>
        </is>
      </c>
    </row>
    <row r="11436">
      <c r="A11436" t="n">
        <v>14290419</v>
      </c>
      <c r="B11436" t="n">
        <v>54979</v>
      </c>
      <c r="C11436" t="inlineStr">
        <is>
          <t>1429/04/19</t>
        </is>
      </c>
    </row>
    <row r="11437">
      <c r="A11437" t="n">
        <v>14290420</v>
      </c>
      <c r="B11437" t="n">
        <v>54980</v>
      </c>
      <c r="C11437" t="inlineStr">
        <is>
          <t>1429/04/20</t>
        </is>
      </c>
    </row>
    <row r="11438">
      <c r="A11438" t="n">
        <v>14290421</v>
      </c>
      <c r="B11438" t="n">
        <v>54981</v>
      </c>
      <c r="C11438" t="inlineStr">
        <is>
          <t>1429/04/21</t>
        </is>
      </c>
    </row>
    <row r="11439">
      <c r="A11439" t="n">
        <v>14290422</v>
      </c>
      <c r="B11439" t="n">
        <v>54982</v>
      </c>
      <c r="C11439" t="inlineStr">
        <is>
          <t>1429/04/22</t>
        </is>
      </c>
    </row>
    <row r="11440">
      <c r="A11440" t="n">
        <v>14290423</v>
      </c>
      <c r="B11440" t="n">
        <v>54983</v>
      </c>
      <c r="C11440" t="inlineStr">
        <is>
          <t>1429/04/23</t>
        </is>
      </c>
    </row>
    <row r="11441">
      <c r="A11441" t="n">
        <v>14290424</v>
      </c>
      <c r="B11441" t="n">
        <v>54984</v>
      </c>
      <c r="C11441" t="inlineStr">
        <is>
          <t>1429/04/24</t>
        </is>
      </c>
    </row>
    <row r="11442">
      <c r="A11442" t="n">
        <v>14290425</v>
      </c>
      <c r="B11442" t="n">
        <v>54985</v>
      </c>
      <c r="C11442" t="inlineStr">
        <is>
          <t>1429/04/25</t>
        </is>
      </c>
    </row>
    <row r="11443">
      <c r="A11443" t="n">
        <v>14290426</v>
      </c>
      <c r="B11443" t="n">
        <v>54986</v>
      </c>
      <c r="C11443" t="inlineStr">
        <is>
          <t>1429/04/26</t>
        </is>
      </c>
    </row>
    <row r="11444">
      <c r="A11444" t="n">
        <v>14290427</v>
      </c>
      <c r="B11444" t="n">
        <v>54987</v>
      </c>
      <c r="C11444" t="inlineStr">
        <is>
          <t>1429/04/27</t>
        </is>
      </c>
    </row>
    <row r="11445">
      <c r="A11445" t="n">
        <v>14290428</v>
      </c>
      <c r="B11445" t="n">
        <v>54988</v>
      </c>
      <c r="C11445" t="inlineStr">
        <is>
          <t>1429/04/28</t>
        </is>
      </c>
    </row>
    <row r="11446">
      <c r="A11446" t="n">
        <v>14290429</v>
      </c>
      <c r="B11446" t="n">
        <v>54989</v>
      </c>
      <c r="C11446" t="inlineStr">
        <is>
          <t>1429/04/29</t>
        </is>
      </c>
    </row>
    <row r="11447">
      <c r="A11447" t="n">
        <v>14290430</v>
      </c>
      <c r="B11447" t="n">
        <v>54990</v>
      </c>
      <c r="C11447" t="inlineStr">
        <is>
          <t>1429/04/30</t>
        </is>
      </c>
    </row>
    <row r="11448">
      <c r="A11448" t="n">
        <v>14290431</v>
      </c>
      <c r="B11448" t="n">
        <v>54991</v>
      </c>
      <c r="C11448" t="inlineStr">
        <is>
          <t>1429/04/31</t>
        </is>
      </c>
    </row>
    <row r="11449">
      <c r="A11449" t="n">
        <v>14290501</v>
      </c>
      <c r="B11449" t="n">
        <v>54992</v>
      </c>
      <c r="C11449" t="inlineStr">
        <is>
          <t>1429/05/01</t>
        </is>
      </c>
    </row>
    <row r="11450">
      <c r="A11450" t="n">
        <v>14290502</v>
      </c>
      <c r="B11450" t="n">
        <v>54993</v>
      </c>
      <c r="C11450" t="inlineStr">
        <is>
          <t>1429/05/02</t>
        </is>
      </c>
    </row>
    <row r="11451">
      <c r="A11451" t="n">
        <v>14290503</v>
      </c>
      <c r="B11451" t="n">
        <v>54994</v>
      </c>
      <c r="C11451" t="inlineStr">
        <is>
          <t>1429/05/03</t>
        </is>
      </c>
    </row>
    <row r="11452">
      <c r="A11452" t="n">
        <v>14290504</v>
      </c>
      <c r="B11452" t="n">
        <v>54995</v>
      </c>
      <c r="C11452" t="inlineStr">
        <is>
          <t>1429/05/04</t>
        </is>
      </c>
    </row>
    <row r="11453">
      <c r="A11453" t="n">
        <v>14290505</v>
      </c>
      <c r="B11453" t="n">
        <v>54996</v>
      </c>
      <c r="C11453" t="inlineStr">
        <is>
          <t>1429/05/05</t>
        </is>
      </c>
    </row>
    <row r="11454">
      <c r="A11454" t="n">
        <v>14290506</v>
      </c>
      <c r="B11454" t="n">
        <v>54997</v>
      </c>
      <c r="C11454" t="inlineStr">
        <is>
          <t>1429/05/06</t>
        </is>
      </c>
    </row>
    <row r="11455">
      <c r="A11455" t="n">
        <v>14290507</v>
      </c>
      <c r="B11455" t="n">
        <v>54998</v>
      </c>
      <c r="C11455" t="inlineStr">
        <is>
          <t>1429/05/07</t>
        </is>
      </c>
    </row>
    <row r="11456">
      <c r="A11456" t="n">
        <v>14290508</v>
      </c>
      <c r="B11456" t="n">
        <v>54999</v>
      </c>
      <c r="C11456" t="inlineStr">
        <is>
          <t>1429/05/08</t>
        </is>
      </c>
    </row>
    <row r="11457">
      <c r="A11457" t="n">
        <v>14290509</v>
      </c>
      <c r="B11457" t="n">
        <v>55000</v>
      </c>
      <c r="C11457" t="inlineStr">
        <is>
          <t>1429/05/09</t>
        </is>
      </c>
    </row>
    <row r="11458">
      <c r="A11458" t="n">
        <v>14290510</v>
      </c>
      <c r="B11458" t="n">
        <v>55001</v>
      </c>
      <c r="C11458" t="inlineStr">
        <is>
          <t>1429/05/10</t>
        </is>
      </c>
    </row>
    <row r="11459">
      <c r="A11459" t="n">
        <v>14290511</v>
      </c>
      <c r="B11459" t="n">
        <v>55002</v>
      </c>
      <c r="C11459" t="inlineStr">
        <is>
          <t>1429/05/11</t>
        </is>
      </c>
    </row>
    <row r="11460">
      <c r="A11460" t="n">
        <v>14290512</v>
      </c>
      <c r="B11460" t="n">
        <v>55003</v>
      </c>
      <c r="C11460" t="inlineStr">
        <is>
          <t>1429/05/12</t>
        </is>
      </c>
    </row>
    <row r="11461">
      <c r="A11461" t="n">
        <v>14290513</v>
      </c>
      <c r="B11461" t="n">
        <v>55004</v>
      </c>
      <c r="C11461" t="inlineStr">
        <is>
          <t>1429/05/13</t>
        </is>
      </c>
    </row>
    <row r="11462">
      <c r="A11462" t="n">
        <v>14290514</v>
      </c>
      <c r="B11462" t="n">
        <v>55005</v>
      </c>
      <c r="C11462" t="inlineStr">
        <is>
          <t>1429/05/14</t>
        </is>
      </c>
    </row>
    <row r="11463">
      <c r="A11463" t="n">
        <v>14290515</v>
      </c>
      <c r="B11463" t="n">
        <v>55006</v>
      </c>
      <c r="C11463" t="inlineStr">
        <is>
          <t>1429/05/15</t>
        </is>
      </c>
    </row>
    <row r="11464">
      <c r="A11464" t="n">
        <v>14290516</v>
      </c>
      <c r="B11464" t="n">
        <v>55007</v>
      </c>
      <c r="C11464" t="inlineStr">
        <is>
          <t>1429/05/16</t>
        </is>
      </c>
    </row>
    <row r="11465">
      <c r="A11465" t="n">
        <v>14290517</v>
      </c>
      <c r="B11465" t="n">
        <v>55008</v>
      </c>
      <c r="C11465" t="inlineStr">
        <is>
          <t>1429/05/17</t>
        </is>
      </c>
    </row>
    <row r="11466">
      <c r="A11466" t="n">
        <v>14290518</v>
      </c>
      <c r="B11466" t="n">
        <v>55009</v>
      </c>
      <c r="C11466" t="inlineStr">
        <is>
          <t>1429/05/18</t>
        </is>
      </c>
    </row>
    <row r="11467">
      <c r="A11467" t="n">
        <v>14290519</v>
      </c>
      <c r="B11467" t="n">
        <v>55010</v>
      </c>
      <c r="C11467" t="inlineStr">
        <is>
          <t>1429/05/19</t>
        </is>
      </c>
    </row>
    <row r="11468">
      <c r="A11468" t="n">
        <v>14290520</v>
      </c>
      <c r="B11468" t="n">
        <v>55011</v>
      </c>
      <c r="C11468" t="inlineStr">
        <is>
          <t>1429/05/20</t>
        </is>
      </c>
    </row>
    <row r="11469">
      <c r="A11469" t="n">
        <v>14290521</v>
      </c>
      <c r="B11469" t="n">
        <v>55012</v>
      </c>
      <c r="C11469" t="inlineStr">
        <is>
          <t>1429/05/21</t>
        </is>
      </c>
    </row>
    <row r="11470">
      <c r="A11470" t="n">
        <v>14290522</v>
      </c>
      <c r="B11470" t="n">
        <v>55013</v>
      </c>
      <c r="C11470" t="inlineStr">
        <is>
          <t>1429/05/22</t>
        </is>
      </c>
    </row>
    <row r="11471">
      <c r="A11471" t="n">
        <v>14290523</v>
      </c>
      <c r="B11471" t="n">
        <v>55014</v>
      </c>
      <c r="C11471" t="inlineStr">
        <is>
          <t>1429/05/23</t>
        </is>
      </c>
    </row>
    <row r="11472">
      <c r="A11472" t="n">
        <v>14290524</v>
      </c>
      <c r="B11472" t="n">
        <v>55015</v>
      </c>
      <c r="C11472" t="inlineStr">
        <is>
          <t>1429/05/24</t>
        </is>
      </c>
    </row>
    <row r="11473">
      <c r="A11473" t="n">
        <v>14290525</v>
      </c>
      <c r="B11473" t="n">
        <v>55016</v>
      </c>
      <c r="C11473" t="inlineStr">
        <is>
          <t>1429/05/25</t>
        </is>
      </c>
    </row>
    <row r="11474">
      <c r="A11474" t="n">
        <v>14290526</v>
      </c>
      <c r="B11474" t="n">
        <v>55017</v>
      </c>
      <c r="C11474" t="inlineStr">
        <is>
          <t>1429/05/26</t>
        </is>
      </c>
    </row>
    <row r="11475">
      <c r="A11475" t="n">
        <v>14290527</v>
      </c>
      <c r="B11475" t="n">
        <v>55018</v>
      </c>
      <c r="C11475" t="inlineStr">
        <is>
          <t>1429/05/27</t>
        </is>
      </c>
    </row>
    <row r="11476">
      <c r="A11476" t="n">
        <v>14290528</v>
      </c>
      <c r="B11476" t="n">
        <v>55019</v>
      </c>
      <c r="C11476" t="inlineStr">
        <is>
          <t>1429/05/28</t>
        </is>
      </c>
    </row>
    <row r="11477">
      <c r="A11477" t="n">
        <v>14290529</v>
      </c>
      <c r="B11477" t="n">
        <v>55020</v>
      </c>
      <c r="C11477" t="inlineStr">
        <is>
          <t>1429/05/29</t>
        </is>
      </c>
    </row>
    <row r="11478">
      <c r="A11478" t="n">
        <v>14290530</v>
      </c>
      <c r="B11478" t="n">
        <v>55021</v>
      </c>
      <c r="C11478" t="inlineStr">
        <is>
          <t>1429/05/30</t>
        </is>
      </c>
    </row>
    <row r="11479">
      <c r="A11479" t="n">
        <v>14290531</v>
      </c>
      <c r="B11479" t="n">
        <v>55022</v>
      </c>
      <c r="C11479" t="inlineStr">
        <is>
          <t>1429/05/31</t>
        </is>
      </c>
    </row>
    <row r="11480">
      <c r="A11480" t="n">
        <v>14290601</v>
      </c>
      <c r="B11480" t="n">
        <v>55023</v>
      </c>
      <c r="C11480" t="inlineStr">
        <is>
          <t>1429/06/01</t>
        </is>
      </c>
    </row>
    <row r="11481">
      <c r="A11481" t="n">
        <v>14290602</v>
      </c>
      <c r="B11481" t="n">
        <v>55024</v>
      </c>
      <c r="C11481" t="inlineStr">
        <is>
          <t>1429/06/02</t>
        </is>
      </c>
    </row>
    <row r="11482">
      <c r="A11482" t="n">
        <v>14290603</v>
      </c>
      <c r="B11482" t="n">
        <v>55025</v>
      </c>
      <c r="C11482" t="inlineStr">
        <is>
          <t>1429/06/03</t>
        </is>
      </c>
    </row>
    <row r="11483">
      <c r="A11483" t="n">
        <v>14290604</v>
      </c>
      <c r="B11483" t="n">
        <v>55026</v>
      </c>
      <c r="C11483" t="inlineStr">
        <is>
          <t>1429/06/04</t>
        </is>
      </c>
    </row>
    <row r="11484">
      <c r="A11484" t="n">
        <v>14290605</v>
      </c>
      <c r="B11484" t="n">
        <v>55027</v>
      </c>
      <c r="C11484" t="inlineStr">
        <is>
          <t>1429/06/05</t>
        </is>
      </c>
    </row>
    <row r="11485">
      <c r="A11485" t="n">
        <v>14290606</v>
      </c>
      <c r="B11485" t="n">
        <v>55028</v>
      </c>
      <c r="C11485" t="inlineStr">
        <is>
          <t>1429/06/06</t>
        </is>
      </c>
    </row>
    <row r="11486">
      <c r="A11486" t="n">
        <v>14290607</v>
      </c>
      <c r="B11486" t="n">
        <v>55029</v>
      </c>
      <c r="C11486" t="inlineStr">
        <is>
          <t>1429/06/07</t>
        </is>
      </c>
    </row>
    <row r="11487">
      <c r="A11487" t="n">
        <v>14290608</v>
      </c>
      <c r="B11487" t="n">
        <v>55030</v>
      </c>
      <c r="C11487" t="inlineStr">
        <is>
          <t>1429/06/08</t>
        </is>
      </c>
    </row>
    <row r="11488">
      <c r="A11488" t="n">
        <v>14290609</v>
      </c>
      <c r="B11488" t="n">
        <v>55031</v>
      </c>
      <c r="C11488" t="inlineStr">
        <is>
          <t>1429/06/09</t>
        </is>
      </c>
    </row>
    <row r="11489">
      <c r="A11489" t="n">
        <v>14290610</v>
      </c>
      <c r="B11489" t="n">
        <v>55032</v>
      </c>
      <c r="C11489" t="inlineStr">
        <is>
          <t>1429/06/10</t>
        </is>
      </c>
    </row>
    <row r="11490">
      <c r="A11490" t="n">
        <v>14290611</v>
      </c>
      <c r="B11490" t="n">
        <v>55033</v>
      </c>
      <c r="C11490" t="inlineStr">
        <is>
          <t>1429/06/11</t>
        </is>
      </c>
    </row>
    <row r="11491">
      <c r="A11491" t="n">
        <v>14290612</v>
      </c>
      <c r="B11491" t="n">
        <v>55034</v>
      </c>
      <c r="C11491" t="inlineStr">
        <is>
          <t>1429/06/12</t>
        </is>
      </c>
    </row>
    <row r="11492">
      <c r="A11492" t="n">
        <v>14290613</v>
      </c>
      <c r="B11492" t="n">
        <v>55035</v>
      </c>
      <c r="C11492" t="inlineStr">
        <is>
          <t>1429/06/13</t>
        </is>
      </c>
    </row>
    <row r="11493">
      <c r="A11493" t="n">
        <v>14290614</v>
      </c>
      <c r="B11493" t="n">
        <v>55036</v>
      </c>
      <c r="C11493" t="inlineStr">
        <is>
          <t>1429/06/14</t>
        </is>
      </c>
    </row>
    <row r="11494">
      <c r="A11494" t="n">
        <v>14290615</v>
      </c>
      <c r="B11494" t="n">
        <v>55037</v>
      </c>
      <c r="C11494" t="inlineStr">
        <is>
          <t>1429/06/15</t>
        </is>
      </c>
    </row>
    <row r="11495">
      <c r="A11495" t="n">
        <v>14290616</v>
      </c>
      <c r="B11495" t="n">
        <v>55038</v>
      </c>
      <c r="C11495" t="inlineStr">
        <is>
          <t>1429/06/16</t>
        </is>
      </c>
    </row>
    <row r="11496">
      <c r="A11496" t="n">
        <v>14290617</v>
      </c>
      <c r="B11496" t="n">
        <v>55039</v>
      </c>
      <c r="C11496" t="inlineStr">
        <is>
          <t>1429/06/17</t>
        </is>
      </c>
    </row>
    <row r="11497">
      <c r="A11497" t="n">
        <v>14290618</v>
      </c>
      <c r="B11497" t="n">
        <v>55040</v>
      </c>
      <c r="C11497" t="inlineStr">
        <is>
          <t>1429/06/18</t>
        </is>
      </c>
    </row>
    <row r="11498">
      <c r="A11498" t="n">
        <v>14290619</v>
      </c>
      <c r="B11498" t="n">
        <v>55041</v>
      </c>
      <c r="C11498" t="inlineStr">
        <is>
          <t>1429/06/19</t>
        </is>
      </c>
    </row>
    <row r="11499">
      <c r="A11499" t="n">
        <v>14290620</v>
      </c>
      <c r="B11499" t="n">
        <v>55042</v>
      </c>
      <c r="C11499" t="inlineStr">
        <is>
          <t>1429/06/20</t>
        </is>
      </c>
    </row>
    <row r="11500">
      <c r="A11500" t="n">
        <v>14290621</v>
      </c>
      <c r="B11500" t="n">
        <v>55043</v>
      </c>
      <c r="C11500" t="inlineStr">
        <is>
          <t>1429/06/21</t>
        </is>
      </c>
    </row>
    <row r="11501">
      <c r="A11501" t="n">
        <v>14290622</v>
      </c>
      <c r="B11501" t="n">
        <v>55044</v>
      </c>
      <c r="C11501" t="inlineStr">
        <is>
          <t>1429/06/22</t>
        </is>
      </c>
    </row>
    <row r="11502">
      <c r="A11502" t="n">
        <v>14290623</v>
      </c>
      <c r="B11502" t="n">
        <v>55045</v>
      </c>
      <c r="C11502" t="inlineStr">
        <is>
          <t>1429/06/23</t>
        </is>
      </c>
    </row>
    <row r="11503">
      <c r="A11503" t="n">
        <v>14290624</v>
      </c>
      <c r="B11503" t="n">
        <v>55046</v>
      </c>
      <c r="C11503" t="inlineStr">
        <is>
          <t>1429/06/24</t>
        </is>
      </c>
    </row>
    <row r="11504">
      <c r="A11504" t="n">
        <v>14290625</v>
      </c>
      <c r="B11504" t="n">
        <v>55047</v>
      </c>
      <c r="C11504" t="inlineStr">
        <is>
          <t>1429/06/25</t>
        </is>
      </c>
    </row>
    <row r="11505">
      <c r="A11505" t="n">
        <v>14290626</v>
      </c>
      <c r="B11505" t="n">
        <v>55048</v>
      </c>
      <c r="C11505" t="inlineStr">
        <is>
          <t>1429/06/26</t>
        </is>
      </c>
    </row>
    <row r="11506">
      <c r="A11506" t="n">
        <v>14290627</v>
      </c>
      <c r="B11506" t="n">
        <v>55049</v>
      </c>
      <c r="C11506" t="inlineStr">
        <is>
          <t>1429/06/27</t>
        </is>
      </c>
    </row>
    <row r="11507">
      <c r="A11507" t="n">
        <v>14290628</v>
      </c>
      <c r="B11507" t="n">
        <v>55050</v>
      </c>
      <c r="C11507" t="inlineStr">
        <is>
          <t>1429/06/28</t>
        </is>
      </c>
    </row>
    <row r="11508">
      <c r="A11508" t="n">
        <v>14290629</v>
      </c>
      <c r="B11508" t="n">
        <v>55051</v>
      </c>
      <c r="C11508" t="inlineStr">
        <is>
          <t>1429/06/29</t>
        </is>
      </c>
    </row>
    <row r="11509">
      <c r="A11509" t="n">
        <v>14290630</v>
      </c>
      <c r="B11509" t="n">
        <v>55052</v>
      </c>
      <c r="C11509" t="inlineStr">
        <is>
          <t>1429/06/30</t>
        </is>
      </c>
    </row>
    <row r="11510">
      <c r="A11510" t="n">
        <v>14290631</v>
      </c>
      <c r="B11510" t="n">
        <v>55053</v>
      </c>
      <c r="C11510" t="inlineStr">
        <is>
          <t>1429/06/31</t>
        </is>
      </c>
    </row>
    <row r="11511">
      <c r="A11511" t="n">
        <v>14290701</v>
      </c>
      <c r="B11511" t="n">
        <v>55054</v>
      </c>
      <c r="C11511" t="inlineStr">
        <is>
          <t>1429/07/01</t>
        </is>
      </c>
    </row>
    <row r="11512">
      <c r="A11512" t="n">
        <v>14290702</v>
      </c>
      <c r="B11512" t="n">
        <v>55055</v>
      </c>
      <c r="C11512" t="inlineStr">
        <is>
          <t>1429/07/02</t>
        </is>
      </c>
    </row>
    <row r="11513">
      <c r="A11513" t="n">
        <v>14290703</v>
      </c>
      <c r="B11513" t="n">
        <v>55056</v>
      </c>
      <c r="C11513" t="inlineStr">
        <is>
          <t>1429/07/03</t>
        </is>
      </c>
    </row>
    <row r="11514">
      <c r="A11514" t="n">
        <v>14290704</v>
      </c>
      <c r="B11514" t="n">
        <v>55057</v>
      </c>
      <c r="C11514" t="inlineStr">
        <is>
          <t>1429/07/04</t>
        </is>
      </c>
    </row>
    <row r="11515">
      <c r="A11515" t="n">
        <v>14290705</v>
      </c>
      <c r="B11515" t="n">
        <v>55058</v>
      </c>
      <c r="C11515" t="inlineStr">
        <is>
          <t>1429/07/05</t>
        </is>
      </c>
    </row>
    <row r="11516">
      <c r="A11516" t="n">
        <v>14290706</v>
      </c>
      <c r="B11516" t="n">
        <v>55059</v>
      </c>
      <c r="C11516" t="inlineStr">
        <is>
          <t>1429/07/06</t>
        </is>
      </c>
    </row>
    <row r="11517">
      <c r="A11517" t="n">
        <v>14290707</v>
      </c>
      <c r="B11517" t="n">
        <v>55060</v>
      </c>
      <c r="C11517" t="inlineStr">
        <is>
          <t>1429/07/07</t>
        </is>
      </c>
    </row>
    <row r="11518">
      <c r="A11518" t="n">
        <v>14290708</v>
      </c>
      <c r="B11518" t="n">
        <v>55061</v>
      </c>
      <c r="C11518" t="inlineStr">
        <is>
          <t>1429/07/08</t>
        </is>
      </c>
    </row>
    <row r="11519">
      <c r="A11519" t="n">
        <v>14290709</v>
      </c>
      <c r="B11519" t="n">
        <v>55062</v>
      </c>
      <c r="C11519" t="inlineStr">
        <is>
          <t>1429/07/09</t>
        </is>
      </c>
    </row>
    <row r="11520">
      <c r="A11520" t="n">
        <v>14290710</v>
      </c>
      <c r="B11520" t="n">
        <v>55063</v>
      </c>
      <c r="C11520" t="inlineStr">
        <is>
          <t>1429/07/10</t>
        </is>
      </c>
    </row>
    <row r="11521">
      <c r="A11521" t="n">
        <v>14290711</v>
      </c>
      <c r="B11521" t="n">
        <v>55064</v>
      </c>
      <c r="C11521" t="inlineStr">
        <is>
          <t>1429/07/11</t>
        </is>
      </c>
    </row>
    <row r="11522">
      <c r="A11522" t="n">
        <v>14290712</v>
      </c>
      <c r="B11522" t="n">
        <v>55065</v>
      </c>
      <c r="C11522" t="inlineStr">
        <is>
          <t>1429/07/12</t>
        </is>
      </c>
    </row>
    <row r="11523">
      <c r="A11523" t="n">
        <v>14290713</v>
      </c>
      <c r="B11523" t="n">
        <v>55066</v>
      </c>
      <c r="C11523" t="inlineStr">
        <is>
          <t>1429/07/13</t>
        </is>
      </c>
    </row>
    <row r="11524">
      <c r="A11524" t="n">
        <v>14290714</v>
      </c>
      <c r="B11524" t="n">
        <v>55067</v>
      </c>
      <c r="C11524" t="inlineStr">
        <is>
          <t>1429/07/14</t>
        </is>
      </c>
    </row>
    <row r="11525">
      <c r="A11525" t="n">
        <v>14290715</v>
      </c>
      <c r="B11525" t="n">
        <v>55068</v>
      </c>
      <c r="C11525" t="inlineStr">
        <is>
          <t>1429/07/15</t>
        </is>
      </c>
    </row>
    <row r="11526">
      <c r="A11526" t="n">
        <v>14290716</v>
      </c>
      <c r="B11526" t="n">
        <v>55069</v>
      </c>
      <c r="C11526" t="inlineStr">
        <is>
          <t>1429/07/16</t>
        </is>
      </c>
    </row>
    <row r="11527">
      <c r="A11527" t="n">
        <v>14290717</v>
      </c>
      <c r="B11527" t="n">
        <v>55070</v>
      </c>
      <c r="C11527" t="inlineStr">
        <is>
          <t>1429/07/17</t>
        </is>
      </c>
    </row>
    <row r="11528">
      <c r="A11528" t="n">
        <v>14290718</v>
      </c>
      <c r="B11528" t="n">
        <v>55071</v>
      </c>
      <c r="C11528" t="inlineStr">
        <is>
          <t>1429/07/18</t>
        </is>
      </c>
    </row>
    <row r="11529">
      <c r="A11529" t="n">
        <v>14290719</v>
      </c>
      <c r="B11529" t="n">
        <v>55072</v>
      </c>
      <c r="C11529" t="inlineStr">
        <is>
          <t>1429/07/19</t>
        </is>
      </c>
    </row>
    <row r="11530">
      <c r="A11530" t="n">
        <v>14290720</v>
      </c>
      <c r="B11530" t="n">
        <v>55073</v>
      </c>
      <c r="C11530" t="inlineStr">
        <is>
          <t>1429/07/20</t>
        </is>
      </c>
    </row>
    <row r="11531">
      <c r="A11531" t="n">
        <v>14290721</v>
      </c>
      <c r="B11531" t="n">
        <v>55074</v>
      </c>
      <c r="C11531" t="inlineStr">
        <is>
          <t>1429/07/21</t>
        </is>
      </c>
    </row>
    <row r="11532">
      <c r="A11532" t="n">
        <v>14290722</v>
      </c>
      <c r="B11532" t="n">
        <v>55075</v>
      </c>
      <c r="C11532" t="inlineStr">
        <is>
          <t>1429/07/22</t>
        </is>
      </c>
    </row>
    <row r="11533">
      <c r="A11533" t="n">
        <v>14290723</v>
      </c>
      <c r="B11533" t="n">
        <v>55076</v>
      </c>
      <c r="C11533" t="inlineStr">
        <is>
          <t>1429/07/23</t>
        </is>
      </c>
    </row>
    <row r="11534">
      <c r="A11534" t="n">
        <v>14290724</v>
      </c>
      <c r="B11534" t="n">
        <v>55077</v>
      </c>
      <c r="C11534" t="inlineStr">
        <is>
          <t>1429/07/24</t>
        </is>
      </c>
    </row>
    <row r="11535">
      <c r="A11535" t="n">
        <v>14290725</v>
      </c>
      <c r="B11535" t="n">
        <v>55078</v>
      </c>
      <c r="C11535" t="inlineStr">
        <is>
          <t>1429/07/25</t>
        </is>
      </c>
    </row>
    <row r="11536">
      <c r="A11536" t="n">
        <v>14290726</v>
      </c>
      <c r="B11536" t="n">
        <v>55079</v>
      </c>
      <c r="C11536" t="inlineStr">
        <is>
          <t>1429/07/26</t>
        </is>
      </c>
    </row>
    <row r="11537">
      <c r="A11537" t="n">
        <v>14290727</v>
      </c>
      <c r="B11537" t="n">
        <v>55080</v>
      </c>
      <c r="C11537" t="inlineStr">
        <is>
          <t>1429/07/27</t>
        </is>
      </c>
    </row>
    <row r="11538">
      <c r="A11538" t="n">
        <v>14290728</v>
      </c>
      <c r="B11538" t="n">
        <v>55081</v>
      </c>
      <c r="C11538" t="inlineStr">
        <is>
          <t>1429/07/28</t>
        </is>
      </c>
    </row>
    <row r="11539">
      <c r="A11539" t="n">
        <v>14290729</v>
      </c>
      <c r="B11539" t="n">
        <v>55082</v>
      </c>
      <c r="C11539" t="inlineStr">
        <is>
          <t>1429/07/29</t>
        </is>
      </c>
    </row>
    <row r="11540">
      <c r="A11540" t="n">
        <v>14290730</v>
      </c>
      <c r="B11540" t="n">
        <v>55083</v>
      </c>
      <c r="C11540" t="inlineStr">
        <is>
          <t>1429/07/30</t>
        </is>
      </c>
    </row>
    <row r="11541">
      <c r="A11541" t="n">
        <v>14290801</v>
      </c>
      <c r="B11541" t="n">
        <v>55084</v>
      </c>
      <c r="C11541" t="inlineStr">
        <is>
          <t>1429/08/01</t>
        </is>
      </c>
    </row>
    <row r="11542">
      <c r="A11542" t="n">
        <v>14290802</v>
      </c>
      <c r="B11542" t="n">
        <v>55085</v>
      </c>
      <c r="C11542" t="inlineStr">
        <is>
          <t>1429/08/02</t>
        </is>
      </c>
    </row>
    <row r="11543">
      <c r="A11543" t="n">
        <v>14290803</v>
      </c>
      <c r="B11543" t="n">
        <v>55086</v>
      </c>
      <c r="C11543" t="inlineStr">
        <is>
          <t>1429/08/03</t>
        </is>
      </c>
    </row>
    <row r="11544">
      <c r="A11544" t="n">
        <v>14290804</v>
      </c>
      <c r="B11544" t="n">
        <v>55087</v>
      </c>
      <c r="C11544" t="inlineStr">
        <is>
          <t>1429/08/04</t>
        </is>
      </c>
    </row>
    <row r="11545">
      <c r="A11545" t="n">
        <v>14290805</v>
      </c>
      <c r="B11545" t="n">
        <v>55088</v>
      </c>
      <c r="C11545" t="inlineStr">
        <is>
          <t>1429/08/05</t>
        </is>
      </c>
    </row>
    <row r="11546">
      <c r="A11546" t="n">
        <v>14290806</v>
      </c>
      <c r="B11546" t="n">
        <v>55089</v>
      </c>
      <c r="C11546" t="inlineStr">
        <is>
          <t>1429/08/06</t>
        </is>
      </c>
    </row>
    <row r="11547">
      <c r="A11547" t="n">
        <v>14290807</v>
      </c>
      <c r="B11547" t="n">
        <v>55090</v>
      </c>
      <c r="C11547" t="inlineStr">
        <is>
          <t>1429/08/07</t>
        </is>
      </c>
    </row>
    <row r="11548">
      <c r="A11548" t="n">
        <v>14290808</v>
      </c>
      <c r="B11548" t="n">
        <v>55091</v>
      </c>
      <c r="C11548" t="inlineStr">
        <is>
          <t>1429/08/08</t>
        </is>
      </c>
    </row>
    <row r="11549">
      <c r="A11549" t="n">
        <v>14290809</v>
      </c>
      <c r="B11549" t="n">
        <v>55092</v>
      </c>
      <c r="C11549" t="inlineStr">
        <is>
          <t>1429/08/09</t>
        </is>
      </c>
    </row>
    <row r="11550">
      <c r="A11550" t="n">
        <v>14290810</v>
      </c>
      <c r="B11550" t="n">
        <v>55093</v>
      </c>
      <c r="C11550" t="inlineStr">
        <is>
          <t>1429/08/10</t>
        </is>
      </c>
    </row>
    <row r="11551">
      <c r="A11551" t="n">
        <v>14290811</v>
      </c>
      <c r="B11551" t="n">
        <v>55094</v>
      </c>
      <c r="C11551" t="inlineStr">
        <is>
          <t>1429/08/11</t>
        </is>
      </c>
    </row>
    <row r="11552">
      <c r="A11552" t="n">
        <v>14290812</v>
      </c>
      <c r="B11552" t="n">
        <v>55095</v>
      </c>
      <c r="C11552" t="inlineStr">
        <is>
          <t>1429/08/12</t>
        </is>
      </c>
    </row>
    <row r="11553">
      <c r="A11553" t="n">
        <v>14290813</v>
      </c>
      <c r="B11553" t="n">
        <v>55096</v>
      </c>
      <c r="C11553" t="inlineStr">
        <is>
          <t>1429/08/13</t>
        </is>
      </c>
    </row>
    <row r="11554">
      <c r="A11554" t="n">
        <v>14290814</v>
      </c>
      <c r="B11554" t="n">
        <v>55097</v>
      </c>
      <c r="C11554" t="inlineStr">
        <is>
          <t>1429/08/14</t>
        </is>
      </c>
    </row>
    <row r="11555">
      <c r="A11555" t="n">
        <v>14290815</v>
      </c>
      <c r="B11555" t="n">
        <v>55098</v>
      </c>
      <c r="C11555" t="inlineStr">
        <is>
          <t>1429/08/15</t>
        </is>
      </c>
    </row>
    <row r="11556">
      <c r="A11556" t="n">
        <v>14290816</v>
      </c>
      <c r="B11556" t="n">
        <v>55099</v>
      </c>
      <c r="C11556" t="inlineStr">
        <is>
          <t>1429/08/16</t>
        </is>
      </c>
    </row>
    <row r="11557">
      <c r="A11557" t="n">
        <v>14290817</v>
      </c>
      <c r="B11557" t="n">
        <v>55100</v>
      </c>
      <c r="C11557" t="inlineStr">
        <is>
          <t>1429/08/17</t>
        </is>
      </c>
    </row>
    <row r="11558">
      <c r="A11558" t="n">
        <v>14290818</v>
      </c>
      <c r="B11558" t="n">
        <v>55101</v>
      </c>
      <c r="C11558" t="inlineStr">
        <is>
          <t>1429/08/18</t>
        </is>
      </c>
    </row>
    <row r="11559">
      <c r="A11559" t="n">
        <v>14290819</v>
      </c>
      <c r="B11559" t="n">
        <v>55102</v>
      </c>
      <c r="C11559" t="inlineStr">
        <is>
          <t>1429/08/19</t>
        </is>
      </c>
    </row>
    <row r="11560">
      <c r="A11560" t="n">
        <v>14290820</v>
      </c>
      <c r="B11560" t="n">
        <v>55103</v>
      </c>
      <c r="C11560" t="inlineStr">
        <is>
          <t>1429/08/20</t>
        </is>
      </c>
    </row>
    <row r="11561">
      <c r="A11561" t="n">
        <v>14290821</v>
      </c>
      <c r="B11561" t="n">
        <v>55104</v>
      </c>
      <c r="C11561" t="inlineStr">
        <is>
          <t>1429/08/21</t>
        </is>
      </c>
    </row>
    <row r="11562">
      <c r="A11562" t="n">
        <v>14290822</v>
      </c>
      <c r="B11562" t="n">
        <v>55105</v>
      </c>
      <c r="C11562" t="inlineStr">
        <is>
          <t>1429/08/22</t>
        </is>
      </c>
    </row>
    <row r="11563">
      <c r="A11563" t="n">
        <v>14290823</v>
      </c>
      <c r="B11563" t="n">
        <v>55106</v>
      </c>
      <c r="C11563" t="inlineStr">
        <is>
          <t>1429/08/23</t>
        </is>
      </c>
    </row>
    <row r="11564">
      <c r="A11564" t="n">
        <v>14290824</v>
      </c>
      <c r="B11564" t="n">
        <v>55107</v>
      </c>
      <c r="C11564" t="inlineStr">
        <is>
          <t>1429/08/24</t>
        </is>
      </c>
    </row>
    <row r="11565">
      <c r="A11565" t="n">
        <v>14290825</v>
      </c>
      <c r="B11565" t="n">
        <v>55108</v>
      </c>
      <c r="C11565" t="inlineStr">
        <is>
          <t>1429/08/25</t>
        </is>
      </c>
    </row>
    <row r="11566">
      <c r="A11566" t="n">
        <v>14290826</v>
      </c>
      <c r="B11566" t="n">
        <v>55109</v>
      </c>
      <c r="C11566" t="inlineStr">
        <is>
          <t>1429/08/26</t>
        </is>
      </c>
    </row>
    <row r="11567">
      <c r="A11567" t="n">
        <v>14290827</v>
      </c>
      <c r="B11567" t="n">
        <v>55110</v>
      </c>
      <c r="C11567" t="inlineStr">
        <is>
          <t>1429/08/27</t>
        </is>
      </c>
    </row>
    <row r="11568">
      <c r="A11568" t="n">
        <v>14290828</v>
      </c>
      <c r="B11568" t="n">
        <v>55111</v>
      </c>
      <c r="C11568" t="inlineStr">
        <is>
          <t>1429/08/28</t>
        </is>
      </c>
    </row>
    <row r="11569">
      <c r="A11569" t="n">
        <v>14290829</v>
      </c>
      <c r="B11569" t="n">
        <v>55112</v>
      </c>
      <c r="C11569" t="inlineStr">
        <is>
          <t>1429/08/29</t>
        </is>
      </c>
    </row>
    <row r="11570">
      <c r="A11570" t="n">
        <v>14290830</v>
      </c>
      <c r="B11570" t="n">
        <v>55113</v>
      </c>
      <c r="C11570" t="inlineStr">
        <is>
          <t>1429/08/30</t>
        </is>
      </c>
    </row>
    <row r="11571">
      <c r="A11571" t="n">
        <v>14290901</v>
      </c>
      <c r="B11571" t="n">
        <v>55114</v>
      </c>
      <c r="C11571" t="inlineStr">
        <is>
          <t>1429/09/01</t>
        </is>
      </c>
    </row>
    <row r="11572">
      <c r="A11572" t="n">
        <v>14290902</v>
      </c>
      <c r="B11572" t="n">
        <v>55115</v>
      </c>
      <c r="C11572" t="inlineStr">
        <is>
          <t>1429/09/02</t>
        </is>
      </c>
    </row>
    <row r="11573">
      <c r="A11573" t="n">
        <v>14290903</v>
      </c>
      <c r="B11573" t="n">
        <v>55116</v>
      </c>
      <c r="C11573" t="inlineStr">
        <is>
          <t>1429/09/03</t>
        </is>
      </c>
    </row>
    <row r="11574">
      <c r="A11574" t="n">
        <v>14290904</v>
      </c>
      <c r="B11574" t="n">
        <v>55117</v>
      </c>
      <c r="C11574" t="inlineStr">
        <is>
          <t>1429/09/04</t>
        </is>
      </c>
    </row>
    <row r="11575">
      <c r="A11575" t="n">
        <v>14290905</v>
      </c>
      <c r="B11575" t="n">
        <v>55118</v>
      </c>
      <c r="C11575" t="inlineStr">
        <is>
          <t>1429/09/05</t>
        </is>
      </c>
    </row>
    <row r="11576">
      <c r="A11576" t="n">
        <v>14290906</v>
      </c>
      <c r="B11576" t="n">
        <v>55119</v>
      </c>
      <c r="C11576" t="inlineStr">
        <is>
          <t>1429/09/06</t>
        </is>
      </c>
    </row>
    <row r="11577">
      <c r="A11577" t="n">
        <v>14290907</v>
      </c>
      <c r="B11577" t="n">
        <v>55120</v>
      </c>
      <c r="C11577" t="inlineStr">
        <is>
          <t>1429/09/07</t>
        </is>
      </c>
    </row>
    <row r="11578">
      <c r="A11578" t="n">
        <v>14290908</v>
      </c>
      <c r="B11578" t="n">
        <v>55121</v>
      </c>
      <c r="C11578" t="inlineStr">
        <is>
          <t>1429/09/08</t>
        </is>
      </c>
    </row>
    <row r="11579">
      <c r="A11579" t="n">
        <v>14290909</v>
      </c>
      <c r="B11579" t="n">
        <v>55122</v>
      </c>
      <c r="C11579" t="inlineStr">
        <is>
          <t>1429/09/09</t>
        </is>
      </c>
    </row>
    <row r="11580">
      <c r="A11580" t="n">
        <v>14290910</v>
      </c>
      <c r="B11580" t="n">
        <v>55123</v>
      </c>
      <c r="C11580" t="inlineStr">
        <is>
          <t>1429/09/10</t>
        </is>
      </c>
    </row>
    <row r="11581">
      <c r="A11581" t="n">
        <v>14290911</v>
      </c>
      <c r="B11581" t="n">
        <v>55124</v>
      </c>
      <c r="C11581" t="inlineStr">
        <is>
          <t>1429/09/11</t>
        </is>
      </c>
    </row>
    <row r="11582">
      <c r="A11582" t="n">
        <v>14290912</v>
      </c>
      <c r="B11582" t="n">
        <v>55125</v>
      </c>
      <c r="C11582" t="inlineStr">
        <is>
          <t>1429/09/12</t>
        </is>
      </c>
    </row>
    <row r="11583">
      <c r="A11583" t="n">
        <v>14290913</v>
      </c>
      <c r="B11583" t="n">
        <v>55126</v>
      </c>
      <c r="C11583" t="inlineStr">
        <is>
          <t>1429/09/13</t>
        </is>
      </c>
    </row>
    <row r="11584">
      <c r="A11584" t="n">
        <v>14290914</v>
      </c>
      <c r="B11584" t="n">
        <v>55127</v>
      </c>
      <c r="C11584" t="inlineStr">
        <is>
          <t>1429/09/14</t>
        </is>
      </c>
    </row>
    <row r="11585">
      <c r="A11585" t="n">
        <v>14290915</v>
      </c>
      <c r="B11585" t="n">
        <v>55128</v>
      </c>
      <c r="C11585" t="inlineStr">
        <is>
          <t>1429/09/15</t>
        </is>
      </c>
    </row>
    <row r="11586">
      <c r="A11586" t="n">
        <v>14290916</v>
      </c>
      <c r="B11586" t="n">
        <v>55129</v>
      </c>
      <c r="C11586" t="inlineStr">
        <is>
          <t>1429/09/16</t>
        </is>
      </c>
    </row>
    <row r="11587">
      <c r="A11587" t="n">
        <v>14290917</v>
      </c>
      <c r="B11587" t="n">
        <v>55130</v>
      </c>
      <c r="C11587" t="inlineStr">
        <is>
          <t>1429/09/17</t>
        </is>
      </c>
    </row>
    <row r="11588">
      <c r="A11588" t="n">
        <v>14290918</v>
      </c>
      <c r="B11588" t="n">
        <v>55131</v>
      </c>
      <c r="C11588" t="inlineStr">
        <is>
          <t>1429/09/18</t>
        </is>
      </c>
    </row>
    <row r="11589">
      <c r="A11589" t="n">
        <v>14290919</v>
      </c>
      <c r="B11589" t="n">
        <v>55132</v>
      </c>
      <c r="C11589" t="inlineStr">
        <is>
          <t>1429/09/19</t>
        </is>
      </c>
    </row>
    <row r="11590">
      <c r="A11590" t="n">
        <v>14290920</v>
      </c>
      <c r="B11590" t="n">
        <v>55133</v>
      </c>
      <c r="C11590" t="inlineStr">
        <is>
          <t>1429/09/20</t>
        </is>
      </c>
    </row>
    <row r="11591">
      <c r="A11591" t="n">
        <v>14290921</v>
      </c>
      <c r="B11591" t="n">
        <v>55134</v>
      </c>
      <c r="C11591" t="inlineStr">
        <is>
          <t>1429/09/21</t>
        </is>
      </c>
    </row>
    <row r="11592">
      <c r="A11592" t="n">
        <v>14290922</v>
      </c>
      <c r="B11592" t="n">
        <v>55135</v>
      </c>
      <c r="C11592" t="inlineStr">
        <is>
          <t>1429/09/22</t>
        </is>
      </c>
    </row>
    <row r="11593">
      <c r="A11593" t="n">
        <v>14290923</v>
      </c>
      <c r="B11593" t="n">
        <v>55136</v>
      </c>
      <c r="C11593" t="inlineStr">
        <is>
          <t>1429/09/23</t>
        </is>
      </c>
    </row>
    <row r="11594">
      <c r="A11594" t="n">
        <v>14290924</v>
      </c>
      <c r="B11594" t="n">
        <v>55137</v>
      </c>
      <c r="C11594" t="inlineStr">
        <is>
          <t>1429/09/24</t>
        </is>
      </c>
    </row>
    <row r="11595">
      <c r="A11595" t="n">
        <v>14290925</v>
      </c>
      <c r="B11595" t="n">
        <v>55138</v>
      </c>
      <c r="C11595" t="inlineStr">
        <is>
          <t>1429/09/25</t>
        </is>
      </c>
    </row>
    <row r="11596">
      <c r="A11596" t="n">
        <v>14290926</v>
      </c>
      <c r="B11596" t="n">
        <v>55139</v>
      </c>
      <c r="C11596" t="inlineStr">
        <is>
          <t>1429/09/26</t>
        </is>
      </c>
    </row>
    <row r="11597">
      <c r="A11597" t="n">
        <v>14290927</v>
      </c>
      <c r="B11597" t="n">
        <v>55140</v>
      </c>
      <c r="C11597" t="inlineStr">
        <is>
          <t>1429/09/27</t>
        </is>
      </c>
    </row>
    <row r="11598">
      <c r="A11598" t="n">
        <v>14290928</v>
      </c>
      <c r="B11598" t="n">
        <v>55141</v>
      </c>
      <c r="C11598" t="inlineStr">
        <is>
          <t>1429/09/28</t>
        </is>
      </c>
    </row>
    <row r="11599">
      <c r="A11599" t="n">
        <v>14290929</v>
      </c>
      <c r="B11599" t="n">
        <v>55142</v>
      </c>
      <c r="C11599" t="inlineStr">
        <is>
          <t>1429/09/29</t>
        </is>
      </c>
    </row>
    <row r="11600">
      <c r="A11600" t="n">
        <v>14290930</v>
      </c>
      <c r="B11600" t="n">
        <v>55143</v>
      </c>
      <c r="C11600" t="inlineStr">
        <is>
          <t>1429/09/30</t>
        </is>
      </c>
    </row>
    <row r="11601">
      <c r="A11601" t="n">
        <v>14291001</v>
      </c>
      <c r="B11601" t="n">
        <v>55144</v>
      </c>
      <c r="C11601" t="inlineStr">
        <is>
          <t>1429/10/01</t>
        </is>
      </c>
    </row>
    <row r="11602">
      <c r="A11602" t="n">
        <v>14291002</v>
      </c>
      <c r="B11602" t="n">
        <v>55145</v>
      </c>
      <c r="C11602" t="inlineStr">
        <is>
          <t>1429/10/02</t>
        </is>
      </c>
    </row>
    <row r="11603">
      <c r="A11603" t="n">
        <v>14291003</v>
      </c>
      <c r="B11603" t="n">
        <v>55146</v>
      </c>
      <c r="C11603" t="inlineStr">
        <is>
          <t>1429/10/03</t>
        </is>
      </c>
    </row>
    <row r="11604">
      <c r="A11604" t="n">
        <v>14291004</v>
      </c>
      <c r="B11604" t="n">
        <v>55147</v>
      </c>
      <c r="C11604" t="inlineStr">
        <is>
          <t>1429/10/04</t>
        </is>
      </c>
    </row>
    <row r="11605">
      <c r="A11605" t="n">
        <v>14291005</v>
      </c>
      <c r="B11605" t="n">
        <v>55148</v>
      </c>
      <c r="C11605" t="inlineStr">
        <is>
          <t>1429/10/05</t>
        </is>
      </c>
    </row>
    <row r="11606">
      <c r="A11606" t="n">
        <v>14291006</v>
      </c>
      <c r="B11606" t="n">
        <v>55149</v>
      </c>
      <c r="C11606" t="inlineStr">
        <is>
          <t>1429/10/06</t>
        </is>
      </c>
    </row>
    <row r="11607">
      <c r="A11607" t="n">
        <v>14291007</v>
      </c>
      <c r="B11607" t="n">
        <v>55150</v>
      </c>
      <c r="C11607" t="inlineStr">
        <is>
          <t>1429/10/07</t>
        </is>
      </c>
    </row>
    <row r="11608">
      <c r="A11608" t="n">
        <v>14291008</v>
      </c>
      <c r="B11608" t="n">
        <v>55151</v>
      </c>
      <c r="C11608" t="inlineStr">
        <is>
          <t>1429/10/08</t>
        </is>
      </c>
    </row>
    <row r="11609">
      <c r="A11609" t="n">
        <v>14291009</v>
      </c>
      <c r="B11609" t="n">
        <v>55152</v>
      </c>
      <c r="C11609" t="inlineStr">
        <is>
          <t>1429/10/09</t>
        </is>
      </c>
    </row>
    <row r="11610">
      <c r="A11610" t="n">
        <v>14291010</v>
      </c>
      <c r="B11610" t="n">
        <v>55153</v>
      </c>
      <c r="C11610" t="inlineStr">
        <is>
          <t>1429/10/10</t>
        </is>
      </c>
    </row>
    <row r="11611">
      <c r="A11611" t="n">
        <v>14291011</v>
      </c>
      <c r="B11611" t="n">
        <v>55154</v>
      </c>
      <c r="C11611" t="inlineStr">
        <is>
          <t>1429/10/11</t>
        </is>
      </c>
    </row>
    <row r="11612">
      <c r="A11612" t="n">
        <v>14291012</v>
      </c>
      <c r="B11612" t="n">
        <v>55155</v>
      </c>
      <c r="C11612" t="inlineStr">
        <is>
          <t>1429/10/12</t>
        </is>
      </c>
    </row>
    <row r="11613">
      <c r="A11613" t="n">
        <v>14291013</v>
      </c>
      <c r="B11613" t="n">
        <v>55156</v>
      </c>
      <c r="C11613" t="inlineStr">
        <is>
          <t>1429/10/13</t>
        </is>
      </c>
    </row>
    <row r="11614">
      <c r="A11614" t="n">
        <v>14291014</v>
      </c>
      <c r="B11614" t="n">
        <v>55157</v>
      </c>
      <c r="C11614" t="inlineStr">
        <is>
          <t>1429/10/14</t>
        </is>
      </c>
    </row>
    <row r="11615">
      <c r="A11615" t="n">
        <v>14291015</v>
      </c>
      <c r="B11615" t="n">
        <v>55158</v>
      </c>
      <c r="C11615" t="inlineStr">
        <is>
          <t>1429/10/15</t>
        </is>
      </c>
    </row>
    <row r="11616">
      <c r="A11616" t="n">
        <v>14291016</v>
      </c>
      <c r="B11616" t="n">
        <v>55159</v>
      </c>
      <c r="C11616" t="inlineStr">
        <is>
          <t>1429/10/16</t>
        </is>
      </c>
    </row>
    <row r="11617">
      <c r="A11617" t="n">
        <v>14291017</v>
      </c>
      <c r="B11617" t="n">
        <v>55160</v>
      </c>
      <c r="C11617" t="inlineStr">
        <is>
          <t>1429/10/17</t>
        </is>
      </c>
    </row>
    <row r="11618">
      <c r="A11618" t="n">
        <v>14291018</v>
      </c>
      <c r="B11618" t="n">
        <v>55161</v>
      </c>
      <c r="C11618" t="inlineStr">
        <is>
          <t>1429/10/18</t>
        </is>
      </c>
    </row>
    <row r="11619">
      <c r="A11619" t="n">
        <v>14291019</v>
      </c>
      <c r="B11619" t="n">
        <v>55162</v>
      </c>
      <c r="C11619" t="inlineStr">
        <is>
          <t>1429/10/19</t>
        </is>
      </c>
    </row>
    <row r="11620">
      <c r="A11620" t="n">
        <v>14291020</v>
      </c>
      <c r="B11620" t="n">
        <v>55163</v>
      </c>
      <c r="C11620" t="inlineStr">
        <is>
          <t>1429/10/20</t>
        </is>
      </c>
    </row>
    <row r="11621">
      <c r="A11621" t="n">
        <v>14291021</v>
      </c>
      <c r="B11621" t="n">
        <v>55164</v>
      </c>
      <c r="C11621" t="inlineStr">
        <is>
          <t>1429/10/21</t>
        </is>
      </c>
    </row>
    <row r="11622">
      <c r="A11622" t="n">
        <v>14291022</v>
      </c>
      <c r="B11622" t="n">
        <v>55165</v>
      </c>
      <c r="C11622" t="inlineStr">
        <is>
          <t>1429/10/22</t>
        </is>
      </c>
    </row>
    <row r="11623">
      <c r="A11623" t="n">
        <v>14291023</v>
      </c>
      <c r="B11623" t="n">
        <v>55166</v>
      </c>
      <c r="C11623" t="inlineStr">
        <is>
          <t>1429/10/23</t>
        </is>
      </c>
    </row>
    <row r="11624">
      <c r="A11624" t="n">
        <v>14291024</v>
      </c>
      <c r="B11624" t="n">
        <v>55167</v>
      </c>
      <c r="C11624" t="inlineStr">
        <is>
          <t>1429/10/24</t>
        </is>
      </c>
    </row>
    <row r="11625">
      <c r="A11625" t="n">
        <v>14291025</v>
      </c>
      <c r="B11625" t="n">
        <v>55168</v>
      </c>
      <c r="C11625" t="inlineStr">
        <is>
          <t>1429/10/25</t>
        </is>
      </c>
    </row>
    <row r="11626">
      <c r="A11626" t="n">
        <v>14291026</v>
      </c>
      <c r="B11626" t="n">
        <v>55169</v>
      </c>
      <c r="C11626" t="inlineStr">
        <is>
          <t>1429/10/26</t>
        </is>
      </c>
    </row>
    <row r="11627">
      <c r="A11627" t="n">
        <v>14291027</v>
      </c>
      <c r="B11627" t="n">
        <v>55170</v>
      </c>
      <c r="C11627" t="inlineStr">
        <is>
          <t>1429/10/27</t>
        </is>
      </c>
    </row>
    <row r="11628">
      <c r="A11628" t="n">
        <v>14291028</v>
      </c>
      <c r="B11628" t="n">
        <v>55171</v>
      </c>
      <c r="C11628" t="inlineStr">
        <is>
          <t>1429/10/28</t>
        </is>
      </c>
    </row>
    <row r="11629">
      <c r="A11629" t="n">
        <v>14291029</v>
      </c>
      <c r="B11629" t="n">
        <v>55172</v>
      </c>
      <c r="C11629" t="inlineStr">
        <is>
          <t>1429/10/29</t>
        </is>
      </c>
    </row>
    <row r="11630">
      <c r="A11630" t="n">
        <v>14291030</v>
      </c>
      <c r="B11630" t="n">
        <v>55173</v>
      </c>
      <c r="C11630" t="inlineStr">
        <is>
          <t>1429/10/30</t>
        </is>
      </c>
    </row>
    <row r="11631">
      <c r="A11631" t="n">
        <v>14291101</v>
      </c>
      <c r="B11631" t="n">
        <v>55174</v>
      </c>
      <c r="C11631" t="inlineStr">
        <is>
          <t>1429/11/01</t>
        </is>
      </c>
    </row>
    <row r="11632">
      <c r="A11632" t="n">
        <v>14291102</v>
      </c>
      <c r="B11632" t="n">
        <v>55175</v>
      </c>
      <c r="C11632" t="inlineStr">
        <is>
          <t>1429/11/02</t>
        </is>
      </c>
    </row>
    <row r="11633">
      <c r="A11633" t="n">
        <v>14291103</v>
      </c>
      <c r="B11633" t="n">
        <v>55176</v>
      </c>
      <c r="C11633" t="inlineStr">
        <is>
          <t>1429/11/03</t>
        </is>
      </c>
    </row>
    <row r="11634">
      <c r="A11634" t="n">
        <v>14291104</v>
      </c>
      <c r="B11634" t="n">
        <v>55177</v>
      </c>
      <c r="C11634" t="inlineStr">
        <is>
          <t>1429/11/04</t>
        </is>
      </c>
    </row>
    <row r="11635">
      <c r="A11635" t="n">
        <v>14291105</v>
      </c>
      <c r="B11635" t="n">
        <v>55178</v>
      </c>
      <c r="C11635" t="inlineStr">
        <is>
          <t>1429/11/05</t>
        </is>
      </c>
    </row>
    <row r="11636">
      <c r="A11636" t="n">
        <v>14291106</v>
      </c>
      <c r="B11636" t="n">
        <v>55179</v>
      </c>
      <c r="C11636" t="inlineStr">
        <is>
          <t>1429/11/06</t>
        </is>
      </c>
    </row>
    <row r="11637">
      <c r="A11637" t="n">
        <v>14291107</v>
      </c>
      <c r="B11637" t="n">
        <v>55180</v>
      </c>
      <c r="C11637" t="inlineStr">
        <is>
          <t>1429/11/07</t>
        </is>
      </c>
    </row>
    <row r="11638">
      <c r="A11638" t="n">
        <v>14291108</v>
      </c>
      <c r="B11638" t="n">
        <v>55181</v>
      </c>
      <c r="C11638" t="inlineStr">
        <is>
          <t>1429/11/08</t>
        </is>
      </c>
    </row>
    <row r="11639">
      <c r="A11639" t="n">
        <v>14291109</v>
      </c>
      <c r="B11639" t="n">
        <v>55182</v>
      </c>
      <c r="C11639" t="inlineStr">
        <is>
          <t>1429/11/09</t>
        </is>
      </c>
    </row>
    <row r="11640">
      <c r="A11640" t="n">
        <v>14291110</v>
      </c>
      <c r="B11640" t="n">
        <v>55183</v>
      </c>
      <c r="C11640" t="inlineStr">
        <is>
          <t>1429/11/10</t>
        </is>
      </c>
    </row>
    <row r="11641">
      <c r="A11641" t="n">
        <v>14291111</v>
      </c>
      <c r="B11641" t="n">
        <v>55184</v>
      </c>
      <c r="C11641" t="inlineStr">
        <is>
          <t>1429/11/11</t>
        </is>
      </c>
    </row>
    <row r="11642">
      <c r="A11642" t="n">
        <v>14291112</v>
      </c>
      <c r="B11642" t="n">
        <v>55185</v>
      </c>
      <c r="C11642" t="inlineStr">
        <is>
          <t>1429/11/12</t>
        </is>
      </c>
    </row>
    <row r="11643">
      <c r="A11643" t="n">
        <v>14291113</v>
      </c>
      <c r="B11643" t="n">
        <v>55186</v>
      </c>
      <c r="C11643" t="inlineStr">
        <is>
          <t>1429/11/13</t>
        </is>
      </c>
    </row>
    <row r="11644">
      <c r="A11644" t="n">
        <v>14291114</v>
      </c>
      <c r="B11644" t="n">
        <v>55187</v>
      </c>
      <c r="C11644" t="inlineStr">
        <is>
          <t>1429/11/14</t>
        </is>
      </c>
    </row>
    <row r="11645">
      <c r="A11645" t="n">
        <v>14291115</v>
      </c>
      <c r="B11645" t="n">
        <v>55188</v>
      </c>
      <c r="C11645" t="inlineStr">
        <is>
          <t>1429/11/15</t>
        </is>
      </c>
    </row>
    <row r="11646">
      <c r="A11646" t="n">
        <v>14291116</v>
      </c>
      <c r="B11646" t="n">
        <v>55189</v>
      </c>
      <c r="C11646" t="inlineStr">
        <is>
          <t>1429/11/16</t>
        </is>
      </c>
    </row>
    <row r="11647">
      <c r="A11647" t="n">
        <v>14291117</v>
      </c>
      <c r="B11647" t="n">
        <v>55190</v>
      </c>
      <c r="C11647" t="inlineStr">
        <is>
          <t>1429/11/17</t>
        </is>
      </c>
    </row>
    <row r="11648">
      <c r="A11648" t="n">
        <v>14291118</v>
      </c>
      <c r="B11648" t="n">
        <v>55191</v>
      </c>
      <c r="C11648" t="inlineStr">
        <is>
          <t>1429/11/18</t>
        </is>
      </c>
    </row>
    <row r="11649">
      <c r="A11649" t="n">
        <v>14291119</v>
      </c>
      <c r="B11649" t="n">
        <v>55192</v>
      </c>
      <c r="C11649" t="inlineStr">
        <is>
          <t>1429/11/19</t>
        </is>
      </c>
    </row>
    <row r="11650">
      <c r="A11650" t="n">
        <v>14291120</v>
      </c>
      <c r="B11650" t="n">
        <v>55193</v>
      </c>
      <c r="C11650" t="inlineStr">
        <is>
          <t>1429/11/20</t>
        </is>
      </c>
    </row>
    <row r="11651">
      <c r="A11651" t="n">
        <v>14291121</v>
      </c>
      <c r="B11651" t="n">
        <v>55194</v>
      </c>
      <c r="C11651" t="inlineStr">
        <is>
          <t>1429/11/21</t>
        </is>
      </c>
    </row>
    <row r="11652">
      <c r="A11652" t="n">
        <v>14291122</v>
      </c>
      <c r="B11652" t="n">
        <v>55195</v>
      </c>
      <c r="C11652" t="inlineStr">
        <is>
          <t>1429/11/22</t>
        </is>
      </c>
    </row>
    <row r="11653">
      <c r="A11653" t="n">
        <v>14291123</v>
      </c>
      <c r="B11653" t="n">
        <v>55196</v>
      </c>
      <c r="C11653" t="inlineStr">
        <is>
          <t>1429/11/23</t>
        </is>
      </c>
    </row>
    <row r="11654">
      <c r="A11654" t="n">
        <v>14291124</v>
      </c>
      <c r="B11654" t="n">
        <v>55197</v>
      </c>
      <c r="C11654" t="inlineStr">
        <is>
          <t>1429/11/24</t>
        </is>
      </c>
    </row>
    <row r="11655">
      <c r="A11655" t="n">
        <v>14291125</v>
      </c>
      <c r="B11655" t="n">
        <v>55198</v>
      </c>
      <c r="C11655" t="inlineStr">
        <is>
          <t>1429/11/25</t>
        </is>
      </c>
    </row>
    <row r="11656">
      <c r="A11656" t="n">
        <v>14291126</v>
      </c>
      <c r="B11656" t="n">
        <v>55199</v>
      </c>
      <c r="C11656" t="inlineStr">
        <is>
          <t>1429/11/26</t>
        </is>
      </c>
    </row>
    <row r="11657">
      <c r="A11657" t="n">
        <v>14291127</v>
      </c>
      <c r="B11657" t="n">
        <v>55200</v>
      </c>
      <c r="C11657" t="inlineStr">
        <is>
          <t>1429/11/27</t>
        </is>
      </c>
    </row>
    <row r="11658">
      <c r="A11658" t="n">
        <v>14291128</v>
      </c>
      <c r="B11658" t="n">
        <v>55201</v>
      </c>
      <c r="C11658" t="inlineStr">
        <is>
          <t>1429/11/28</t>
        </is>
      </c>
    </row>
    <row r="11659">
      <c r="A11659" t="n">
        <v>14291129</v>
      </c>
      <c r="B11659" t="n">
        <v>55202</v>
      </c>
      <c r="C11659" t="inlineStr">
        <is>
          <t>1429/11/29</t>
        </is>
      </c>
    </row>
    <row r="11660">
      <c r="A11660" t="n">
        <v>14291130</v>
      </c>
      <c r="B11660" t="n">
        <v>55203</v>
      </c>
      <c r="C11660" t="inlineStr">
        <is>
          <t>1429/11/30</t>
        </is>
      </c>
    </row>
    <row r="11661">
      <c r="A11661" t="n">
        <v>14291201</v>
      </c>
      <c r="B11661" t="n">
        <v>55204</v>
      </c>
      <c r="C11661" t="inlineStr">
        <is>
          <t>1429/12/01</t>
        </is>
      </c>
    </row>
    <row r="11662">
      <c r="A11662" t="n">
        <v>14291202</v>
      </c>
      <c r="B11662" t="n">
        <v>55205</v>
      </c>
      <c r="C11662" t="inlineStr">
        <is>
          <t>1429/12/02</t>
        </is>
      </c>
    </row>
    <row r="11663">
      <c r="A11663" t="n">
        <v>14291203</v>
      </c>
      <c r="B11663" t="n">
        <v>55206</v>
      </c>
      <c r="C11663" t="inlineStr">
        <is>
          <t>1429/12/03</t>
        </is>
      </c>
    </row>
    <row r="11664">
      <c r="A11664" t="n">
        <v>14291204</v>
      </c>
      <c r="B11664" t="n">
        <v>55207</v>
      </c>
      <c r="C11664" t="inlineStr">
        <is>
          <t>1429/12/04</t>
        </is>
      </c>
    </row>
    <row r="11665">
      <c r="A11665" t="n">
        <v>14291205</v>
      </c>
      <c r="B11665" t="n">
        <v>55208</v>
      </c>
      <c r="C11665" t="inlineStr">
        <is>
          <t>1429/12/05</t>
        </is>
      </c>
    </row>
    <row r="11666">
      <c r="A11666" t="n">
        <v>14291206</v>
      </c>
      <c r="B11666" t="n">
        <v>55209</v>
      </c>
      <c r="C11666" t="inlineStr">
        <is>
          <t>1429/12/06</t>
        </is>
      </c>
    </row>
    <row r="11667">
      <c r="A11667" t="n">
        <v>14291207</v>
      </c>
      <c r="B11667" t="n">
        <v>55210</v>
      </c>
      <c r="C11667" t="inlineStr">
        <is>
          <t>1429/12/07</t>
        </is>
      </c>
    </row>
    <row r="11668">
      <c r="A11668" t="n">
        <v>14291208</v>
      </c>
      <c r="B11668" t="n">
        <v>55211</v>
      </c>
      <c r="C11668" t="inlineStr">
        <is>
          <t>1429/12/08</t>
        </is>
      </c>
    </row>
    <row r="11669">
      <c r="A11669" t="n">
        <v>14291209</v>
      </c>
      <c r="B11669" t="n">
        <v>55212</v>
      </c>
      <c r="C11669" t="inlineStr">
        <is>
          <t>1429/12/09</t>
        </is>
      </c>
    </row>
    <row r="11670">
      <c r="A11670" t="n">
        <v>14291210</v>
      </c>
      <c r="B11670" t="n">
        <v>55213</v>
      </c>
      <c r="C11670" t="inlineStr">
        <is>
          <t>1429/12/10</t>
        </is>
      </c>
    </row>
    <row r="11671">
      <c r="A11671" t="n">
        <v>14291211</v>
      </c>
      <c r="B11671" t="n">
        <v>55214</v>
      </c>
      <c r="C11671" t="inlineStr">
        <is>
          <t>1429/12/11</t>
        </is>
      </c>
    </row>
    <row r="11672">
      <c r="A11672" t="n">
        <v>14291212</v>
      </c>
      <c r="B11672" t="n">
        <v>55215</v>
      </c>
      <c r="C11672" t="inlineStr">
        <is>
          <t>1429/12/12</t>
        </is>
      </c>
    </row>
    <row r="11673">
      <c r="A11673" t="n">
        <v>14291213</v>
      </c>
      <c r="B11673" t="n">
        <v>55216</v>
      </c>
      <c r="C11673" t="inlineStr">
        <is>
          <t>1429/12/13</t>
        </is>
      </c>
    </row>
    <row r="11674">
      <c r="A11674" t="n">
        <v>14291214</v>
      </c>
      <c r="B11674" t="n">
        <v>55217</v>
      </c>
      <c r="C11674" t="inlineStr">
        <is>
          <t>1429/12/14</t>
        </is>
      </c>
    </row>
    <row r="11675">
      <c r="A11675" t="n">
        <v>14291215</v>
      </c>
      <c r="B11675" t="n">
        <v>55218</v>
      </c>
      <c r="C11675" t="inlineStr">
        <is>
          <t>1429/12/15</t>
        </is>
      </c>
    </row>
    <row r="11676">
      <c r="A11676" t="n">
        <v>14291216</v>
      </c>
      <c r="B11676" t="n">
        <v>55219</v>
      </c>
      <c r="C11676" t="inlineStr">
        <is>
          <t>1429/12/16</t>
        </is>
      </c>
    </row>
    <row r="11677">
      <c r="A11677" t="n">
        <v>14291217</v>
      </c>
      <c r="B11677" t="n">
        <v>55220</v>
      </c>
      <c r="C11677" t="inlineStr">
        <is>
          <t>1429/12/17</t>
        </is>
      </c>
    </row>
    <row r="11678">
      <c r="A11678" t="n">
        <v>14291218</v>
      </c>
      <c r="B11678" t="n">
        <v>55221</v>
      </c>
      <c r="C11678" t="inlineStr">
        <is>
          <t>1429/12/18</t>
        </is>
      </c>
    </row>
    <row r="11679">
      <c r="A11679" t="n">
        <v>14291219</v>
      </c>
      <c r="B11679" t="n">
        <v>55222</v>
      </c>
      <c r="C11679" t="inlineStr">
        <is>
          <t>1429/12/19</t>
        </is>
      </c>
    </row>
    <row r="11680">
      <c r="A11680" t="n">
        <v>14291220</v>
      </c>
      <c r="B11680" t="n">
        <v>55223</v>
      </c>
      <c r="C11680" t="inlineStr">
        <is>
          <t>1429/12/20</t>
        </is>
      </c>
    </row>
    <row r="11681">
      <c r="A11681" t="n">
        <v>14291221</v>
      </c>
      <c r="B11681" t="n">
        <v>55224</v>
      </c>
      <c r="C11681" t="inlineStr">
        <is>
          <t>1429/12/21</t>
        </is>
      </c>
    </row>
    <row r="11682">
      <c r="A11682" t="n">
        <v>14291222</v>
      </c>
      <c r="B11682" t="n">
        <v>55225</v>
      </c>
      <c r="C11682" t="inlineStr">
        <is>
          <t>1429/12/22</t>
        </is>
      </c>
    </row>
    <row r="11683">
      <c r="A11683" t="n">
        <v>14291223</v>
      </c>
      <c r="B11683" t="n">
        <v>55226</v>
      </c>
      <c r="C11683" t="inlineStr">
        <is>
          <t>1429/12/23</t>
        </is>
      </c>
    </row>
    <row r="11684">
      <c r="A11684" t="n">
        <v>14291224</v>
      </c>
      <c r="B11684" t="n">
        <v>55227</v>
      </c>
      <c r="C11684" t="inlineStr">
        <is>
          <t>1429/12/24</t>
        </is>
      </c>
    </row>
    <row r="11685">
      <c r="A11685" t="n">
        <v>14291225</v>
      </c>
      <c r="B11685" t="n">
        <v>55228</v>
      </c>
      <c r="C11685" t="inlineStr">
        <is>
          <t>1429/12/25</t>
        </is>
      </c>
    </row>
    <row r="11686">
      <c r="A11686" t="n">
        <v>14291226</v>
      </c>
      <c r="B11686" t="n">
        <v>55229</v>
      </c>
      <c r="C11686" t="inlineStr">
        <is>
          <t>1429/12/26</t>
        </is>
      </c>
    </row>
    <row r="11687">
      <c r="A11687" t="n">
        <v>14291227</v>
      </c>
      <c r="B11687" t="n">
        <v>55230</v>
      </c>
      <c r="C11687" t="inlineStr">
        <is>
          <t>1429/12/27</t>
        </is>
      </c>
    </row>
    <row r="11688">
      <c r="A11688" t="n">
        <v>14291228</v>
      </c>
      <c r="B11688" t="n">
        <v>55231</v>
      </c>
      <c r="C11688" t="inlineStr">
        <is>
          <t>1429/12/28</t>
        </is>
      </c>
    </row>
    <row r="11689">
      <c r="A11689" t="n">
        <v>14291229</v>
      </c>
      <c r="B11689" t="n">
        <v>55232</v>
      </c>
      <c r="C11689" t="inlineStr">
        <is>
          <t>1429/12/29</t>
        </is>
      </c>
    </row>
    <row r="11690">
      <c r="A11690" t="n">
        <v>14300101</v>
      </c>
      <c r="B11690" t="n">
        <v>55233</v>
      </c>
      <c r="C11690" t="inlineStr">
        <is>
          <t>1430/01/01</t>
        </is>
      </c>
    </row>
    <row r="11691">
      <c r="A11691" t="n">
        <v>14300102</v>
      </c>
      <c r="B11691" t="n">
        <v>55234</v>
      </c>
      <c r="C11691" t="inlineStr">
        <is>
          <t>1430/01/02</t>
        </is>
      </c>
    </row>
    <row r="11692">
      <c r="A11692" t="n">
        <v>14300103</v>
      </c>
      <c r="B11692" t="n">
        <v>55235</v>
      </c>
      <c r="C11692" t="inlineStr">
        <is>
          <t>1430/01/03</t>
        </is>
      </c>
    </row>
    <row r="11693">
      <c r="A11693" t="n">
        <v>14300104</v>
      </c>
      <c r="B11693" t="n">
        <v>55236</v>
      </c>
      <c r="C11693" t="inlineStr">
        <is>
          <t>1430/01/04</t>
        </is>
      </c>
    </row>
    <row r="11694">
      <c r="A11694" t="n">
        <v>14300105</v>
      </c>
      <c r="B11694" t="n">
        <v>55237</v>
      </c>
      <c r="C11694" t="inlineStr">
        <is>
          <t>1430/01/05</t>
        </is>
      </c>
    </row>
    <row r="11695">
      <c r="A11695" t="n">
        <v>14300106</v>
      </c>
      <c r="B11695" t="n">
        <v>55238</v>
      </c>
      <c r="C11695" t="inlineStr">
        <is>
          <t>1430/01/06</t>
        </is>
      </c>
    </row>
    <row r="11696">
      <c r="A11696" t="n">
        <v>14300107</v>
      </c>
      <c r="B11696" t="n">
        <v>55239</v>
      </c>
      <c r="C11696" t="inlineStr">
        <is>
          <t>1430/01/07</t>
        </is>
      </c>
    </row>
    <row r="11697">
      <c r="A11697" t="n">
        <v>14300108</v>
      </c>
      <c r="B11697" t="n">
        <v>55240</v>
      </c>
      <c r="C11697" t="inlineStr">
        <is>
          <t>1430/01/08</t>
        </is>
      </c>
    </row>
    <row r="11698">
      <c r="A11698" t="n">
        <v>14300109</v>
      </c>
      <c r="B11698" t="n">
        <v>55241</v>
      </c>
      <c r="C11698" t="inlineStr">
        <is>
          <t>1430/01/09</t>
        </is>
      </c>
    </row>
    <row r="11699">
      <c r="A11699" t="n">
        <v>14300110</v>
      </c>
      <c r="B11699" t="n">
        <v>55242</v>
      </c>
      <c r="C11699" t="inlineStr">
        <is>
          <t>1430/01/10</t>
        </is>
      </c>
    </row>
    <row r="11700">
      <c r="A11700" t="n">
        <v>14300111</v>
      </c>
      <c r="B11700" t="n">
        <v>55243</v>
      </c>
      <c r="C11700" t="inlineStr">
        <is>
          <t>1430/01/11</t>
        </is>
      </c>
    </row>
    <row r="11701">
      <c r="A11701" t="n">
        <v>14300112</v>
      </c>
      <c r="B11701" t="n">
        <v>55244</v>
      </c>
      <c r="C11701" t="inlineStr">
        <is>
          <t>1430/01/12</t>
        </is>
      </c>
    </row>
    <row r="11702">
      <c r="A11702" t="n">
        <v>14300113</v>
      </c>
      <c r="B11702" t="n">
        <v>55245</v>
      </c>
      <c r="C11702" t="inlineStr">
        <is>
          <t>1430/01/13</t>
        </is>
      </c>
    </row>
    <row r="11703">
      <c r="A11703" t="n">
        <v>14300114</v>
      </c>
      <c r="B11703" t="n">
        <v>55246</v>
      </c>
      <c r="C11703" t="inlineStr">
        <is>
          <t>1430/01/14</t>
        </is>
      </c>
    </row>
    <row r="11704">
      <c r="A11704" t="n">
        <v>14300115</v>
      </c>
      <c r="B11704" t="n">
        <v>55247</v>
      </c>
      <c r="C11704" t="inlineStr">
        <is>
          <t>1430/01/15</t>
        </is>
      </c>
    </row>
    <row r="11705">
      <c r="A11705" t="n">
        <v>14300116</v>
      </c>
      <c r="B11705" t="n">
        <v>55248</v>
      </c>
      <c r="C11705" t="inlineStr">
        <is>
          <t>1430/01/16</t>
        </is>
      </c>
    </row>
    <row r="11706">
      <c r="A11706" t="n">
        <v>14300117</v>
      </c>
      <c r="B11706" t="n">
        <v>55249</v>
      </c>
      <c r="C11706" t="inlineStr">
        <is>
          <t>1430/01/17</t>
        </is>
      </c>
    </row>
    <row r="11707">
      <c r="A11707" t="n">
        <v>14300118</v>
      </c>
      <c r="B11707" t="n">
        <v>55250</v>
      </c>
      <c r="C11707" t="inlineStr">
        <is>
          <t>1430/01/18</t>
        </is>
      </c>
    </row>
    <row r="11708">
      <c r="A11708" t="n">
        <v>14300119</v>
      </c>
      <c r="B11708" t="n">
        <v>55251</v>
      </c>
      <c r="C11708" t="inlineStr">
        <is>
          <t>1430/01/19</t>
        </is>
      </c>
    </row>
    <row r="11709">
      <c r="A11709" t="n">
        <v>14300120</v>
      </c>
      <c r="B11709" t="n">
        <v>55252</v>
      </c>
      <c r="C11709" t="inlineStr">
        <is>
          <t>1430/01/20</t>
        </is>
      </c>
    </row>
    <row r="11710">
      <c r="A11710" t="n">
        <v>14300121</v>
      </c>
      <c r="B11710" t="n">
        <v>55253</v>
      </c>
      <c r="C11710" t="inlineStr">
        <is>
          <t>1430/01/21</t>
        </is>
      </c>
    </row>
    <row r="11711">
      <c r="A11711" t="n">
        <v>14300122</v>
      </c>
      <c r="B11711" t="n">
        <v>55254</v>
      </c>
      <c r="C11711" t="inlineStr">
        <is>
          <t>1430/01/22</t>
        </is>
      </c>
    </row>
    <row r="11712">
      <c r="A11712" t="n">
        <v>14300123</v>
      </c>
      <c r="B11712" t="n">
        <v>55255</v>
      </c>
      <c r="C11712" t="inlineStr">
        <is>
          <t>1430/01/23</t>
        </is>
      </c>
    </row>
    <row r="11713">
      <c r="A11713" t="n">
        <v>14300124</v>
      </c>
      <c r="B11713" t="n">
        <v>55256</v>
      </c>
      <c r="C11713" t="inlineStr">
        <is>
          <t>1430/01/24</t>
        </is>
      </c>
    </row>
    <row r="11714">
      <c r="A11714" t="n">
        <v>14300125</v>
      </c>
      <c r="B11714" t="n">
        <v>55257</v>
      </c>
      <c r="C11714" t="inlineStr">
        <is>
          <t>1430/01/25</t>
        </is>
      </c>
    </row>
    <row r="11715">
      <c r="A11715" t="n">
        <v>14300126</v>
      </c>
      <c r="B11715" t="n">
        <v>55258</v>
      </c>
      <c r="C11715" t="inlineStr">
        <is>
          <t>1430/01/26</t>
        </is>
      </c>
    </row>
    <row r="11716">
      <c r="A11716" t="n">
        <v>14300127</v>
      </c>
      <c r="B11716" t="n">
        <v>55259</v>
      </c>
      <c r="C11716" t="inlineStr">
        <is>
          <t>1430/01/27</t>
        </is>
      </c>
    </row>
    <row r="11717">
      <c r="A11717" t="n">
        <v>14300128</v>
      </c>
      <c r="B11717" t="n">
        <v>55260</v>
      </c>
      <c r="C11717" t="inlineStr">
        <is>
          <t>1430/01/28</t>
        </is>
      </c>
    </row>
    <row r="11718">
      <c r="A11718" t="n">
        <v>14300129</v>
      </c>
      <c r="B11718" t="n">
        <v>55261</v>
      </c>
      <c r="C11718" t="inlineStr">
        <is>
          <t>1430/01/29</t>
        </is>
      </c>
    </row>
    <row r="11719">
      <c r="A11719" t="n">
        <v>14300130</v>
      </c>
      <c r="B11719" t="n">
        <v>55262</v>
      </c>
      <c r="C11719" t="inlineStr">
        <is>
          <t>1430/01/30</t>
        </is>
      </c>
    </row>
    <row r="11720">
      <c r="A11720" t="n">
        <v>14300131</v>
      </c>
      <c r="B11720" t="n">
        <v>55263</v>
      </c>
      <c r="C11720" t="inlineStr">
        <is>
          <t>1430/01/31</t>
        </is>
      </c>
    </row>
    <row r="11721">
      <c r="A11721" t="n">
        <v>14300201</v>
      </c>
      <c r="B11721" t="n">
        <v>55264</v>
      </c>
      <c r="C11721" t="inlineStr">
        <is>
          <t>1430/02/01</t>
        </is>
      </c>
    </row>
    <row r="11722">
      <c r="A11722" t="n">
        <v>14300202</v>
      </c>
      <c r="B11722" t="n">
        <v>55265</v>
      </c>
      <c r="C11722" t="inlineStr">
        <is>
          <t>1430/02/02</t>
        </is>
      </c>
    </row>
    <row r="11723">
      <c r="A11723" t="n">
        <v>14300203</v>
      </c>
      <c r="B11723" t="n">
        <v>55266</v>
      </c>
      <c r="C11723" t="inlineStr">
        <is>
          <t>1430/02/03</t>
        </is>
      </c>
    </row>
    <row r="11724">
      <c r="A11724" t="n">
        <v>14300204</v>
      </c>
      <c r="B11724" t="n">
        <v>55267</v>
      </c>
      <c r="C11724" t="inlineStr">
        <is>
          <t>1430/02/04</t>
        </is>
      </c>
    </row>
    <row r="11725">
      <c r="A11725" t="n">
        <v>14300205</v>
      </c>
      <c r="B11725" t="n">
        <v>55268</v>
      </c>
      <c r="C11725" t="inlineStr">
        <is>
          <t>1430/02/05</t>
        </is>
      </c>
    </row>
    <row r="11726">
      <c r="A11726" t="n">
        <v>14300206</v>
      </c>
      <c r="B11726" t="n">
        <v>55269</v>
      </c>
      <c r="C11726" t="inlineStr">
        <is>
          <t>1430/02/06</t>
        </is>
      </c>
    </row>
    <row r="11727">
      <c r="A11727" t="n">
        <v>14300207</v>
      </c>
      <c r="B11727" t="n">
        <v>55270</v>
      </c>
      <c r="C11727" t="inlineStr">
        <is>
          <t>1430/02/07</t>
        </is>
      </c>
    </row>
    <row r="11728">
      <c r="A11728" t="n">
        <v>14300208</v>
      </c>
      <c r="B11728" t="n">
        <v>55271</v>
      </c>
      <c r="C11728" t="inlineStr">
        <is>
          <t>1430/02/08</t>
        </is>
      </c>
    </row>
    <row r="11729">
      <c r="A11729" t="n">
        <v>14300209</v>
      </c>
      <c r="B11729" t="n">
        <v>55272</v>
      </c>
      <c r="C11729" t="inlineStr">
        <is>
          <t>1430/02/09</t>
        </is>
      </c>
    </row>
    <row r="11730">
      <c r="A11730" t="n">
        <v>14300210</v>
      </c>
      <c r="B11730" t="n">
        <v>55273</v>
      </c>
      <c r="C11730" t="inlineStr">
        <is>
          <t>1430/02/10</t>
        </is>
      </c>
    </row>
    <row r="11731">
      <c r="A11731" t="n">
        <v>14300211</v>
      </c>
      <c r="B11731" t="n">
        <v>55274</v>
      </c>
      <c r="C11731" t="inlineStr">
        <is>
          <t>1430/02/11</t>
        </is>
      </c>
    </row>
    <row r="11732">
      <c r="A11732" t="n">
        <v>14300212</v>
      </c>
      <c r="B11732" t="n">
        <v>55275</v>
      </c>
      <c r="C11732" t="inlineStr">
        <is>
          <t>1430/02/12</t>
        </is>
      </c>
    </row>
    <row r="11733">
      <c r="A11733" t="n">
        <v>14300213</v>
      </c>
      <c r="B11733" t="n">
        <v>55276</v>
      </c>
      <c r="C11733" t="inlineStr">
        <is>
          <t>1430/02/13</t>
        </is>
      </c>
    </row>
    <row r="11734">
      <c r="A11734" t="n">
        <v>14300214</v>
      </c>
      <c r="B11734" t="n">
        <v>55277</v>
      </c>
      <c r="C11734" t="inlineStr">
        <is>
          <t>1430/02/14</t>
        </is>
      </c>
    </row>
    <row r="11735">
      <c r="A11735" t="n">
        <v>14300215</v>
      </c>
      <c r="B11735" t="n">
        <v>55278</v>
      </c>
      <c r="C11735" t="inlineStr">
        <is>
          <t>1430/02/15</t>
        </is>
      </c>
    </row>
    <row r="11736">
      <c r="A11736" t="n">
        <v>14300216</v>
      </c>
      <c r="B11736" t="n">
        <v>55279</v>
      </c>
      <c r="C11736" t="inlineStr">
        <is>
          <t>1430/02/16</t>
        </is>
      </c>
    </row>
    <row r="11737">
      <c r="A11737" t="n">
        <v>14300217</v>
      </c>
      <c r="B11737" t="n">
        <v>55280</v>
      </c>
      <c r="C11737" t="inlineStr">
        <is>
          <t>1430/02/17</t>
        </is>
      </c>
    </row>
    <row r="11738">
      <c r="A11738" t="n">
        <v>14300218</v>
      </c>
      <c r="B11738" t="n">
        <v>55281</v>
      </c>
      <c r="C11738" t="inlineStr">
        <is>
          <t>1430/02/18</t>
        </is>
      </c>
    </row>
    <row r="11739">
      <c r="A11739" t="n">
        <v>14300219</v>
      </c>
      <c r="B11739" t="n">
        <v>55282</v>
      </c>
      <c r="C11739" t="inlineStr">
        <is>
          <t>1430/02/19</t>
        </is>
      </c>
    </row>
    <row r="11740">
      <c r="A11740" t="n">
        <v>14300220</v>
      </c>
      <c r="B11740" t="n">
        <v>55283</v>
      </c>
      <c r="C11740" t="inlineStr">
        <is>
          <t>1430/02/20</t>
        </is>
      </c>
    </row>
    <row r="11741">
      <c r="A11741" t="n">
        <v>14300221</v>
      </c>
      <c r="B11741" t="n">
        <v>55284</v>
      </c>
      <c r="C11741" t="inlineStr">
        <is>
          <t>1430/02/21</t>
        </is>
      </c>
    </row>
    <row r="11742">
      <c r="A11742" t="n">
        <v>14300222</v>
      </c>
      <c r="B11742" t="n">
        <v>55285</v>
      </c>
      <c r="C11742" t="inlineStr">
        <is>
          <t>1430/02/22</t>
        </is>
      </c>
    </row>
    <row r="11743">
      <c r="A11743" t="n">
        <v>14300223</v>
      </c>
      <c r="B11743" t="n">
        <v>55286</v>
      </c>
      <c r="C11743" t="inlineStr">
        <is>
          <t>1430/02/23</t>
        </is>
      </c>
    </row>
    <row r="11744">
      <c r="A11744" t="n">
        <v>14300224</v>
      </c>
      <c r="B11744" t="n">
        <v>55287</v>
      </c>
      <c r="C11744" t="inlineStr">
        <is>
          <t>1430/02/24</t>
        </is>
      </c>
    </row>
    <row r="11745">
      <c r="A11745" t="n">
        <v>14300225</v>
      </c>
      <c r="B11745" t="n">
        <v>55288</v>
      </c>
      <c r="C11745" t="inlineStr">
        <is>
          <t>1430/02/25</t>
        </is>
      </c>
    </row>
    <row r="11746">
      <c r="A11746" t="n">
        <v>14300226</v>
      </c>
      <c r="B11746" t="n">
        <v>55289</v>
      </c>
      <c r="C11746" t="inlineStr">
        <is>
          <t>1430/02/26</t>
        </is>
      </c>
    </row>
    <row r="11747">
      <c r="A11747" t="n">
        <v>14300227</v>
      </c>
      <c r="B11747" t="n">
        <v>55290</v>
      </c>
      <c r="C11747" t="inlineStr">
        <is>
          <t>1430/02/27</t>
        </is>
      </c>
    </row>
    <row r="11748">
      <c r="A11748" t="n">
        <v>14300228</v>
      </c>
      <c r="B11748" t="n">
        <v>55291</v>
      </c>
      <c r="C11748" t="inlineStr">
        <is>
          <t>1430/02/28</t>
        </is>
      </c>
    </row>
    <row r="11749">
      <c r="A11749" t="n">
        <v>14300229</v>
      </c>
      <c r="B11749" t="n">
        <v>55292</v>
      </c>
      <c r="C11749" t="inlineStr">
        <is>
          <t>1430/02/29</t>
        </is>
      </c>
    </row>
    <row r="11750">
      <c r="A11750" t="n">
        <v>14300230</v>
      </c>
      <c r="B11750" t="n">
        <v>55293</v>
      </c>
      <c r="C11750" t="inlineStr">
        <is>
          <t>1430/02/30</t>
        </is>
      </c>
    </row>
    <row r="11751">
      <c r="A11751" t="n">
        <v>14300231</v>
      </c>
      <c r="B11751" t="n">
        <v>55294</v>
      </c>
      <c r="C11751" t="inlineStr">
        <is>
          <t>1430/02/31</t>
        </is>
      </c>
    </row>
    <row r="11752">
      <c r="A11752" t="n">
        <v>14300301</v>
      </c>
      <c r="B11752" t="n">
        <v>55295</v>
      </c>
      <c r="C11752" t="inlineStr">
        <is>
          <t>1430/03/01</t>
        </is>
      </c>
    </row>
    <row r="11753">
      <c r="A11753" t="n">
        <v>14300302</v>
      </c>
      <c r="B11753" t="n">
        <v>55296</v>
      </c>
      <c r="C11753" t="inlineStr">
        <is>
          <t>1430/03/02</t>
        </is>
      </c>
    </row>
    <row r="11754">
      <c r="A11754" t="n">
        <v>14300303</v>
      </c>
      <c r="B11754" t="n">
        <v>55297</v>
      </c>
      <c r="C11754" t="inlineStr">
        <is>
          <t>1430/03/03</t>
        </is>
      </c>
    </row>
    <row r="11755">
      <c r="A11755" t="n">
        <v>14300304</v>
      </c>
      <c r="B11755" t="n">
        <v>55298</v>
      </c>
      <c r="C11755" t="inlineStr">
        <is>
          <t>1430/03/04</t>
        </is>
      </c>
    </row>
    <row r="11756">
      <c r="A11756" t="n">
        <v>14300305</v>
      </c>
      <c r="B11756" t="n">
        <v>55299</v>
      </c>
      <c r="C11756" t="inlineStr">
        <is>
          <t>1430/03/05</t>
        </is>
      </c>
    </row>
    <row r="11757">
      <c r="A11757" t="n">
        <v>14300306</v>
      </c>
      <c r="B11757" t="n">
        <v>55300</v>
      </c>
      <c r="C11757" t="inlineStr">
        <is>
          <t>1430/03/06</t>
        </is>
      </c>
    </row>
    <row r="11758">
      <c r="A11758" t="n">
        <v>14300307</v>
      </c>
      <c r="B11758" t="n">
        <v>55301</v>
      </c>
      <c r="C11758" t="inlineStr">
        <is>
          <t>1430/03/07</t>
        </is>
      </c>
    </row>
    <row r="11759">
      <c r="A11759" t="n">
        <v>14300308</v>
      </c>
      <c r="B11759" t="n">
        <v>55302</v>
      </c>
      <c r="C11759" t="inlineStr">
        <is>
          <t>1430/03/08</t>
        </is>
      </c>
    </row>
    <row r="11760">
      <c r="A11760" t="n">
        <v>14300309</v>
      </c>
      <c r="B11760" t="n">
        <v>55303</v>
      </c>
      <c r="C11760" t="inlineStr">
        <is>
          <t>1430/03/09</t>
        </is>
      </c>
    </row>
    <row r="11761">
      <c r="A11761" t="n">
        <v>14300310</v>
      </c>
      <c r="B11761" t="n">
        <v>55304</v>
      </c>
      <c r="C11761" t="inlineStr">
        <is>
          <t>1430/03/10</t>
        </is>
      </c>
    </row>
    <row r="11762">
      <c r="A11762" t="n">
        <v>14300311</v>
      </c>
      <c r="B11762" t="n">
        <v>55305</v>
      </c>
      <c r="C11762" t="inlineStr">
        <is>
          <t>1430/03/11</t>
        </is>
      </c>
    </row>
    <row r="11763">
      <c r="A11763" t="n">
        <v>14300312</v>
      </c>
      <c r="B11763" t="n">
        <v>55306</v>
      </c>
      <c r="C11763" t="inlineStr">
        <is>
          <t>1430/03/12</t>
        </is>
      </c>
    </row>
    <row r="11764">
      <c r="A11764" t="n">
        <v>14300313</v>
      </c>
      <c r="B11764" t="n">
        <v>55307</v>
      </c>
      <c r="C11764" t="inlineStr">
        <is>
          <t>1430/03/13</t>
        </is>
      </c>
    </row>
    <row r="11765">
      <c r="A11765" t="n">
        <v>14300314</v>
      </c>
      <c r="B11765" t="n">
        <v>55308</v>
      </c>
      <c r="C11765" t="inlineStr">
        <is>
          <t>1430/03/14</t>
        </is>
      </c>
    </row>
    <row r="11766">
      <c r="A11766" t="n">
        <v>14300315</v>
      </c>
      <c r="B11766" t="n">
        <v>55309</v>
      </c>
      <c r="C11766" t="inlineStr">
        <is>
          <t>1430/03/15</t>
        </is>
      </c>
    </row>
    <row r="11767">
      <c r="A11767" t="n">
        <v>14300316</v>
      </c>
      <c r="B11767" t="n">
        <v>55310</v>
      </c>
      <c r="C11767" t="inlineStr">
        <is>
          <t>1430/03/16</t>
        </is>
      </c>
    </row>
    <row r="11768">
      <c r="A11768" t="n">
        <v>14300317</v>
      </c>
      <c r="B11768" t="n">
        <v>55311</v>
      </c>
      <c r="C11768" t="inlineStr">
        <is>
          <t>1430/03/17</t>
        </is>
      </c>
    </row>
    <row r="11769">
      <c r="A11769" t="n">
        <v>14300318</v>
      </c>
      <c r="B11769" t="n">
        <v>55312</v>
      </c>
      <c r="C11769" t="inlineStr">
        <is>
          <t>1430/03/18</t>
        </is>
      </c>
    </row>
    <row r="11770">
      <c r="A11770" t="n">
        <v>14300319</v>
      </c>
      <c r="B11770" t="n">
        <v>55313</v>
      </c>
      <c r="C11770" t="inlineStr">
        <is>
          <t>1430/03/19</t>
        </is>
      </c>
    </row>
    <row r="11771">
      <c r="A11771" t="n">
        <v>14300320</v>
      </c>
      <c r="B11771" t="n">
        <v>55314</v>
      </c>
      <c r="C11771" t="inlineStr">
        <is>
          <t>1430/03/20</t>
        </is>
      </c>
    </row>
    <row r="11772">
      <c r="A11772" t="n">
        <v>14300321</v>
      </c>
      <c r="B11772" t="n">
        <v>55315</v>
      </c>
      <c r="C11772" t="inlineStr">
        <is>
          <t>1430/03/21</t>
        </is>
      </c>
    </row>
    <row r="11773">
      <c r="A11773" t="n">
        <v>14300322</v>
      </c>
      <c r="B11773" t="n">
        <v>55316</v>
      </c>
      <c r="C11773" t="inlineStr">
        <is>
          <t>1430/03/22</t>
        </is>
      </c>
    </row>
    <row r="11774">
      <c r="A11774" t="n">
        <v>14300323</v>
      </c>
      <c r="B11774" t="n">
        <v>55317</v>
      </c>
      <c r="C11774" t="inlineStr">
        <is>
          <t>1430/03/23</t>
        </is>
      </c>
    </row>
    <row r="11775">
      <c r="A11775" t="n">
        <v>14300324</v>
      </c>
      <c r="B11775" t="n">
        <v>55318</v>
      </c>
      <c r="C11775" t="inlineStr">
        <is>
          <t>1430/03/24</t>
        </is>
      </c>
    </row>
    <row r="11776">
      <c r="A11776" t="n">
        <v>14300325</v>
      </c>
      <c r="B11776" t="n">
        <v>55319</v>
      </c>
      <c r="C11776" t="inlineStr">
        <is>
          <t>1430/03/25</t>
        </is>
      </c>
    </row>
    <row r="11777">
      <c r="A11777" t="n">
        <v>14300326</v>
      </c>
      <c r="B11777" t="n">
        <v>55320</v>
      </c>
      <c r="C11777" t="inlineStr">
        <is>
          <t>1430/03/26</t>
        </is>
      </c>
    </row>
    <row r="11778">
      <c r="A11778" t="n">
        <v>14300327</v>
      </c>
      <c r="B11778" t="n">
        <v>55321</v>
      </c>
      <c r="C11778" t="inlineStr">
        <is>
          <t>1430/03/27</t>
        </is>
      </c>
    </row>
    <row r="11779">
      <c r="A11779" t="n">
        <v>14300328</v>
      </c>
      <c r="B11779" t="n">
        <v>55322</v>
      </c>
      <c r="C11779" t="inlineStr">
        <is>
          <t>1430/03/28</t>
        </is>
      </c>
    </row>
    <row r="11780">
      <c r="A11780" t="n">
        <v>14300329</v>
      </c>
      <c r="B11780" t="n">
        <v>55323</v>
      </c>
      <c r="C11780" t="inlineStr">
        <is>
          <t>1430/03/29</t>
        </is>
      </c>
    </row>
    <row r="11781">
      <c r="A11781" t="n">
        <v>14300330</v>
      </c>
      <c r="B11781" t="n">
        <v>55324</v>
      </c>
      <c r="C11781" t="inlineStr">
        <is>
          <t>1430/03/30</t>
        </is>
      </c>
    </row>
    <row r="11782">
      <c r="A11782" t="n">
        <v>14300331</v>
      </c>
      <c r="B11782" t="n">
        <v>55325</v>
      </c>
      <c r="C11782" t="inlineStr">
        <is>
          <t>1430/03/31</t>
        </is>
      </c>
    </row>
    <row r="11783">
      <c r="A11783" t="n">
        <v>14300401</v>
      </c>
      <c r="B11783" t="n">
        <v>55326</v>
      </c>
      <c r="C11783" t="inlineStr">
        <is>
          <t>1430/04/01</t>
        </is>
      </c>
    </row>
    <row r="11784">
      <c r="A11784" t="n">
        <v>14300402</v>
      </c>
      <c r="B11784" t="n">
        <v>55327</v>
      </c>
      <c r="C11784" t="inlineStr">
        <is>
          <t>1430/04/02</t>
        </is>
      </c>
    </row>
    <row r="11785">
      <c r="A11785" t="n">
        <v>14300403</v>
      </c>
      <c r="B11785" t="n">
        <v>55328</v>
      </c>
      <c r="C11785" t="inlineStr">
        <is>
          <t>1430/04/03</t>
        </is>
      </c>
    </row>
    <row r="11786">
      <c r="A11786" t="n">
        <v>14300404</v>
      </c>
      <c r="B11786" t="n">
        <v>55329</v>
      </c>
      <c r="C11786" t="inlineStr">
        <is>
          <t>1430/04/04</t>
        </is>
      </c>
    </row>
    <row r="11787">
      <c r="A11787" t="n">
        <v>14300405</v>
      </c>
      <c r="B11787" t="n">
        <v>55330</v>
      </c>
      <c r="C11787" t="inlineStr">
        <is>
          <t>1430/04/05</t>
        </is>
      </c>
    </row>
    <row r="11788">
      <c r="A11788" t="n">
        <v>14300406</v>
      </c>
      <c r="B11788" t="n">
        <v>55331</v>
      </c>
      <c r="C11788" t="inlineStr">
        <is>
          <t>1430/04/06</t>
        </is>
      </c>
    </row>
    <row r="11789">
      <c r="A11789" t="n">
        <v>14300407</v>
      </c>
      <c r="B11789" t="n">
        <v>55332</v>
      </c>
      <c r="C11789" t="inlineStr">
        <is>
          <t>1430/04/07</t>
        </is>
      </c>
    </row>
    <row r="11790">
      <c r="A11790" t="n">
        <v>14300408</v>
      </c>
      <c r="B11790" t="n">
        <v>55333</v>
      </c>
      <c r="C11790" t="inlineStr">
        <is>
          <t>1430/04/08</t>
        </is>
      </c>
    </row>
    <row r="11791">
      <c r="A11791" t="n">
        <v>14300409</v>
      </c>
      <c r="B11791" t="n">
        <v>55334</v>
      </c>
      <c r="C11791" t="inlineStr">
        <is>
          <t>1430/04/09</t>
        </is>
      </c>
    </row>
    <row r="11792">
      <c r="A11792" t="n">
        <v>14300410</v>
      </c>
      <c r="B11792" t="n">
        <v>55335</v>
      </c>
      <c r="C11792" t="inlineStr">
        <is>
          <t>1430/04/10</t>
        </is>
      </c>
    </row>
    <row r="11793">
      <c r="A11793" t="n">
        <v>14300411</v>
      </c>
      <c r="B11793" t="n">
        <v>55336</v>
      </c>
      <c r="C11793" t="inlineStr">
        <is>
          <t>1430/04/11</t>
        </is>
      </c>
    </row>
    <row r="11794">
      <c r="A11794" t="n">
        <v>14300412</v>
      </c>
      <c r="B11794" t="n">
        <v>55337</v>
      </c>
      <c r="C11794" t="inlineStr">
        <is>
          <t>1430/04/12</t>
        </is>
      </c>
    </row>
    <row r="11795">
      <c r="A11795" t="n">
        <v>14300413</v>
      </c>
      <c r="B11795" t="n">
        <v>55338</v>
      </c>
      <c r="C11795" t="inlineStr">
        <is>
          <t>1430/04/13</t>
        </is>
      </c>
    </row>
    <row r="11796">
      <c r="A11796" t="n">
        <v>14300414</v>
      </c>
      <c r="B11796" t="n">
        <v>55339</v>
      </c>
      <c r="C11796" t="inlineStr">
        <is>
          <t>1430/04/14</t>
        </is>
      </c>
    </row>
    <row r="11797">
      <c r="A11797" t="n">
        <v>14300415</v>
      </c>
      <c r="B11797" t="n">
        <v>55340</v>
      </c>
      <c r="C11797" t="inlineStr">
        <is>
          <t>1430/04/15</t>
        </is>
      </c>
    </row>
    <row r="11798">
      <c r="A11798" t="n">
        <v>14300416</v>
      </c>
      <c r="B11798" t="n">
        <v>55341</v>
      </c>
      <c r="C11798" t="inlineStr">
        <is>
          <t>1430/04/16</t>
        </is>
      </c>
    </row>
    <row r="11799">
      <c r="A11799" t="n">
        <v>14300417</v>
      </c>
      <c r="B11799" t="n">
        <v>55342</v>
      </c>
      <c r="C11799" t="inlineStr">
        <is>
          <t>1430/04/17</t>
        </is>
      </c>
    </row>
    <row r="11800">
      <c r="A11800" t="n">
        <v>14300418</v>
      </c>
      <c r="B11800" t="n">
        <v>55343</v>
      </c>
      <c r="C11800" t="inlineStr">
        <is>
          <t>1430/04/18</t>
        </is>
      </c>
    </row>
    <row r="11801">
      <c r="A11801" t="n">
        <v>14300419</v>
      </c>
      <c r="B11801" t="n">
        <v>55344</v>
      </c>
      <c r="C11801" t="inlineStr">
        <is>
          <t>1430/04/19</t>
        </is>
      </c>
    </row>
    <row r="11802">
      <c r="A11802" t="n">
        <v>14300420</v>
      </c>
      <c r="B11802" t="n">
        <v>55345</v>
      </c>
      <c r="C11802" t="inlineStr">
        <is>
          <t>1430/04/20</t>
        </is>
      </c>
    </row>
    <row r="11803">
      <c r="A11803" t="n">
        <v>14300421</v>
      </c>
      <c r="B11803" t="n">
        <v>55346</v>
      </c>
      <c r="C11803" t="inlineStr">
        <is>
          <t>1430/04/21</t>
        </is>
      </c>
    </row>
    <row r="11804">
      <c r="A11804" t="n">
        <v>14300422</v>
      </c>
      <c r="B11804" t="n">
        <v>55347</v>
      </c>
      <c r="C11804" t="inlineStr">
        <is>
          <t>1430/04/22</t>
        </is>
      </c>
    </row>
    <row r="11805">
      <c r="A11805" t="n">
        <v>14300423</v>
      </c>
      <c r="B11805" t="n">
        <v>55348</v>
      </c>
      <c r="C11805" t="inlineStr">
        <is>
          <t>1430/04/23</t>
        </is>
      </c>
    </row>
    <row r="11806">
      <c r="A11806" t="n">
        <v>14300424</v>
      </c>
      <c r="B11806" t="n">
        <v>55349</v>
      </c>
      <c r="C11806" t="inlineStr">
        <is>
          <t>1430/04/24</t>
        </is>
      </c>
    </row>
    <row r="11807">
      <c r="A11807" t="n">
        <v>14300425</v>
      </c>
      <c r="B11807" t="n">
        <v>55350</v>
      </c>
      <c r="C11807" t="inlineStr">
        <is>
          <t>1430/04/25</t>
        </is>
      </c>
    </row>
    <row r="11808">
      <c r="A11808" t="n">
        <v>14300426</v>
      </c>
      <c r="B11808" t="n">
        <v>55351</v>
      </c>
      <c r="C11808" t="inlineStr">
        <is>
          <t>1430/04/26</t>
        </is>
      </c>
    </row>
    <row r="11809">
      <c r="A11809" t="n">
        <v>14300427</v>
      </c>
      <c r="B11809" t="n">
        <v>55352</v>
      </c>
      <c r="C11809" t="inlineStr">
        <is>
          <t>1430/04/27</t>
        </is>
      </c>
    </row>
    <row r="11810">
      <c r="A11810" t="n">
        <v>14300428</v>
      </c>
      <c r="B11810" t="n">
        <v>55353</v>
      </c>
      <c r="C11810" t="inlineStr">
        <is>
          <t>1430/04/28</t>
        </is>
      </c>
    </row>
    <row r="11811">
      <c r="A11811" t="n">
        <v>14300429</v>
      </c>
      <c r="B11811" t="n">
        <v>55354</v>
      </c>
      <c r="C11811" t="inlineStr">
        <is>
          <t>1430/04/29</t>
        </is>
      </c>
    </row>
    <row r="11812">
      <c r="A11812" t="n">
        <v>14300430</v>
      </c>
      <c r="B11812" t="n">
        <v>55355</v>
      </c>
      <c r="C11812" t="inlineStr">
        <is>
          <t>1430/04/30</t>
        </is>
      </c>
    </row>
    <row r="11813">
      <c r="A11813" t="n">
        <v>14300431</v>
      </c>
      <c r="B11813" t="n">
        <v>55356</v>
      </c>
      <c r="C11813" t="inlineStr">
        <is>
          <t>1430/04/31</t>
        </is>
      </c>
    </row>
    <row r="11814">
      <c r="A11814" t="n">
        <v>14300501</v>
      </c>
      <c r="B11814" t="n">
        <v>55357</v>
      </c>
      <c r="C11814" t="inlineStr">
        <is>
          <t>1430/05/01</t>
        </is>
      </c>
    </row>
    <row r="11815">
      <c r="A11815" t="n">
        <v>14300502</v>
      </c>
      <c r="B11815" t="n">
        <v>55358</v>
      </c>
      <c r="C11815" t="inlineStr">
        <is>
          <t>1430/05/02</t>
        </is>
      </c>
    </row>
    <row r="11816">
      <c r="A11816" t="n">
        <v>14300503</v>
      </c>
      <c r="B11816" t="n">
        <v>55359</v>
      </c>
      <c r="C11816" t="inlineStr">
        <is>
          <t>1430/05/03</t>
        </is>
      </c>
    </row>
    <row r="11817">
      <c r="A11817" t="n">
        <v>14300504</v>
      </c>
      <c r="B11817" t="n">
        <v>55360</v>
      </c>
      <c r="C11817" t="inlineStr">
        <is>
          <t>1430/05/04</t>
        </is>
      </c>
    </row>
    <row r="11818">
      <c r="A11818" t="n">
        <v>14300505</v>
      </c>
      <c r="B11818" t="n">
        <v>55361</v>
      </c>
      <c r="C11818" t="inlineStr">
        <is>
          <t>1430/05/05</t>
        </is>
      </c>
    </row>
    <row r="11819">
      <c r="A11819" t="n">
        <v>14300506</v>
      </c>
      <c r="B11819" t="n">
        <v>55362</v>
      </c>
      <c r="C11819" t="inlineStr">
        <is>
          <t>1430/05/06</t>
        </is>
      </c>
    </row>
    <row r="11820">
      <c r="A11820" t="n">
        <v>14300507</v>
      </c>
      <c r="B11820" t="n">
        <v>55363</v>
      </c>
      <c r="C11820" t="inlineStr">
        <is>
          <t>1430/05/07</t>
        </is>
      </c>
    </row>
    <row r="11821">
      <c r="A11821" t="n">
        <v>14300508</v>
      </c>
      <c r="B11821" t="n">
        <v>55364</v>
      </c>
      <c r="C11821" t="inlineStr">
        <is>
          <t>1430/05/08</t>
        </is>
      </c>
    </row>
    <row r="11822">
      <c r="A11822" t="n">
        <v>14300509</v>
      </c>
      <c r="B11822" t="n">
        <v>55365</v>
      </c>
      <c r="C11822" t="inlineStr">
        <is>
          <t>1430/05/09</t>
        </is>
      </c>
    </row>
    <row r="11823">
      <c r="A11823" t="n">
        <v>14300510</v>
      </c>
      <c r="B11823" t="n">
        <v>55366</v>
      </c>
      <c r="C11823" t="inlineStr">
        <is>
          <t>1430/05/10</t>
        </is>
      </c>
    </row>
    <row r="11824">
      <c r="A11824" t="n">
        <v>14300511</v>
      </c>
      <c r="B11824" t="n">
        <v>55367</v>
      </c>
      <c r="C11824" t="inlineStr">
        <is>
          <t>1430/05/11</t>
        </is>
      </c>
    </row>
    <row r="11825">
      <c r="A11825" t="n">
        <v>14300512</v>
      </c>
      <c r="B11825" t="n">
        <v>55368</v>
      </c>
      <c r="C11825" t="inlineStr">
        <is>
          <t>1430/05/12</t>
        </is>
      </c>
    </row>
    <row r="11826">
      <c r="A11826" t="n">
        <v>14300513</v>
      </c>
      <c r="B11826" t="n">
        <v>55369</v>
      </c>
      <c r="C11826" t="inlineStr">
        <is>
          <t>1430/05/13</t>
        </is>
      </c>
    </row>
    <row r="11827">
      <c r="A11827" t="n">
        <v>14300514</v>
      </c>
      <c r="B11827" t="n">
        <v>55370</v>
      </c>
      <c r="C11827" t="inlineStr">
        <is>
          <t>1430/05/14</t>
        </is>
      </c>
    </row>
    <row r="11828">
      <c r="A11828" t="n">
        <v>14300515</v>
      </c>
      <c r="B11828" t="n">
        <v>55371</v>
      </c>
      <c r="C11828" t="inlineStr">
        <is>
          <t>1430/05/15</t>
        </is>
      </c>
    </row>
    <row r="11829">
      <c r="A11829" t="n">
        <v>14300516</v>
      </c>
      <c r="B11829" t="n">
        <v>55372</v>
      </c>
      <c r="C11829" t="inlineStr">
        <is>
          <t>1430/05/16</t>
        </is>
      </c>
    </row>
    <row r="11830">
      <c r="A11830" t="n">
        <v>14300517</v>
      </c>
      <c r="B11830" t="n">
        <v>55373</v>
      </c>
      <c r="C11830" t="inlineStr">
        <is>
          <t>1430/05/17</t>
        </is>
      </c>
    </row>
    <row r="11831">
      <c r="A11831" t="n">
        <v>14300518</v>
      </c>
      <c r="B11831" t="n">
        <v>55374</v>
      </c>
      <c r="C11831" t="inlineStr">
        <is>
          <t>1430/05/18</t>
        </is>
      </c>
    </row>
    <row r="11832">
      <c r="A11832" t="n">
        <v>14300519</v>
      </c>
      <c r="B11832" t="n">
        <v>55375</v>
      </c>
      <c r="C11832" t="inlineStr">
        <is>
          <t>1430/05/19</t>
        </is>
      </c>
    </row>
    <row r="11833">
      <c r="A11833" t="n">
        <v>14300520</v>
      </c>
      <c r="B11833" t="n">
        <v>55376</v>
      </c>
      <c r="C11833" t="inlineStr">
        <is>
          <t>1430/05/20</t>
        </is>
      </c>
    </row>
    <row r="11834">
      <c r="A11834" t="n">
        <v>14300521</v>
      </c>
      <c r="B11834" t="n">
        <v>55377</v>
      </c>
      <c r="C11834" t="inlineStr">
        <is>
          <t>1430/05/21</t>
        </is>
      </c>
    </row>
    <row r="11835">
      <c r="A11835" t="n">
        <v>14300522</v>
      </c>
      <c r="B11835" t="n">
        <v>55378</v>
      </c>
      <c r="C11835" t="inlineStr">
        <is>
          <t>1430/05/22</t>
        </is>
      </c>
    </row>
    <row r="11836">
      <c r="A11836" t="n">
        <v>14300523</v>
      </c>
      <c r="B11836" t="n">
        <v>55379</v>
      </c>
      <c r="C11836" t="inlineStr">
        <is>
          <t>1430/05/23</t>
        </is>
      </c>
    </row>
    <row r="11837">
      <c r="A11837" t="n">
        <v>14300524</v>
      </c>
      <c r="B11837" t="n">
        <v>55380</v>
      </c>
      <c r="C11837" t="inlineStr">
        <is>
          <t>1430/05/24</t>
        </is>
      </c>
    </row>
    <row r="11838">
      <c r="A11838" t="n">
        <v>14300525</v>
      </c>
      <c r="B11838" t="n">
        <v>55381</v>
      </c>
      <c r="C11838" t="inlineStr">
        <is>
          <t>1430/05/25</t>
        </is>
      </c>
    </row>
    <row r="11839">
      <c r="A11839" t="n">
        <v>14300526</v>
      </c>
      <c r="B11839" t="n">
        <v>55382</v>
      </c>
      <c r="C11839" t="inlineStr">
        <is>
          <t>1430/05/26</t>
        </is>
      </c>
    </row>
    <row r="11840">
      <c r="A11840" t="n">
        <v>14300527</v>
      </c>
      <c r="B11840" t="n">
        <v>55383</v>
      </c>
      <c r="C11840" t="inlineStr">
        <is>
          <t>1430/05/27</t>
        </is>
      </c>
    </row>
    <row r="11841">
      <c r="A11841" t="n">
        <v>14300528</v>
      </c>
      <c r="B11841" t="n">
        <v>55384</v>
      </c>
      <c r="C11841" t="inlineStr">
        <is>
          <t>1430/05/28</t>
        </is>
      </c>
    </row>
    <row r="11842">
      <c r="A11842" t="n">
        <v>14300529</v>
      </c>
      <c r="B11842" t="n">
        <v>55385</v>
      </c>
      <c r="C11842" t="inlineStr">
        <is>
          <t>1430/05/29</t>
        </is>
      </c>
    </row>
    <row r="11843">
      <c r="A11843" t="n">
        <v>14300530</v>
      </c>
      <c r="B11843" t="n">
        <v>55386</v>
      </c>
      <c r="C11843" t="inlineStr">
        <is>
          <t>1430/05/30</t>
        </is>
      </c>
    </row>
    <row r="11844">
      <c r="A11844" t="n">
        <v>14300531</v>
      </c>
      <c r="B11844" t="n">
        <v>55387</v>
      </c>
      <c r="C11844" t="inlineStr">
        <is>
          <t>1430/05/31</t>
        </is>
      </c>
    </row>
    <row r="11845">
      <c r="A11845" t="n">
        <v>14300601</v>
      </c>
      <c r="B11845" t="n">
        <v>55388</v>
      </c>
      <c r="C11845" t="inlineStr">
        <is>
          <t>1430/06/01</t>
        </is>
      </c>
    </row>
    <row r="11846">
      <c r="A11846" t="n">
        <v>14300602</v>
      </c>
      <c r="B11846" t="n">
        <v>55389</v>
      </c>
      <c r="C11846" t="inlineStr">
        <is>
          <t>1430/06/02</t>
        </is>
      </c>
    </row>
    <row r="11847">
      <c r="A11847" t="n">
        <v>14300603</v>
      </c>
      <c r="B11847" t="n">
        <v>55390</v>
      </c>
      <c r="C11847" t="inlineStr">
        <is>
          <t>1430/06/03</t>
        </is>
      </c>
    </row>
    <row r="11848">
      <c r="A11848" t="n">
        <v>14300604</v>
      </c>
      <c r="B11848" t="n">
        <v>55391</v>
      </c>
      <c r="C11848" t="inlineStr">
        <is>
          <t>1430/06/04</t>
        </is>
      </c>
    </row>
    <row r="11849">
      <c r="A11849" t="n">
        <v>14300605</v>
      </c>
      <c r="B11849" t="n">
        <v>55392</v>
      </c>
      <c r="C11849" t="inlineStr">
        <is>
          <t>1430/06/05</t>
        </is>
      </c>
    </row>
    <row r="11850">
      <c r="A11850" t="n">
        <v>14300606</v>
      </c>
      <c r="B11850" t="n">
        <v>55393</v>
      </c>
      <c r="C11850" t="inlineStr">
        <is>
          <t>1430/06/06</t>
        </is>
      </c>
    </row>
    <row r="11851">
      <c r="A11851" t="n">
        <v>14300607</v>
      </c>
      <c r="B11851" t="n">
        <v>55394</v>
      </c>
      <c r="C11851" t="inlineStr">
        <is>
          <t>1430/06/07</t>
        </is>
      </c>
    </row>
    <row r="11852">
      <c r="A11852" t="n">
        <v>14300608</v>
      </c>
      <c r="B11852" t="n">
        <v>55395</v>
      </c>
      <c r="C11852" t="inlineStr">
        <is>
          <t>1430/06/08</t>
        </is>
      </c>
    </row>
    <row r="11853">
      <c r="A11853" t="n">
        <v>14300609</v>
      </c>
      <c r="B11853" t="n">
        <v>55396</v>
      </c>
      <c r="C11853" t="inlineStr">
        <is>
          <t>1430/06/09</t>
        </is>
      </c>
    </row>
    <row r="11854">
      <c r="A11854" t="n">
        <v>14300610</v>
      </c>
      <c r="B11854" t="n">
        <v>55397</v>
      </c>
      <c r="C11854" t="inlineStr">
        <is>
          <t>1430/06/10</t>
        </is>
      </c>
    </row>
    <row r="11855">
      <c r="A11855" t="n">
        <v>14300611</v>
      </c>
      <c r="B11855" t="n">
        <v>55398</v>
      </c>
      <c r="C11855" t="inlineStr">
        <is>
          <t>1430/06/11</t>
        </is>
      </c>
    </row>
    <row r="11856">
      <c r="A11856" t="n">
        <v>14300612</v>
      </c>
      <c r="B11856" t="n">
        <v>55399</v>
      </c>
      <c r="C11856" t="inlineStr">
        <is>
          <t>1430/06/12</t>
        </is>
      </c>
    </row>
    <row r="11857">
      <c r="A11857" t="n">
        <v>14300613</v>
      </c>
      <c r="B11857" t="n">
        <v>55400</v>
      </c>
      <c r="C11857" t="inlineStr">
        <is>
          <t>1430/06/13</t>
        </is>
      </c>
    </row>
    <row r="11858">
      <c r="A11858" t="n">
        <v>14300614</v>
      </c>
      <c r="B11858" t="n">
        <v>55401</v>
      </c>
      <c r="C11858" t="inlineStr">
        <is>
          <t>1430/06/14</t>
        </is>
      </c>
    </row>
    <row r="11859">
      <c r="A11859" t="n">
        <v>14300615</v>
      </c>
      <c r="B11859" t="n">
        <v>55402</v>
      </c>
      <c r="C11859" t="inlineStr">
        <is>
          <t>1430/06/15</t>
        </is>
      </c>
    </row>
    <row r="11860">
      <c r="A11860" t="n">
        <v>14300616</v>
      </c>
      <c r="B11860" t="n">
        <v>55403</v>
      </c>
      <c r="C11860" t="inlineStr">
        <is>
          <t>1430/06/16</t>
        </is>
      </c>
    </row>
    <row r="11861">
      <c r="A11861" t="n">
        <v>14300617</v>
      </c>
      <c r="B11861" t="n">
        <v>55404</v>
      </c>
      <c r="C11861" t="inlineStr">
        <is>
          <t>1430/06/17</t>
        </is>
      </c>
    </row>
    <row r="11862">
      <c r="A11862" t="n">
        <v>14300618</v>
      </c>
      <c r="B11862" t="n">
        <v>55405</v>
      </c>
      <c r="C11862" t="inlineStr">
        <is>
          <t>1430/06/18</t>
        </is>
      </c>
    </row>
    <row r="11863">
      <c r="A11863" t="n">
        <v>14300619</v>
      </c>
      <c r="B11863" t="n">
        <v>55406</v>
      </c>
      <c r="C11863" t="inlineStr">
        <is>
          <t>1430/06/19</t>
        </is>
      </c>
    </row>
    <row r="11864">
      <c r="A11864" t="n">
        <v>14300620</v>
      </c>
      <c r="B11864" t="n">
        <v>55407</v>
      </c>
      <c r="C11864" t="inlineStr">
        <is>
          <t>1430/06/20</t>
        </is>
      </c>
    </row>
    <row r="11865">
      <c r="A11865" t="n">
        <v>14300621</v>
      </c>
      <c r="B11865" t="n">
        <v>55408</v>
      </c>
      <c r="C11865" t="inlineStr">
        <is>
          <t>1430/06/21</t>
        </is>
      </c>
    </row>
    <row r="11866">
      <c r="A11866" t="n">
        <v>14300622</v>
      </c>
      <c r="B11866" t="n">
        <v>55409</v>
      </c>
      <c r="C11866" t="inlineStr">
        <is>
          <t>1430/06/22</t>
        </is>
      </c>
    </row>
    <row r="11867">
      <c r="A11867" t="n">
        <v>14300623</v>
      </c>
      <c r="B11867" t="n">
        <v>55410</v>
      </c>
      <c r="C11867" t="inlineStr">
        <is>
          <t>1430/06/23</t>
        </is>
      </c>
    </row>
    <row r="11868">
      <c r="A11868" t="n">
        <v>14300624</v>
      </c>
      <c r="B11868" t="n">
        <v>55411</v>
      </c>
      <c r="C11868" t="inlineStr">
        <is>
          <t>1430/06/24</t>
        </is>
      </c>
    </row>
    <row r="11869">
      <c r="A11869" t="n">
        <v>14300625</v>
      </c>
      <c r="B11869" t="n">
        <v>55412</v>
      </c>
      <c r="C11869" t="inlineStr">
        <is>
          <t>1430/06/25</t>
        </is>
      </c>
    </row>
    <row r="11870">
      <c r="A11870" t="n">
        <v>14300626</v>
      </c>
      <c r="B11870" t="n">
        <v>55413</v>
      </c>
      <c r="C11870" t="inlineStr">
        <is>
          <t>1430/06/26</t>
        </is>
      </c>
    </row>
    <row r="11871">
      <c r="A11871" t="n">
        <v>14300627</v>
      </c>
      <c r="B11871" t="n">
        <v>55414</v>
      </c>
      <c r="C11871" t="inlineStr">
        <is>
          <t>1430/06/27</t>
        </is>
      </c>
    </row>
    <row r="11872">
      <c r="A11872" t="n">
        <v>14300628</v>
      </c>
      <c r="B11872" t="n">
        <v>55415</v>
      </c>
      <c r="C11872" t="inlineStr">
        <is>
          <t>1430/06/28</t>
        </is>
      </c>
    </row>
    <row r="11873">
      <c r="A11873" t="n">
        <v>14300629</v>
      </c>
      <c r="B11873" t="n">
        <v>55416</v>
      </c>
      <c r="C11873" t="inlineStr">
        <is>
          <t>1430/06/29</t>
        </is>
      </c>
    </row>
    <row r="11874">
      <c r="A11874" t="n">
        <v>14300630</v>
      </c>
      <c r="B11874" t="n">
        <v>55417</v>
      </c>
      <c r="C11874" t="inlineStr">
        <is>
          <t>1430/06/30</t>
        </is>
      </c>
    </row>
    <row r="11875">
      <c r="A11875" t="n">
        <v>14300631</v>
      </c>
      <c r="B11875" t="n">
        <v>55418</v>
      </c>
      <c r="C11875" t="inlineStr">
        <is>
          <t>1430/06/31</t>
        </is>
      </c>
    </row>
    <row r="11876">
      <c r="A11876" t="n">
        <v>14300701</v>
      </c>
      <c r="B11876" t="n">
        <v>55419</v>
      </c>
      <c r="C11876" t="inlineStr">
        <is>
          <t>1430/07/01</t>
        </is>
      </c>
    </row>
    <row r="11877">
      <c r="A11877" t="n">
        <v>14300702</v>
      </c>
      <c r="B11877" t="n">
        <v>55420</v>
      </c>
      <c r="C11877" t="inlineStr">
        <is>
          <t>1430/07/02</t>
        </is>
      </c>
    </row>
    <row r="11878">
      <c r="A11878" t="n">
        <v>14300703</v>
      </c>
      <c r="B11878" t="n">
        <v>55421</v>
      </c>
      <c r="C11878" t="inlineStr">
        <is>
          <t>1430/07/03</t>
        </is>
      </c>
    </row>
    <row r="11879">
      <c r="A11879" t="n">
        <v>14300704</v>
      </c>
      <c r="B11879" t="n">
        <v>55422</v>
      </c>
      <c r="C11879" t="inlineStr">
        <is>
          <t>1430/07/04</t>
        </is>
      </c>
    </row>
    <row r="11880">
      <c r="A11880" t="n">
        <v>14300705</v>
      </c>
      <c r="B11880" t="n">
        <v>55423</v>
      </c>
      <c r="C11880" t="inlineStr">
        <is>
          <t>1430/07/05</t>
        </is>
      </c>
    </row>
    <row r="11881">
      <c r="A11881" t="n">
        <v>14300706</v>
      </c>
      <c r="B11881" t="n">
        <v>55424</v>
      </c>
      <c r="C11881" t="inlineStr">
        <is>
          <t>1430/07/06</t>
        </is>
      </c>
    </row>
    <row r="11882">
      <c r="A11882" t="n">
        <v>14300707</v>
      </c>
      <c r="B11882" t="n">
        <v>55425</v>
      </c>
      <c r="C11882" t="inlineStr">
        <is>
          <t>1430/07/07</t>
        </is>
      </c>
    </row>
    <row r="11883">
      <c r="A11883" t="n">
        <v>14300708</v>
      </c>
      <c r="B11883" t="n">
        <v>55426</v>
      </c>
      <c r="C11883" t="inlineStr">
        <is>
          <t>1430/07/08</t>
        </is>
      </c>
    </row>
    <row r="11884">
      <c r="A11884" t="n">
        <v>14300709</v>
      </c>
      <c r="B11884" t="n">
        <v>55427</v>
      </c>
      <c r="C11884" t="inlineStr">
        <is>
          <t>1430/07/09</t>
        </is>
      </c>
    </row>
    <row r="11885">
      <c r="A11885" t="n">
        <v>14300710</v>
      </c>
      <c r="B11885" t="n">
        <v>55428</v>
      </c>
      <c r="C11885" t="inlineStr">
        <is>
          <t>1430/07/10</t>
        </is>
      </c>
    </row>
    <row r="11886">
      <c r="A11886" t="n">
        <v>14300711</v>
      </c>
      <c r="B11886" t="n">
        <v>55429</v>
      </c>
      <c r="C11886" t="inlineStr">
        <is>
          <t>1430/07/11</t>
        </is>
      </c>
    </row>
    <row r="11887">
      <c r="A11887" t="n">
        <v>14300712</v>
      </c>
      <c r="B11887" t="n">
        <v>55430</v>
      </c>
      <c r="C11887" t="inlineStr">
        <is>
          <t>1430/07/12</t>
        </is>
      </c>
    </row>
    <row r="11888">
      <c r="A11888" t="n">
        <v>14300713</v>
      </c>
      <c r="B11888" t="n">
        <v>55431</v>
      </c>
      <c r="C11888" t="inlineStr">
        <is>
          <t>1430/07/13</t>
        </is>
      </c>
    </row>
    <row r="11889">
      <c r="A11889" t="n">
        <v>14300714</v>
      </c>
      <c r="B11889" t="n">
        <v>55432</v>
      </c>
      <c r="C11889" t="inlineStr">
        <is>
          <t>1430/07/14</t>
        </is>
      </c>
    </row>
    <row r="11890">
      <c r="A11890" t="n">
        <v>14300715</v>
      </c>
      <c r="B11890" t="n">
        <v>55433</v>
      </c>
      <c r="C11890" t="inlineStr">
        <is>
          <t>1430/07/15</t>
        </is>
      </c>
    </row>
    <row r="11891">
      <c r="A11891" t="n">
        <v>14300716</v>
      </c>
      <c r="B11891" t="n">
        <v>55434</v>
      </c>
      <c r="C11891" t="inlineStr">
        <is>
          <t>1430/07/16</t>
        </is>
      </c>
    </row>
    <row r="11892">
      <c r="A11892" t="n">
        <v>14300717</v>
      </c>
      <c r="B11892" t="n">
        <v>55435</v>
      </c>
      <c r="C11892" t="inlineStr">
        <is>
          <t>1430/07/17</t>
        </is>
      </c>
    </row>
    <row r="11893">
      <c r="A11893" t="n">
        <v>14300718</v>
      </c>
      <c r="B11893" t="n">
        <v>55436</v>
      </c>
      <c r="C11893" t="inlineStr">
        <is>
          <t>1430/07/18</t>
        </is>
      </c>
    </row>
    <row r="11894">
      <c r="A11894" t="n">
        <v>14300719</v>
      </c>
      <c r="B11894" t="n">
        <v>55437</v>
      </c>
      <c r="C11894" t="inlineStr">
        <is>
          <t>1430/07/19</t>
        </is>
      </c>
    </row>
    <row r="11895">
      <c r="A11895" t="n">
        <v>14300720</v>
      </c>
      <c r="B11895" t="n">
        <v>55438</v>
      </c>
      <c r="C11895" t="inlineStr">
        <is>
          <t>1430/07/20</t>
        </is>
      </c>
    </row>
    <row r="11896">
      <c r="A11896" t="n">
        <v>14300721</v>
      </c>
      <c r="B11896" t="n">
        <v>55439</v>
      </c>
      <c r="C11896" t="inlineStr">
        <is>
          <t>1430/07/21</t>
        </is>
      </c>
    </row>
    <row r="11897">
      <c r="A11897" t="n">
        <v>14300722</v>
      </c>
      <c r="B11897" t="n">
        <v>55440</v>
      </c>
      <c r="C11897" t="inlineStr">
        <is>
          <t>1430/07/22</t>
        </is>
      </c>
    </row>
    <row r="11898">
      <c r="A11898" t="n">
        <v>14300723</v>
      </c>
      <c r="B11898" t="n">
        <v>55441</v>
      </c>
      <c r="C11898" t="inlineStr">
        <is>
          <t>1430/07/23</t>
        </is>
      </c>
    </row>
    <row r="11899">
      <c r="A11899" t="n">
        <v>14300724</v>
      </c>
      <c r="B11899" t="n">
        <v>55442</v>
      </c>
      <c r="C11899" t="inlineStr">
        <is>
          <t>1430/07/24</t>
        </is>
      </c>
    </row>
    <row r="11900">
      <c r="A11900" t="n">
        <v>14300725</v>
      </c>
      <c r="B11900" t="n">
        <v>55443</v>
      </c>
      <c r="C11900" t="inlineStr">
        <is>
          <t>1430/07/25</t>
        </is>
      </c>
    </row>
    <row r="11901">
      <c r="A11901" t="n">
        <v>14300726</v>
      </c>
      <c r="B11901" t="n">
        <v>55444</v>
      </c>
      <c r="C11901" t="inlineStr">
        <is>
          <t>1430/07/26</t>
        </is>
      </c>
    </row>
    <row r="11902">
      <c r="A11902" t="n">
        <v>14300727</v>
      </c>
      <c r="B11902" t="n">
        <v>55445</v>
      </c>
      <c r="C11902" t="inlineStr">
        <is>
          <t>1430/07/27</t>
        </is>
      </c>
    </row>
    <row r="11903">
      <c r="A11903" t="n">
        <v>14300728</v>
      </c>
      <c r="B11903" t="n">
        <v>55446</v>
      </c>
      <c r="C11903" t="inlineStr">
        <is>
          <t>1430/07/28</t>
        </is>
      </c>
    </row>
    <row r="11904">
      <c r="A11904" t="n">
        <v>14300729</v>
      </c>
      <c r="B11904" t="n">
        <v>55447</v>
      </c>
      <c r="C11904" t="inlineStr">
        <is>
          <t>1430/07/29</t>
        </is>
      </c>
    </row>
    <row r="11905">
      <c r="A11905" t="n">
        <v>14300730</v>
      </c>
      <c r="B11905" t="n">
        <v>55448</v>
      </c>
      <c r="C11905" t="inlineStr">
        <is>
          <t>1430/07/30</t>
        </is>
      </c>
    </row>
    <row r="11906">
      <c r="A11906" t="n">
        <v>14300801</v>
      </c>
      <c r="B11906" t="n">
        <v>55449</v>
      </c>
      <c r="C11906" t="inlineStr">
        <is>
          <t>1430/08/01</t>
        </is>
      </c>
    </row>
    <row r="11907">
      <c r="A11907" t="n">
        <v>14300802</v>
      </c>
      <c r="B11907" t="n">
        <v>55450</v>
      </c>
      <c r="C11907" t="inlineStr">
        <is>
          <t>1430/08/02</t>
        </is>
      </c>
    </row>
    <row r="11908">
      <c r="A11908" t="n">
        <v>14300803</v>
      </c>
      <c r="B11908" t="n">
        <v>55451</v>
      </c>
      <c r="C11908" t="inlineStr">
        <is>
          <t>1430/08/03</t>
        </is>
      </c>
    </row>
    <row r="11909">
      <c r="A11909" t="n">
        <v>14300804</v>
      </c>
      <c r="B11909" t="n">
        <v>55452</v>
      </c>
      <c r="C11909" t="inlineStr">
        <is>
          <t>1430/08/04</t>
        </is>
      </c>
    </row>
    <row r="11910">
      <c r="A11910" t="n">
        <v>14300805</v>
      </c>
      <c r="B11910" t="n">
        <v>55453</v>
      </c>
      <c r="C11910" t="inlineStr">
        <is>
          <t>1430/08/05</t>
        </is>
      </c>
    </row>
    <row r="11911">
      <c r="A11911" t="n">
        <v>14300806</v>
      </c>
      <c r="B11911" t="n">
        <v>55454</v>
      </c>
      <c r="C11911" t="inlineStr">
        <is>
          <t>1430/08/06</t>
        </is>
      </c>
    </row>
    <row r="11912">
      <c r="A11912" t="n">
        <v>14300807</v>
      </c>
      <c r="B11912" t="n">
        <v>55455</v>
      </c>
      <c r="C11912" t="inlineStr">
        <is>
          <t>1430/08/07</t>
        </is>
      </c>
    </row>
    <row r="11913">
      <c r="A11913" t="n">
        <v>14300808</v>
      </c>
      <c r="B11913" t="n">
        <v>55456</v>
      </c>
      <c r="C11913" t="inlineStr">
        <is>
          <t>1430/08/08</t>
        </is>
      </c>
    </row>
    <row r="11914">
      <c r="A11914" t="n">
        <v>14300809</v>
      </c>
      <c r="B11914" t="n">
        <v>55457</v>
      </c>
      <c r="C11914" t="inlineStr">
        <is>
          <t>1430/08/09</t>
        </is>
      </c>
    </row>
    <row r="11915">
      <c r="A11915" t="n">
        <v>14300810</v>
      </c>
      <c r="B11915" t="n">
        <v>55458</v>
      </c>
      <c r="C11915" t="inlineStr">
        <is>
          <t>1430/08/10</t>
        </is>
      </c>
    </row>
    <row r="11916">
      <c r="A11916" t="n">
        <v>14300811</v>
      </c>
      <c r="B11916" t="n">
        <v>55459</v>
      </c>
      <c r="C11916" t="inlineStr">
        <is>
          <t>1430/08/11</t>
        </is>
      </c>
    </row>
    <row r="11917">
      <c r="A11917" t="n">
        <v>14300812</v>
      </c>
      <c r="B11917" t="n">
        <v>55460</v>
      </c>
      <c r="C11917" t="inlineStr">
        <is>
          <t>1430/08/12</t>
        </is>
      </c>
    </row>
    <row r="11918">
      <c r="A11918" t="n">
        <v>14300813</v>
      </c>
      <c r="B11918" t="n">
        <v>55461</v>
      </c>
      <c r="C11918" t="inlineStr">
        <is>
          <t>1430/08/13</t>
        </is>
      </c>
    </row>
    <row r="11919">
      <c r="A11919" t="n">
        <v>14300814</v>
      </c>
      <c r="B11919" t="n">
        <v>55462</v>
      </c>
      <c r="C11919" t="inlineStr">
        <is>
          <t>1430/08/14</t>
        </is>
      </c>
    </row>
    <row r="11920">
      <c r="A11920" t="n">
        <v>14300815</v>
      </c>
      <c r="B11920" t="n">
        <v>55463</v>
      </c>
      <c r="C11920" t="inlineStr">
        <is>
          <t>1430/08/15</t>
        </is>
      </c>
    </row>
    <row r="11921">
      <c r="A11921" t="n">
        <v>14300816</v>
      </c>
      <c r="B11921" t="n">
        <v>55464</v>
      </c>
      <c r="C11921" t="inlineStr">
        <is>
          <t>1430/08/16</t>
        </is>
      </c>
    </row>
    <row r="11922">
      <c r="A11922" t="n">
        <v>14300817</v>
      </c>
      <c r="B11922" t="n">
        <v>55465</v>
      </c>
      <c r="C11922" t="inlineStr">
        <is>
          <t>1430/08/17</t>
        </is>
      </c>
    </row>
    <row r="11923">
      <c r="A11923" t="n">
        <v>14300818</v>
      </c>
      <c r="B11923" t="n">
        <v>55466</v>
      </c>
      <c r="C11923" t="inlineStr">
        <is>
          <t>1430/08/18</t>
        </is>
      </c>
    </row>
    <row r="11924">
      <c r="A11924" t="n">
        <v>14300819</v>
      </c>
      <c r="B11924" t="n">
        <v>55467</v>
      </c>
      <c r="C11924" t="inlineStr">
        <is>
          <t>1430/08/19</t>
        </is>
      </c>
    </row>
    <row r="11925">
      <c r="A11925" t="n">
        <v>14300820</v>
      </c>
      <c r="B11925" t="n">
        <v>55468</v>
      </c>
      <c r="C11925" t="inlineStr">
        <is>
          <t>1430/08/20</t>
        </is>
      </c>
    </row>
    <row r="11926">
      <c r="A11926" t="n">
        <v>14300821</v>
      </c>
      <c r="B11926" t="n">
        <v>55469</v>
      </c>
      <c r="C11926" t="inlineStr">
        <is>
          <t>1430/08/21</t>
        </is>
      </c>
    </row>
    <row r="11927">
      <c r="A11927" t="n">
        <v>14300822</v>
      </c>
      <c r="B11927" t="n">
        <v>55470</v>
      </c>
      <c r="C11927" t="inlineStr">
        <is>
          <t>1430/08/22</t>
        </is>
      </c>
    </row>
    <row r="11928">
      <c r="A11928" t="n">
        <v>14300823</v>
      </c>
      <c r="B11928" t="n">
        <v>55471</v>
      </c>
      <c r="C11928" t="inlineStr">
        <is>
          <t>1430/08/23</t>
        </is>
      </c>
    </row>
    <row r="11929">
      <c r="A11929" t="n">
        <v>14300824</v>
      </c>
      <c r="B11929" t="n">
        <v>55472</v>
      </c>
      <c r="C11929" t="inlineStr">
        <is>
          <t>1430/08/24</t>
        </is>
      </c>
    </row>
    <row r="11930">
      <c r="A11930" t="n">
        <v>14300825</v>
      </c>
      <c r="B11930" t="n">
        <v>55473</v>
      </c>
      <c r="C11930" t="inlineStr">
        <is>
          <t>1430/08/25</t>
        </is>
      </c>
    </row>
    <row r="11931">
      <c r="A11931" t="n">
        <v>14300826</v>
      </c>
      <c r="B11931" t="n">
        <v>55474</v>
      </c>
      <c r="C11931" t="inlineStr">
        <is>
          <t>1430/08/26</t>
        </is>
      </c>
    </row>
    <row r="11932">
      <c r="A11932" t="n">
        <v>14300827</v>
      </c>
      <c r="B11932" t="n">
        <v>55475</v>
      </c>
      <c r="C11932" t="inlineStr">
        <is>
          <t>1430/08/27</t>
        </is>
      </c>
    </row>
    <row r="11933">
      <c r="A11933" t="n">
        <v>14300828</v>
      </c>
      <c r="B11933" t="n">
        <v>55476</v>
      </c>
      <c r="C11933" t="inlineStr">
        <is>
          <t>1430/08/28</t>
        </is>
      </c>
    </row>
    <row r="11934">
      <c r="A11934" t="n">
        <v>14300829</v>
      </c>
      <c r="B11934" t="n">
        <v>55477</v>
      </c>
      <c r="C11934" t="inlineStr">
        <is>
          <t>1430/08/29</t>
        </is>
      </c>
    </row>
    <row r="11935">
      <c r="A11935" t="n">
        <v>14300830</v>
      </c>
      <c r="B11935" t="n">
        <v>55478</v>
      </c>
      <c r="C11935" t="inlineStr">
        <is>
          <t>1430/08/30</t>
        </is>
      </c>
    </row>
    <row r="11936">
      <c r="A11936" t="n">
        <v>14300901</v>
      </c>
      <c r="B11936" t="n">
        <v>55479</v>
      </c>
      <c r="C11936" t="inlineStr">
        <is>
          <t>1430/09/01</t>
        </is>
      </c>
    </row>
    <row r="11937">
      <c r="A11937" t="n">
        <v>14300902</v>
      </c>
      <c r="B11937" t="n">
        <v>55480</v>
      </c>
      <c r="C11937" t="inlineStr">
        <is>
          <t>1430/09/02</t>
        </is>
      </c>
    </row>
    <row r="11938">
      <c r="A11938" t="n">
        <v>14300903</v>
      </c>
      <c r="B11938" t="n">
        <v>55481</v>
      </c>
      <c r="C11938" t="inlineStr">
        <is>
          <t>1430/09/03</t>
        </is>
      </c>
    </row>
    <row r="11939">
      <c r="A11939" t="n">
        <v>14300904</v>
      </c>
      <c r="B11939" t="n">
        <v>55482</v>
      </c>
      <c r="C11939" t="inlineStr">
        <is>
          <t>1430/09/04</t>
        </is>
      </c>
    </row>
    <row r="11940">
      <c r="A11940" t="n">
        <v>14300905</v>
      </c>
      <c r="B11940" t="n">
        <v>55483</v>
      </c>
      <c r="C11940" t="inlineStr">
        <is>
          <t>1430/09/05</t>
        </is>
      </c>
    </row>
    <row r="11941">
      <c r="A11941" t="n">
        <v>14300906</v>
      </c>
      <c r="B11941" t="n">
        <v>55484</v>
      </c>
      <c r="C11941" t="inlineStr">
        <is>
          <t>1430/09/06</t>
        </is>
      </c>
    </row>
    <row r="11942">
      <c r="A11942" t="n">
        <v>14300907</v>
      </c>
      <c r="B11942" t="n">
        <v>55485</v>
      </c>
      <c r="C11942" t="inlineStr">
        <is>
          <t>1430/09/07</t>
        </is>
      </c>
    </row>
    <row r="11943">
      <c r="A11943" t="n">
        <v>14300908</v>
      </c>
      <c r="B11943" t="n">
        <v>55486</v>
      </c>
      <c r="C11943" t="inlineStr">
        <is>
          <t>1430/09/08</t>
        </is>
      </c>
    </row>
    <row r="11944">
      <c r="A11944" t="n">
        <v>14300909</v>
      </c>
      <c r="B11944" t="n">
        <v>55487</v>
      </c>
      <c r="C11944" t="inlineStr">
        <is>
          <t>1430/09/09</t>
        </is>
      </c>
    </row>
    <row r="11945">
      <c r="A11945" t="n">
        <v>14300910</v>
      </c>
      <c r="B11945" t="n">
        <v>55488</v>
      </c>
      <c r="C11945" t="inlineStr">
        <is>
          <t>1430/09/10</t>
        </is>
      </c>
    </row>
    <row r="11946">
      <c r="A11946" t="n">
        <v>14300911</v>
      </c>
      <c r="B11946" t="n">
        <v>55489</v>
      </c>
      <c r="C11946" t="inlineStr">
        <is>
          <t>1430/09/11</t>
        </is>
      </c>
    </row>
    <row r="11947">
      <c r="A11947" t="n">
        <v>14300912</v>
      </c>
      <c r="B11947" t="n">
        <v>55490</v>
      </c>
      <c r="C11947" t="inlineStr">
        <is>
          <t>1430/09/12</t>
        </is>
      </c>
    </row>
    <row r="11948">
      <c r="A11948" t="n">
        <v>14300913</v>
      </c>
      <c r="B11948" t="n">
        <v>55491</v>
      </c>
      <c r="C11948" t="inlineStr">
        <is>
          <t>1430/09/13</t>
        </is>
      </c>
    </row>
    <row r="11949">
      <c r="A11949" t="n">
        <v>14300914</v>
      </c>
      <c r="B11949" t="n">
        <v>55492</v>
      </c>
      <c r="C11949" t="inlineStr">
        <is>
          <t>1430/09/14</t>
        </is>
      </c>
    </row>
    <row r="11950">
      <c r="A11950" t="n">
        <v>14300915</v>
      </c>
      <c r="B11950" t="n">
        <v>55493</v>
      </c>
      <c r="C11950" t="inlineStr">
        <is>
          <t>1430/09/15</t>
        </is>
      </c>
    </row>
    <row r="11951">
      <c r="A11951" t="n">
        <v>14300916</v>
      </c>
      <c r="B11951" t="n">
        <v>55494</v>
      </c>
      <c r="C11951" t="inlineStr">
        <is>
          <t>1430/09/16</t>
        </is>
      </c>
    </row>
    <row r="11952">
      <c r="A11952" t="n">
        <v>14300917</v>
      </c>
      <c r="B11952" t="n">
        <v>55495</v>
      </c>
      <c r="C11952" t="inlineStr">
        <is>
          <t>1430/09/17</t>
        </is>
      </c>
    </row>
    <row r="11953">
      <c r="A11953" t="n">
        <v>14300918</v>
      </c>
      <c r="B11953" t="n">
        <v>55496</v>
      </c>
      <c r="C11953" t="inlineStr">
        <is>
          <t>1430/09/18</t>
        </is>
      </c>
    </row>
    <row r="11954">
      <c r="A11954" t="n">
        <v>14300919</v>
      </c>
      <c r="B11954" t="n">
        <v>55497</v>
      </c>
      <c r="C11954" t="inlineStr">
        <is>
          <t>1430/09/19</t>
        </is>
      </c>
    </row>
    <row r="11955">
      <c r="A11955" t="n">
        <v>14300920</v>
      </c>
      <c r="B11955" t="n">
        <v>55498</v>
      </c>
      <c r="C11955" t="inlineStr">
        <is>
          <t>1430/09/20</t>
        </is>
      </c>
    </row>
    <row r="11956">
      <c r="A11956" t="n">
        <v>14300921</v>
      </c>
      <c r="B11956" t="n">
        <v>55499</v>
      </c>
      <c r="C11956" t="inlineStr">
        <is>
          <t>1430/09/21</t>
        </is>
      </c>
    </row>
    <row r="11957">
      <c r="A11957" t="n">
        <v>14300922</v>
      </c>
      <c r="B11957" t="n">
        <v>55500</v>
      </c>
      <c r="C11957" t="inlineStr">
        <is>
          <t>1430/09/22</t>
        </is>
      </c>
    </row>
    <row r="11958">
      <c r="A11958" t="n">
        <v>14300923</v>
      </c>
      <c r="B11958" t="n">
        <v>55501</v>
      </c>
      <c r="C11958" t="inlineStr">
        <is>
          <t>1430/09/23</t>
        </is>
      </c>
    </row>
    <row r="11959">
      <c r="A11959" t="n">
        <v>14300924</v>
      </c>
      <c r="B11959" t="n">
        <v>55502</v>
      </c>
      <c r="C11959" t="inlineStr">
        <is>
          <t>1430/09/24</t>
        </is>
      </c>
    </row>
    <row r="11960">
      <c r="A11960" t="n">
        <v>14300925</v>
      </c>
      <c r="B11960" t="n">
        <v>55503</v>
      </c>
      <c r="C11960" t="inlineStr">
        <is>
          <t>1430/09/25</t>
        </is>
      </c>
    </row>
    <row r="11961">
      <c r="A11961" t="n">
        <v>14300926</v>
      </c>
      <c r="B11961" t="n">
        <v>55504</v>
      </c>
      <c r="C11961" t="inlineStr">
        <is>
          <t>1430/09/26</t>
        </is>
      </c>
    </row>
    <row r="11962">
      <c r="A11962" t="n">
        <v>14300927</v>
      </c>
      <c r="B11962" t="n">
        <v>55505</v>
      </c>
      <c r="C11962" t="inlineStr">
        <is>
          <t>1430/09/27</t>
        </is>
      </c>
    </row>
    <row r="11963">
      <c r="A11963" t="n">
        <v>14300928</v>
      </c>
      <c r="B11963" t="n">
        <v>55506</v>
      </c>
      <c r="C11963" t="inlineStr">
        <is>
          <t>1430/09/28</t>
        </is>
      </c>
    </row>
    <row r="11964">
      <c r="A11964" t="n">
        <v>14300929</v>
      </c>
      <c r="B11964" t="n">
        <v>55507</v>
      </c>
      <c r="C11964" t="inlineStr">
        <is>
          <t>1430/09/29</t>
        </is>
      </c>
    </row>
    <row r="11965">
      <c r="A11965" t="n">
        <v>14300930</v>
      </c>
      <c r="B11965" t="n">
        <v>55508</v>
      </c>
      <c r="C11965" t="inlineStr">
        <is>
          <t>1430/09/30</t>
        </is>
      </c>
    </row>
    <row r="11966">
      <c r="A11966" t="n">
        <v>14301001</v>
      </c>
      <c r="B11966" t="n">
        <v>55509</v>
      </c>
      <c r="C11966" t="inlineStr">
        <is>
          <t>1430/10/01</t>
        </is>
      </c>
    </row>
    <row r="11967">
      <c r="A11967" t="n">
        <v>14301002</v>
      </c>
      <c r="B11967" t="n">
        <v>55510</v>
      </c>
      <c r="C11967" t="inlineStr">
        <is>
          <t>1430/10/02</t>
        </is>
      </c>
    </row>
    <row r="11968">
      <c r="A11968" t="n">
        <v>14301003</v>
      </c>
      <c r="B11968" t="n">
        <v>55511</v>
      </c>
      <c r="C11968" t="inlineStr">
        <is>
          <t>1430/10/03</t>
        </is>
      </c>
    </row>
    <row r="11969">
      <c r="A11969" t="n">
        <v>14301004</v>
      </c>
      <c r="B11969" t="n">
        <v>55512</v>
      </c>
      <c r="C11969" t="inlineStr">
        <is>
          <t>1430/10/04</t>
        </is>
      </c>
    </row>
    <row r="11970">
      <c r="A11970" t="n">
        <v>14301005</v>
      </c>
      <c r="B11970" t="n">
        <v>55513</v>
      </c>
      <c r="C11970" t="inlineStr">
        <is>
          <t>1430/10/05</t>
        </is>
      </c>
    </row>
    <row r="11971">
      <c r="A11971" t="n">
        <v>14301006</v>
      </c>
      <c r="B11971" t="n">
        <v>55514</v>
      </c>
      <c r="C11971" t="inlineStr">
        <is>
          <t>1430/10/06</t>
        </is>
      </c>
    </row>
    <row r="11972">
      <c r="A11972" t="n">
        <v>14301007</v>
      </c>
      <c r="B11972" t="n">
        <v>55515</v>
      </c>
      <c r="C11972" t="inlineStr">
        <is>
          <t>1430/10/07</t>
        </is>
      </c>
    </row>
    <row r="11973">
      <c r="A11973" t="n">
        <v>14301008</v>
      </c>
      <c r="B11973" t="n">
        <v>55516</v>
      </c>
      <c r="C11973" t="inlineStr">
        <is>
          <t>1430/10/08</t>
        </is>
      </c>
    </row>
    <row r="11974">
      <c r="A11974" t="n">
        <v>14301009</v>
      </c>
      <c r="B11974" t="n">
        <v>55517</v>
      </c>
      <c r="C11974" t="inlineStr">
        <is>
          <t>1430/10/09</t>
        </is>
      </c>
    </row>
    <row r="11975">
      <c r="A11975" t="n">
        <v>14301010</v>
      </c>
      <c r="B11975" t="n">
        <v>55518</v>
      </c>
      <c r="C11975" t="inlineStr">
        <is>
          <t>1430/10/10</t>
        </is>
      </c>
    </row>
    <row r="11976">
      <c r="A11976" t="n">
        <v>14301011</v>
      </c>
      <c r="B11976" t="n">
        <v>55519</v>
      </c>
      <c r="C11976" t="inlineStr">
        <is>
          <t>1430/10/11</t>
        </is>
      </c>
    </row>
    <row r="11977">
      <c r="A11977" t="n">
        <v>14301012</v>
      </c>
      <c r="B11977" t="n">
        <v>55520</v>
      </c>
      <c r="C11977" t="inlineStr">
        <is>
          <t>1430/10/12</t>
        </is>
      </c>
    </row>
    <row r="11978">
      <c r="A11978" t="n">
        <v>14301013</v>
      </c>
      <c r="B11978" t="n">
        <v>55521</v>
      </c>
      <c r="C11978" t="inlineStr">
        <is>
          <t>1430/10/13</t>
        </is>
      </c>
    </row>
    <row r="11979">
      <c r="A11979" t="n">
        <v>14301014</v>
      </c>
      <c r="B11979" t="n">
        <v>55522</v>
      </c>
      <c r="C11979" t="inlineStr">
        <is>
          <t>1430/10/14</t>
        </is>
      </c>
    </row>
    <row r="11980">
      <c r="A11980" t="n">
        <v>14301015</v>
      </c>
      <c r="B11980" t="n">
        <v>55523</v>
      </c>
      <c r="C11980" t="inlineStr">
        <is>
          <t>1430/10/15</t>
        </is>
      </c>
    </row>
    <row r="11981">
      <c r="A11981" t="n">
        <v>14301016</v>
      </c>
      <c r="B11981" t="n">
        <v>55524</v>
      </c>
      <c r="C11981" t="inlineStr">
        <is>
          <t>1430/10/16</t>
        </is>
      </c>
    </row>
    <row r="11982">
      <c r="A11982" t="n">
        <v>14301017</v>
      </c>
      <c r="B11982" t="n">
        <v>55525</v>
      </c>
      <c r="C11982" t="inlineStr">
        <is>
          <t>1430/10/17</t>
        </is>
      </c>
    </row>
    <row r="11983">
      <c r="A11983" t="n">
        <v>14301018</v>
      </c>
      <c r="B11983" t="n">
        <v>55526</v>
      </c>
      <c r="C11983" t="inlineStr">
        <is>
          <t>1430/10/18</t>
        </is>
      </c>
    </row>
    <row r="11984">
      <c r="A11984" t="n">
        <v>14301019</v>
      </c>
      <c r="B11984" t="n">
        <v>55527</v>
      </c>
      <c r="C11984" t="inlineStr">
        <is>
          <t>1430/10/19</t>
        </is>
      </c>
    </row>
    <row r="11985">
      <c r="A11985" t="n">
        <v>14301020</v>
      </c>
      <c r="B11985" t="n">
        <v>55528</v>
      </c>
      <c r="C11985" t="inlineStr">
        <is>
          <t>1430/10/20</t>
        </is>
      </c>
    </row>
    <row r="11986">
      <c r="A11986" t="n">
        <v>14301021</v>
      </c>
      <c r="B11986" t="n">
        <v>55529</v>
      </c>
      <c r="C11986" t="inlineStr">
        <is>
          <t>1430/10/21</t>
        </is>
      </c>
    </row>
    <row r="11987">
      <c r="A11987" t="n">
        <v>14301022</v>
      </c>
      <c r="B11987" t="n">
        <v>55530</v>
      </c>
      <c r="C11987" t="inlineStr">
        <is>
          <t>1430/10/22</t>
        </is>
      </c>
    </row>
    <row r="11988">
      <c r="A11988" t="n">
        <v>14301023</v>
      </c>
      <c r="B11988" t="n">
        <v>55531</v>
      </c>
      <c r="C11988" t="inlineStr">
        <is>
          <t>1430/10/23</t>
        </is>
      </c>
    </row>
    <row r="11989">
      <c r="A11989" t="n">
        <v>14301024</v>
      </c>
      <c r="B11989" t="n">
        <v>55532</v>
      </c>
      <c r="C11989" t="inlineStr">
        <is>
          <t>1430/10/24</t>
        </is>
      </c>
    </row>
    <row r="11990">
      <c r="A11990" t="n">
        <v>14301025</v>
      </c>
      <c r="B11990" t="n">
        <v>55533</v>
      </c>
      <c r="C11990" t="inlineStr">
        <is>
          <t>1430/10/25</t>
        </is>
      </c>
    </row>
    <row r="11991">
      <c r="A11991" t="n">
        <v>14301026</v>
      </c>
      <c r="B11991" t="n">
        <v>55534</v>
      </c>
      <c r="C11991" t="inlineStr">
        <is>
          <t>1430/10/26</t>
        </is>
      </c>
    </row>
    <row r="11992">
      <c r="A11992" t="n">
        <v>14301027</v>
      </c>
      <c r="B11992" t="n">
        <v>55535</v>
      </c>
      <c r="C11992" t="inlineStr">
        <is>
          <t>1430/10/27</t>
        </is>
      </c>
    </row>
    <row r="11993">
      <c r="A11993" t="n">
        <v>14301028</v>
      </c>
      <c r="B11993" t="n">
        <v>55536</v>
      </c>
      <c r="C11993" t="inlineStr">
        <is>
          <t>1430/10/28</t>
        </is>
      </c>
    </row>
    <row r="11994">
      <c r="A11994" t="n">
        <v>14301029</v>
      </c>
      <c r="B11994" t="n">
        <v>55537</v>
      </c>
      <c r="C11994" t="inlineStr">
        <is>
          <t>1430/10/29</t>
        </is>
      </c>
    </row>
    <row r="11995">
      <c r="A11995" t="n">
        <v>14301030</v>
      </c>
      <c r="B11995" t="n">
        <v>55538</v>
      </c>
      <c r="C11995" t="inlineStr">
        <is>
          <t>1430/10/30</t>
        </is>
      </c>
    </row>
    <row r="11996">
      <c r="A11996" t="n">
        <v>14301101</v>
      </c>
      <c r="B11996" t="n">
        <v>55539</v>
      </c>
      <c r="C11996" t="inlineStr">
        <is>
          <t>1430/11/01</t>
        </is>
      </c>
    </row>
    <row r="11997">
      <c r="A11997" t="n">
        <v>14301102</v>
      </c>
      <c r="B11997" t="n">
        <v>55540</v>
      </c>
      <c r="C11997" t="inlineStr">
        <is>
          <t>1430/11/02</t>
        </is>
      </c>
    </row>
    <row r="11998">
      <c r="A11998" t="n">
        <v>14301103</v>
      </c>
      <c r="B11998" t="n">
        <v>55541</v>
      </c>
      <c r="C11998" t="inlineStr">
        <is>
          <t>1430/11/03</t>
        </is>
      </c>
    </row>
    <row r="11999">
      <c r="A11999" t="n">
        <v>14301104</v>
      </c>
      <c r="B11999" t="n">
        <v>55542</v>
      </c>
      <c r="C11999" t="inlineStr">
        <is>
          <t>1430/11/04</t>
        </is>
      </c>
    </row>
    <row r="12000">
      <c r="A12000" t="n">
        <v>14301105</v>
      </c>
      <c r="B12000" t="n">
        <v>55543</v>
      </c>
      <c r="C12000" t="inlineStr">
        <is>
          <t>1430/11/05</t>
        </is>
      </c>
    </row>
    <row r="12001">
      <c r="A12001" t="n">
        <v>14301106</v>
      </c>
      <c r="B12001" t="n">
        <v>55544</v>
      </c>
      <c r="C12001" t="inlineStr">
        <is>
          <t>1430/11/06</t>
        </is>
      </c>
    </row>
    <row r="12002">
      <c r="A12002" t="n">
        <v>14301107</v>
      </c>
      <c r="B12002" t="n">
        <v>55545</v>
      </c>
      <c r="C12002" t="inlineStr">
        <is>
          <t>1430/11/07</t>
        </is>
      </c>
    </row>
    <row r="12003">
      <c r="A12003" t="n">
        <v>14301108</v>
      </c>
      <c r="B12003" t="n">
        <v>55546</v>
      </c>
      <c r="C12003" t="inlineStr">
        <is>
          <t>1430/11/08</t>
        </is>
      </c>
    </row>
    <row r="12004">
      <c r="A12004" t="n">
        <v>14301109</v>
      </c>
      <c r="B12004" t="n">
        <v>55547</v>
      </c>
      <c r="C12004" t="inlineStr">
        <is>
          <t>1430/11/09</t>
        </is>
      </c>
    </row>
    <row r="12005">
      <c r="A12005" t="n">
        <v>14301110</v>
      </c>
      <c r="B12005" t="n">
        <v>55548</v>
      </c>
      <c r="C12005" t="inlineStr">
        <is>
          <t>1430/11/10</t>
        </is>
      </c>
    </row>
    <row r="12006">
      <c r="A12006" t="n">
        <v>14301111</v>
      </c>
      <c r="B12006" t="n">
        <v>55549</v>
      </c>
      <c r="C12006" t="inlineStr">
        <is>
          <t>1430/11/11</t>
        </is>
      </c>
    </row>
    <row r="12007">
      <c r="A12007" t="n">
        <v>14301112</v>
      </c>
      <c r="B12007" t="n">
        <v>55550</v>
      </c>
      <c r="C12007" t="inlineStr">
        <is>
          <t>1430/11/12</t>
        </is>
      </c>
    </row>
    <row r="12008">
      <c r="A12008" t="n">
        <v>14301113</v>
      </c>
      <c r="B12008" t="n">
        <v>55551</v>
      </c>
      <c r="C12008" t="inlineStr">
        <is>
          <t>1430/11/13</t>
        </is>
      </c>
    </row>
    <row r="12009">
      <c r="A12009" t="n">
        <v>14301114</v>
      </c>
      <c r="B12009" t="n">
        <v>55552</v>
      </c>
      <c r="C12009" t="inlineStr">
        <is>
          <t>1430/11/14</t>
        </is>
      </c>
    </row>
    <row r="12010">
      <c r="A12010" t="n">
        <v>14301115</v>
      </c>
      <c r="B12010" t="n">
        <v>55553</v>
      </c>
      <c r="C12010" t="inlineStr">
        <is>
          <t>1430/11/15</t>
        </is>
      </c>
    </row>
    <row r="12011">
      <c r="A12011" t="n">
        <v>14301116</v>
      </c>
      <c r="B12011" t="n">
        <v>55554</v>
      </c>
      <c r="C12011" t="inlineStr">
        <is>
          <t>1430/11/16</t>
        </is>
      </c>
    </row>
    <row r="12012">
      <c r="A12012" t="n">
        <v>14301117</v>
      </c>
      <c r="B12012" t="n">
        <v>55555</v>
      </c>
      <c r="C12012" t="inlineStr">
        <is>
          <t>1430/11/17</t>
        </is>
      </c>
    </row>
    <row r="12013">
      <c r="A12013" t="n">
        <v>14301118</v>
      </c>
      <c r="B12013" t="n">
        <v>55556</v>
      </c>
      <c r="C12013" t="inlineStr">
        <is>
          <t>1430/11/18</t>
        </is>
      </c>
    </row>
    <row r="12014">
      <c r="A12014" t="n">
        <v>14301119</v>
      </c>
      <c r="B12014" t="n">
        <v>55557</v>
      </c>
      <c r="C12014" t="inlineStr">
        <is>
          <t>1430/11/19</t>
        </is>
      </c>
    </row>
    <row r="12015">
      <c r="A12015" t="n">
        <v>14301120</v>
      </c>
      <c r="B12015" t="n">
        <v>55558</v>
      </c>
      <c r="C12015" t="inlineStr">
        <is>
          <t>1430/11/20</t>
        </is>
      </c>
    </row>
    <row r="12016">
      <c r="A12016" t="n">
        <v>14301121</v>
      </c>
      <c r="B12016" t="n">
        <v>55559</v>
      </c>
      <c r="C12016" t="inlineStr">
        <is>
          <t>1430/11/21</t>
        </is>
      </c>
    </row>
    <row r="12017">
      <c r="A12017" t="n">
        <v>14301122</v>
      </c>
      <c r="B12017" t="n">
        <v>55560</v>
      </c>
      <c r="C12017" t="inlineStr">
        <is>
          <t>1430/11/22</t>
        </is>
      </c>
    </row>
    <row r="12018">
      <c r="A12018" t="n">
        <v>14301123</v>
      </c>
      <c r="B12018" t="n">
        <v>55561</v>
      </c>
      <c r="C12018" t="inlineStr">
        <is>
          <t>1430/11/23</t>
        </is>
      </c>
    </row>
    <row r="12019">
      <c r="A12019" t="n">
        <v>14301124</v>
      </c>
      <c r="B12019" t="n">
        <v>55562</v>
      </c>
      <c r="C12019" t="inlineStr">
        <is>
          <t>1430/11/24</t>
        </is>
      </c>
    </row>
    <row r="12020">
      <c r="A12020" t="n">
        <v>14301125</v>
      </c>
      <c r="B12020" t="n">
        <v>55563</v>
      </c>
      <c r="C12020" t="inlineStr">
        <is>
          <t>1430/11/25</t>
        </is>
      </c>
    </row>
    <row r="12021">
      <c r="A12021" t="n">
        <v>14301126</v>
      </c>
      <c r="B12021" t="n">
        <v>55564</v>
      </c>
      <c r="C12021" t="inlineStr">
        <is>
          <t>1430/11/26</t>
        </is>
      </c>
    </row>
    <row r="12022">
      <c r="A12022" t="n">
        <v>14301127</v>
      </c>
      <c r="B12022" t="n">
        <v>55565</v>
      </c>
      <c r="C12022" t="inlineStr">
        <is>
          <t>1430/11/27</t>
        </is>
      </c>
    </row>
    <row r="12023">
      <c r="A12023" t="n">
        <v>14301128</v>
      </c>
      <c r="B12023" t="n">
        <v>55566</v>
      </c>
      <c r="C12023" t="inlineStr">
        <is>
          <t>1430/11/28</t>
        </is>
      </c>
    </row>
    <row r="12024">
      <c r="A12024" t="n">
        <v>14301129</v>
      </c>
      <c r="B12024" t="n">
        <v>55567</v>
      </c>
      <c r="C12024" t="inlineStr">
        <is>
          <t>1430/11/29</t>
        </is>
      </c>
    </row>
    <row r="12025">
      <c r="A12025" t="n">
        <v>14301130</v>
      </c>
      <c r="B12025" t="n">
        <v>55568</v>
      </c>
      <c r="C12025" t="inlineStr">
        <is>
          <t>1430/11/30</t>
        </is>
      </c>
    </row>
    <row r="12026">
      <c r="A12026" t="n">
        <v>14301201</v>
      </c>
      <c r="B12026" t="n">
        <v>55569</v>
      </c>
      <c r="C12026" t="inlineStr">
        <is>
          <t>1430/12/01</t>
        </is>
      </c>
    </row>
    <row r="12027">
      <c r="A12027" t="n">
        <v>14301202</v>
      </c>
      <c r="B12027" t="n">
        <v>55570</v>
      </c>
      <c r="C12027" t="inlineStr">
        <is>
          <t>1430/12/02</t>
        </is>
      </c>
    </row>
    <row r="12028">
      <c r="A12028" t="n">
        <v>14301203</v>
      </c>
      <c r="B12028" t="n">
        <v>55571</v>
      </c>
      <c r="C12028" t="inlineStr">
        <is>
          <t>1430/12/03</t>
        </is>
      </c>
    </row>
    <row r="12029">
      <c r="A12029" t="n">
        <v>14301204</v>
      </c>
      <c r="B12029" t="n">
        <v>55572</v>
      </c>
      <c r="C12029" t="inlineStr">
        <is>
          <t>1430/12/04</t>
        </is>
      </c>
    </row>
    <row r="12030">
      <c r="A12030" t="n">
        <v>14301205</v>
      </c>
      <c r="B12030" t="n">
        <v>55573</v>
      </c>
      <c r="C12030" t="inlineStr">
        <is>
          <t>1430/12/05</t>
        </is>
      </c>
    </row>
    <row r="12031">
      <c r="A12031" t="n">
        <v>14301206</v>
      </c>
      <c r="B12031" t="n">
        <v>55574</v>
      </c>
      <c r="C12031" t="inlineStr">
        <is>
          <t>1430/12/06</t>
        </is>
      </c>
    </row>
    <row r="12032">
      <c r="A12032" t="n">
        <v>14301207</v>
      </c>
      <c r="B12032" t="n">
        <v>55575</v>
      </c>
      <c r="C12032" t="inlineStr">
        <is>
          <t>1430/12/07</t>
        </is>
      </c>
    </row>
    <row r="12033">
      <c r="A12033" t="n">
        <v>14301208</v>
      </c>
      <c r="B12033" t="n">
        <v>55576</v>
      </c>
      <c r="C12033" t="inlineStr">
        <is>
          <t>1430/12/08</t>
        </is>
      </c>
    </row>
    <row r="12034">
      <c r="A12034" t="n">
        <v>14301209</v>
      </c>
      <c r="B12034" t="n">
        <v>55577</v>
      </c>
      <c r="C12034" t="inlineStr">
        <is>
          <t>1430/12/09</t>
        </is>
      </c>
    </row>
    <row r="12035">
      <c r="A12035" t="n">
        <v>14301210</v>
      </c>
      <c r="B12035" t="n">
        <v>55578</v>
      </c>
      <c r="C12035" t="inlineStr">
        <is>
          <t>1430/12/10</t>
        </is>
      </c>
    </row>
    <row r="12036">
      <c r="A12036" t="n">
        <v>14301211</v>
      </c>
      <c r="B12036" t="n">
        <v>55579</v>
      </c>
      <c r="C12036" t="inlineStr">
        <is>
          <t>1430/12/11</t>
        </is>
      </c>
    </row>
    <row r="12037">
      <c r="A12037" t="n">
        <v>14301212</v>
      </c>
      <c r="B12037" t="n">
        <v>55580</v>
      </c>
      <c r="C12037" t="inlineStr">
        <is>
          <t>1430/12/12</t>
        </is>
      </c>
    </row>
    <row r="12038">
      <c r="A12038" t="n">
        <v>14301213</v>
      </c>
      <c r="B12038" t="n">
        <v>55581</v>
      </c>
      <c r="C12038" t="inlineStr">
        <is>
          <t>1430/12/13</t>
        </is>
      </c>
    </row>
    <row r="12039">
      <c r="A12039" t="n">
        <v>14301214</v>
      </c>
      <c r="B12039" t="n">
        <v>55582</v>
      </c>
      <c r="C12039" t="inlineStr">
        <is>
          <t>1430/12/14</t>
        </is>
      </c>
    </row>
    <row r="12040">
      <c r="A12040" t="n">
        <v>14301215</v>
      </c>
      <c r="B12040" t="n">
        <v>55583</v>
      </c>
      <c r="C12040" t="inlineStr">
        <is>
          <t>1430/12/15</t>
        </is>
      </c>
    </row>
    <row r="12041">
      <c r="A12041" t="n">
        <v>14301216</v>
      </c>
      <c r="B12041" t="n">
        <v>55584</v>
      </c>
      <c r="C12041" t="inlineStr">
        <is>
          <t>1430/12/16</t>
        </is>
      </c>
    </row>
    <row r="12042">
      <c r="A12042" t="n">
        <v>14301217</v>
      </c>
      <c r="B12042" t="n">
        <v>55585</v>
      </c>
      <c r="C12042" t="inlineStr">
        <is>
          <t>1430/12/17</t>
        </is>
      </c>
    </row>
    <row r="12043">
      <c r="A12043" t="n">
        <v>14301218</v>
      </c>
      <c r="B12043" t="n">
        <v>55586</v>
      </c>
      <c r="C12043" t="inlineStr">
        <is>
          <t>1430/12/18</t>
        </is>
      </c>
    </row>
    <row r="12044">
      <c r="A12044" t="n">
        <v>14301219</v>
      </c>
      <c r="B12044" t="n">
        <v>55587</v>
      </c>
      <c r="C12044" t="inlineStr">
        <is>
          <t>1430/12/19</t>
        </is>
      </c>
    </row>
    <row r="12045">
      <c r="A12045" t="n">
        <v>14301220</v>
      </c>
      <c r="B12045" t="n">
        <v>55588</v>
      </c>
      <c r="C12045" t="inlineStr">
        <is>
          <t>1430/12/20</t>
        </is>
      </c>
    </row>
    <row r="12046">
      <c r="A12046" t="n">
        <v>14301221</v>
      </c>
      <c r="B12046" t="n">
        <v>55589</v>
      </c>
      <c r="C12046" t="inlineStr">
        <is>
          <t>1430/12/21</t>
        </is>
      </c>
    </row>
    <row r="12047">
      <c r="A12047" t="n">
        <v>14301222</v>
      </c>
      <c r="B12047" t="n">
        <v>55590</v>
      </c>
      <c r="C12047" t="inlineStr">
        <is>
          <t>1430/12/22</t>
        </is>
      </c>
    </row>
    <row r="12048">
      <c r="A12048" t="n">
        <v>14301223</v>
      </c>
      <c r="B12048" t="n">
        <v>55591</v>
      </c>
      <c r="C12048" t="inlineStr">
        <is>
          <t>1430/12/23</t>
        </is>
      </c>
    </row>
    <row r="12049">
      <c r="A12049" t="n">
        <v>14301224</v>
      </c>
      <c r="B12049" t="n">
        <v>55592</v>
      </c>
      <c r="C12049" t="inlineStr">
        <is>
          <t>1430/12/24</t>
        </is>
      </c>
    </row>
    <row r="12050">
      <c r="A12050" t="n">
        <v>14301225</v>
      </c>
      <c r="B12050" t="n">
        <v>55593</v>
      </c>
      <c r="C12050" t="inlineStr">
        <is>
          <t>1430/12/25</t>
        </is>
      </c>
    </row>
    <row r="12051">
      <c r="A12051" t="n">
        <v>14301226</v>
      </c>
      <c r="B12051" t="n">
        <v>55594</v>
      </c>
      <c r="C12051" t="inlineStr">
        <is>
          <t>1430/12/26</t>
        </is>
      </c>
    </row>
    <row r="12052">
      <c r="A12052" t="n">
        <v>14301227</v>
      </c>
      <c r="B12052" t="n">
        <v>55595</v>
      </c>
      <c r="C12052" t="inlineStr">
        <is>
          <t>1430/12/27</t>
        </is>
      </c>
    </row>
    <row r="12053">
      <c r="A12053" t="n">
        <v>14301228</v>
      </c>
      <c r="B12053" t="n">
        <v>55596</v>
      </c>
      <c r="C12053" t="inlineStr">
        <is>
          <t>1430/12/28</t>
        </is>
      </c>
    </row>
    <row r="12054">
      <c r="A12054" t="n">
        <v>14301229</v>
      </c>
      <c r="B12054" t="n">
        <v>55597</v>
      </c>
      <c r="C12054" t="inlineStr">
        <is>
          <t>1430/12/29</t>
        </is>
      </c>
    </row>
    <row r="12055">
      <c r="A12055" t="n">
        <v>14310101</v>
      </c>
      <c r="B12055" t="n">
        <v>55598</v>
      </c>
      <c r="C12055" t="inlineStr">
        <is>
          <t>1431/01/01</t>
        </is>
      </c>
    </row>
    <row r="12056">
      <c r="A12056" t="n">
        <v>14310102</v>
      </c>
      <c r="B12056" t="n">
        <v>55599</v>
      </c>
      <c r="C12056" t="inlineStr">
        <is>
          <t>1431/01/02</t>
        </is>
      </c>
    </row>
    <row r="12057">
      <c r="A12057" t="n">
        <v>14310103</v>
      </c>
      <c r="B12057" t="n">
        <v>55600</v>
      </c>
      <c r="C12057" t="inlineStr">
        <is>
          <t>1431/01/03</t>
        </is>
      </c>
    </row>
    <row r="12058">
      <c r="A12058" t="n">
        <v>14310104</v>
      </c>
      <c r="B12058" t="n">
        <v>55601</v>
      </c>
      <c r="C12058" t="inlineStr">
        <is>
          <t>1431/01/04</t>
        </is>
      </c>
    </row>
    <row r="12059">
      <c r="A12059" t="n">
        <v>14310105</v>
      </c>
      <c r="B12059" t="n">
        <v>55602</v>
      </c>
      <c r="C12059" t="inlineStr">
        <is>
          <t>1431/01/05</t>
        </is>
      </c>
    </row>
    <row r="12060">
      <c r="A12060" t="n">
        <v>14310106</v>
      </c>
      <c r="B12060" t="n">
        <v>55603</v>
      </c>
      <c r="C12060" t="inlineStr">
        <is>
          <t>1431/01/06</t>
        </is>
      </c>
    </row>
    <row r="12061">
      <c r="A12061" t="n">
        <v>14310107</v>
      </c>
      <c r="B12061" t="n">
        <v>55604</v>
      </c>
      <c r="C12061" t="inlineStr">
        <is>
          <t>1431/01/07</t>
        </is>
      </c>
    </row>
    <row r="12062">
      <c r="A12062" t="n">
        <v>14310108</v>
      </c>
      <c r="B12062" t="n">
        <v>55605</v>
      </c>
      <c r="C12062" t="inlineStr">
        <is>
          <t>1431/01/08</t>
        </is>
      </c>
    </row>
    <row r="12063">
      <c r="A12063" t="n">
        <v>14310109</v>
      </c>
      <c r="B12063" t="n">
        <v>55606</v>
      </c>
      <c r="C12063" t="inlineStr">
        <is>
          <t>1431/01/09</t>
        </is>
      </c>
    </row>
    <row r="12064">
      <c r="A12064" t="n">
        <v>14310110</v>
      </c>
      <c r="B12064" t="n">
        <v>55607</v>
      </c>
      <c r="C12064" t="inlineStr">
        <is>
          <t>1431/01/10</t>
        </is>
      </c>
    </row>
    <row r="12065">
      <c r="A12065" t="n">
        <v>14310111</v>
      </c>
      <c r="B12065" t="n">
        <v>55608</v>
      </c>
      <c r="C12065" t="inlineStr">
        <is>
          <t>1431/01/11</t>
        </is>
      </c>
    </row>
    <row r="12066">
      <c r="A12066" t="n">
        <v>14310112</v>
      </c>
      <c r="B12066" t="n">
        <v>55609</v>
      </c>
      <c r="C12066" t="inlineStr">
        <is>
          <t>1431/01/12</t>
        </is>
      </c>
    </row>
    <row r="12067">
      <c r="A12067" t="n">
        <v>14310113</v>
      </c>
      <c r="B12067" t="n">
        <v>55610</v>
      </c>
      <c r="C12067" t="inlineStr">
        <is>
          <t>1431/01/13</t>
        </is>
      </c>
    </row>
    <row r="12068">
      <c r="A12068" t="n">
        <v>14310114</v>
      </c>
      <c r="B12068" t="n">
        <v>55611</v>
      </c>
      <c r="C12068" t="inlineStr">
        <is>
          <t>1431/01/14</t>
        </is>
      </c>
    </row>
    <row r="12069">
      <c r="A12069" t="n">
        <v>14310115</v>
      </c>
      <c r="B12069" t="n">
        <v>55612</v>
      </c>
      <c r="C12069" t="inlineStr">
        <is>
          <t>1431/01/15</t>
        </is>
      </c>
    </row>
    <row r="12070">
      <c r="A12070" t="n">
        <v>14310116</v>
      </c>
      <c r="B12070" t="n">
        <v>55613</v>
      </c>
      <c r="C12070" t="inlineStr">
        <is>
          <t>1431/01/16</t>
        </is>
      </c>
    </row>
    <row r="12071">
      <c r="A12071" t="n">
        <v>14310117</v>
      </c>
      <c r="B12071" t="n">
        <v>55614</v>
      </c>
      <c r="C12071" t="inlineStr">
        <is>
          <t>1431/01/17</t>
        </is>
      </c>
    </row>
    <row r="12072">
      <c r="A12072" t="n">
        <v>14310118</v>
      </c>
      <c r="B12072" t="n">
        <v>55615</v>
      </c>
      <c r="C12072" t="inlineStr">
        <is>
          <t>1431/01/18</t>
        </is>
      </c>
    </row>
    <row r="12073">
      <c r="A12073" t="n">
        <v>14310119</v>
      </c>
      <c r="B12073" t="n">
        <v>55616</v>
      </c>
      <c r="C12073" t="inlineStr">
        <is>
          <t>1431/01/19</t>
        </is>
      </c>
    </row>
    <row r="12074">
      <c r="A12074" t="n">
        <v>14310120</v>
      </c>
      <c r="B12074" t="n">
        <v>55617</v>
      </c>
      <c r="C12074" t="inlineStr">
        <is>
          <t>1431/01/20</t>
        </is>
      </c>
    </row>
    <row r="12075">
      <c r="A12075" t="n">
        <v>14310121</v>
      </c>
      <c r="B12075" t="n">
        <v>55618</v>
      </c>
      <c r="C12075" t="inlineStr">
        <is>
          <t>1431/01/21</t>
        </is>
      </c>
    </row>
    <row r="12076">
      <c r="A12076" t="n">
        <v>14310122</v>
      </c>
      <c r="B12076" t="n">
        <v>55619</v>
      </c>
      <c r="C12076" t="inlineStr">
        <is>
          <t>1431/01/22</t>
        </is>
      </c>
    </row>
    <row r="12077">
      <c r="A12077" t="n">
        <v>14310123</v>
      </c>
      <c r="B12077" t="n">
        <v>55620</v>
      </c>
      <c r="C12077" t="inlineStr">
        <is>
          <t>1431/01/23</t>
        </is>
      </c>
    </row>
    <row r="12078">
      <c r="A12078" t="n">
        <v>14310124</v>
      </c>
      <c r="B12078" t="n">
        <v>55621</v>
      </c>
      <c r="C12078" t="inlineStr">
        <is>
          <t>1431/01/24</t>
        </is>
      </c>
    </row>
    <row r="12079">
      <c r="A12079" t="n">
        <v>14310125</v>
      </c>
      <c r="B12079" t="n">
        <v>55622</v>
      </c>
      <c r="C12079" t="inlineStr">
        <is>
          <t>1431/01/25</t>
        </is>
      </c>
    </row>
    <row r="12080">
      <c r="A12080" t="n">
        <v>14310126</v>
      </c>
      <c r="B12080" t="n">
        <v>55623</v>
      </c>
      <c r="C12080" t="inlineStr">
        <is>
          <t>1431/01/26</t>
        </is>
      </c>
    </row>
    <row r="12081">
      <c r="A12081" t="n">
        <v>14310127</v>
      </c>
      <c r="B12081" t="n">
        <v>55624</v>
      </c>
      <c r="C12081" t="inlineStr">
        <is>
          <t>1431/01/27</t>
        </is>
      </c>
    </row>
    <row r="12082">
      <c r="A12082" t="n">
        <v>14310128</v>
      </c>
      <c r="B12082" t="n">
        <v>55625</v>
      </c>
      <c r="C12082" t="inlineStr">
        <is>
          <t>1431/01/28</t>
        </is>
      </c>
    </row>
    <row r="12083">
      <c r="A12083" t="n">
        <v>14310129</v>
      </c>
      <c r="B12083" t="n">
        <v>55626</v>
      </c>
      <c r="C12083" t="inlineStr">
        <is>
          <t>1431/01/29</t>
        </is>
      </c>
    </row>
    <row r="12084">
      <c r="A12084" t="n">
        <v>14310130</v>
      </c>
      <c r="B12084" t="n">
        <v>55627</v>
      </c>
      <c r="C12084" t="inlineStr">
        <is>
          <t>1431/01/30</t>
        </is>
      </c>
    </row>
    <row r="12085">
      <c r="A12085" t="n">
        <v>14310131</v>
      </c>
      <c r="B12085" t="n">
        <v>55628</v>
      </c>
      <c r="C12085" t="inlineStr">
        <is>
          <t>1431/01/31</t>
        </is>
      </c>
    </row>
    <row r="12086">
      <c r="A12086" t="n">
        <v>14310201</v>
      </c>
      <c r="B12086" t="n">
        <v>55629</v>
      </c>
      <c r="C12086" t="inlineStr">
        <is>
          <t>1431/02/01</t>
        </is>
      </c>
    </row>
    <row r="12087">
      <c r="A12087" t="n">
        <v>14310202</v>
      </c>
      <c r="B12087" t="n">
        <v>55630</v>
      </c>
      <c r="C12087" t="inlineStr">
        <is>
          <t>1431/02/02</t>
        </is>
      </c>
    </row>
    <row r="12088">
      <c r="A12088" t="n">
        <v>14310203</v>
      </c>
      <c r="B12088" t="n">
        <v>55631</v>
      </c>
      <c r="C12088" t="inlineStr">
        <is>
          <t>1431/02/03</t>
        </is>
      </c>
    </row>
    <row r="12089">
      <c r="A12089" t="n">
        <v>14310204</v>
      </c>
      <c r="B12089" t="n">
        <v>55632</v>
      </c>
      <c r="C12089" t="inlineStr">
        <is>
          <t>1431/02/04</t>
        </is>
      </c>
    </row>
    <row r="12090">
      <c r="A12090" t="n">
        <v>14310205</v>
      </c>
      <c r="B12090" t="n">
        <v>55633</v>
      </c>
      <c r="C12090" t="inlineStr">
        <is>
          <t>1431/02/05</t>
        </is>
      </c>
    </row>
    <row r="12091">
      <c r="A12091" t="n">
        <v>14310206</v>
      </c>
      <c r="B12091" t="n">
        <v>55634</v>
      </c>
      <c r="C12091" t="inlineStr">
        <is>
          <t>1431/02/06</t>
        </is>
      </c>
    </row>
    <row r="12092">
      <c r="A12092" t="n">
        <v>14310207</v>
      </c>
      <c r="B12092" t="n">
        <v>55635</v>
      </c>
      <c r="C12092" t="inlineStr">
        <is>
          <t>1431/02/07</t>
        </is>
      </c>
    </row>
    <row r="12093">
      <c r="A12093" t="n">
        <v>14310208</v>
      </c>
      <c r="B12093" t="n">
        <v>55636</v>
      </c>
      <c r="C12093" t="inlineStr">
        <is>
          <t>1431/02/08</t>
        </is>
      </c>
    </row>
    <row r="12094">
      <c r="A12094" t="n">
        <v>14310209</v>
      </c>
      <c r="B12094" t="n">
        <v>55637</v>
      </c>
      <c r="C12094" t="inlineStr">
        <is>
          <t>1431/02/09</t>
        </is>
      </c>
    </row>
    <row r="12095">
      <c r="A12095" t="n">
        <v>14310210</v>
      </c>
      <c r="B12095" t="n">
        <v>55638</v>
      </c>
      <c r="C12095" t="inlineStr">
        <is>
          <t>1431/02/10</t>
        </is>
      </c>
    </row>
    <row r="12096">
      <c r="A12096" t="n">
        <v>14310211</v>
      </c>
      <c r="B12096" t="n">
        <v>55639</v>
      </c>
      <c r="C12096" t="inlineStr">
        <is>
          <t>1431/02/11</t>
        </is>
      </c>
    </row>
    <row r="12097">
      <c r="A12097" t="n">
        <v>14310212</v>
      </c>
      <c r="B12097" t="n">
        <v>55640</v>
      </c>
      <c r="C12097" t="inlineStr">
        <is>
          <t>1431/02/12</t>
        </is>
      </c>
    </row>
    <row r="12098">
      <c r="A12098" t="n">
        <v>14310213</v>
      </c>
      <c r="B12098" t="n">
        <v>55641</v>
      </c>
      <c r="C12098" t="inlineStr">
        <is>
          <t>1431/02/13</t>
        </is>
      </c>
    </row>
    <row r="12099">
      <c r="A12099" t="n">
        <v>14310214</v>
      </c>
      <c r="B12099" t="n">
        <v>55642</v>
      </c>
      <c r="C12099" t="inlineStr">
        <is>
          <t>1431/02/14</t>
        </is>
      </c>
    </row>
    <row r="12100">
      <c r="A12100" t="n">
        <v>14310215</v>
      </c>
      <c r="B12100" t="n">
        <v>55643</v>
      </c>
      <c r="C12100" t="inlineStr">
        <is>
          <t>1431/02/15</t>
        </is>
      </c>
    </row>
    <row r="12101">
      <c r="A12101" t="n">
        <v>14310216</v>
      </c>
      <c r="B12101" t="n">
        <v>55644</v>
      </c>
      <c r="C12101" t="inlineStr">
        <is>
          <t>1431/02/16</t>
        </is>
      </c>
    </row>
    <row r="12102">
      <c r="A12102" t="n">
        <v>14310217</v>
      </c>
      <c r="B12102" t="n">
        <v>55645</v>
      </c>
      <c r="C12102" t="inlineStr">
        <is>
          <t>1431/02/17</t>
        </is>
      </c>
    </row>
    <row r="12103">
      <c r="A12103" t="n">
        <v>14310218</v>
      </c>
      <c r="B12103" t="n">
        <v>55646</v>
      </c>
      <c r="C12103" t="inlineStr">
        <is>
          <t>1431/02/18</t>
        </is>
      </c>
    </row>
    <row r="12104">
      <c r="A12104" t="n">
        <v>14310219</v>
      </c>
      <c r="B12104" t="n">
        <v>55647</v>
      </c>
      <c r="C12104" t="inlineStr">
        <is>
          <t>1431/02/19</t>
        </is>
      </c>
    </row>
    <row r="12105">
      <c r="A12105" t="n">
        <v>14310220</v>
      </c>
      <c r="B12105" t="n">
        <v>55648</v>
      </c>
      <c r="C12105" t="inlineStr">
        <is>
          <t>1431/02/20</t>
        </is>
      </c>
    </row>
    <row r="12106">
      <c r="A12106" t="n">
        <v>14310221</v>
      </c>
      <c r="B12106" t="n">
        <v>55649</v>
      </c>
      <c r="C12106" t="inlineStr">
        <is>
          <t>1431/02/21</t>
        </is>
      </c>
    </row>
    <row r="12107">
      <c r="A12107" t="n">
        <v>14310222</v>
      </c>
      <c r="B12107" t="n">
        <v>55650</v>
      </c>
      <c r="C12107" t="inlineStr">
        <is>
          <t>1431/02/22</t>
        </is>
      </c>
    </row>
    <row r="12108">
      <c r="A12108" t="n">
        <v>14310223</v>
      </c>
      <c r="B12108" t="n">
        <v>55651</v>
      </c>
      <c r="C12108" t="inlineStr">
        <is>
          <t>1431/02/23</t>
        </is>
      </c>
    </row>
    <row r="12109">
      <c r="A12109" t="n">
        <v>14310224</v>
      </c>
      <c r="B12109" t="n">
        <v>55652</v>
      </c>
      <c r="C12109" t="inlineStr">
        <is>
          <t>1431/02/24</t>
        </is>
      </c>
    </row>
    <row r="12110">
      <c r="A12110" t="n">
        <v>14310225</v>
      </c>
      <c r="B12110" t="n">
        <v>55653</v>
      </c>
      <c r="C12110" t="inlineStr">
        <is>
          <t>1431/02/25</t>
        </is>
      </c>
    </row>
    <row r="12111">
      <c r="A12111" t="n">
        <v>14310226</v>
      </c>
      <c r="B12111" t="n">
        <v>55654</v>
      </c>
      <c r="C12111" t="inlineStr">
        <is>
          <t>1431/02/26</t>
        </is>
      </c>
    </row>
    <row r="12112">
      <c r="A12112" t="n">
        <v>14310227</v>
      </c>
      <c r="B12112" t="n">
        <v>55655</v>
      </c>
      <c r="C12112" t="inlineStr">
        <is>
          <t>1431/02/27</t>
        </is>
      </c>
    </row>
    <row r="12113">
      <c r="A12113" t="n">
        <v>14310228</v>
      </c>
      <c r="B12113" t="n">
        <v>55656</v>
      </c>
      <c r="C12113" t="inlineStr">
        <is>
          <t>1431/02/28</t>
        </is>
      </c>
    </row>
    <row r="12114">
      <c r="A12114" t="n">
        <v>14310229</v>
      </c>
      <c r="B12114" t="n">
        <v>55657</v>
      </c>
      <c r="C12114" t="inlineStr">
        <is>
          <t>1431/02/29</t>
        </is>
      </c>
    </row>
    <row r="12115">
      <c r="A12115" t="n">
        <v>14310230</v>
      </c>
      <c r="B12115" t="n">
        <v>55658</v>
      </c>
      <c r="C12115" t="inlineStr">
        <is>
          <t>1431/02/30</t>
        </is>
      </c>
    </row>
    <row r="12116">
      <c r="A12116" t="n">
        <v>14310231</v>
      </c>
      <c r="B12116" t="n">
        <v>55659</v>
      </c>
      <c r="C12116" t="inlineStr">
        <is>
          <t>1431/02/31</t>
        </is>
      </c>
    </row>
    <row r="12117">
      <c r="A12117" t="n">
        <v>14310301</v>
      </c>
      <c r="B12117" t="n">
        <v>55660</v>
      </c>
      <c r="C12117" t="inlineStr">
        <is>
          <t>1431/03/01</t>
        </is>
      </c>
    </row>
    <row r="12118">
      <c r="A12118" t="n">
        <v>14310302</v>
      </c>
      <c r="B12118" t="n">
        <v>55661</v>
      </c>
      <c r="C12118" t="inlineStr">
        <is>
          <t>1431/03/02</t>
        </is>
      </c>
    </row>
    <row r="12119">
      <c r="A12119" t="n">
        <v>14310303</v>
      </c>
      <c r="B12119" t="n">
        <v>55662</v>
      </c>
      <c r="C12119" t="inlineStr">
        <is>
          <t>1431/03/03</t>
        </is>
      </c>
    </row>
    <row r="12120">
      <c r="A12120" t="n">
        <v>14310304</v>
      </c>
      <c r="B12120" t="n">
        <v>55663</v>
      </c>
      <c r="C12120" t="inlineStr">
        <is>
          <t>1431/03/04</t>
        </is>
      </c>
    </row>
    <row r="12121">
      <c r="A12121" t="n">
        <v>14310305</v>
      </c>
      <c r="B12121" t="n">
        <v>55664</v>
      </c>
      <c r="C12121" t="inlineStr">
        <is>
          <t>1431/03/05</t>
        </is>
      </c>
    </row>
    <row r="12122">
      <c r="A12122" t="n">
        <v>14310306</v>
      </c>
      <c r="B12122" t="n">
        <v>55665</v>
      </c>
      <c r="C12122" t="inlineStr">
        <is>
          <t>1431/03/06</t>
        </is>
      </c>
    </row>
    <row r="12123">
      <c r="A12123" t="n">
        <v>14310307</v>
      </c>
      <c r="B12123" t="n">
        <v>55666</v>
      </c>
      <c r="C12123" t="inlineStr">
        <is>
          <t>1431/03/07</t>
        </is>
      </c>
    </row>
    <row r="12124">
      <c r="A12124" t="n">
        <v>14310308</v>
      </c>
      <c r="B12124" t="n">
        <v>55667</v>
      </c>
      <c r="C12124" t="inlineStr">
        <is>
          <t>1431/03/08</t>
        </is>
      </c>
    </row>
    <row r="12125">
      <c r="A12125" t="n">
        <v>14310309</v>
      </c>
      <c r="B12125" t="n">
        <v>55668</v>
      </c>
      <c r="C12125" t="inlineStr">
        <is>
          <t>1431/03/09</t>
        </is>
      </c>
    </row>
    <row r="12126">
      <c r="A12126" t="n">
        <v>14310310</v>
      </c>
      <c r="B12126" t="n">
        <v>55669</v>
      </c>
      <c r="C12126" t="inlineStr">
        <is>
          <t>1431/03/10</t>
        </is>
      </c>
    </row>
    <row r="12127">
      <c r="A12127" t="n">
        <v>14310311</v>
      </c>
      <c r="B12127" t="n">
        <v>55670</v>
      </c>
      <c r="C12127" t="inlineStr">
        <is>
          <t>1431/03/11</t>
        </is>
      </c>
    </row>
    <row r="12128">
      <c r="A12128" t="n">
        <v>14310312</v>
      </c>
      <c r="B12128" t="n">
        <v>55671</v>
      </c>
      <c r="C12128" t="inlineStr">
        <is>
          <t>1431/03/12</t>
        </is>
      </c>
    </row>
    <row r="12129">
      <c r="A12129" t="n">
        <v>14310313</v>
      </c>
      <c r="B12129" t="n">
        <v>55672</v>
      </c>
      <c r="C12129" t="inlineStr">
        <is>
          <t>1431/03/13</t>
        </is>
      </c>
    </row>
    <row r="12130">
      <c r="A12130" t="n">
        <v>14310314</v>
      </c>
      <c r="B12130" t="n">
        <v>55673</v>
      </c>
      <c r="C12130" t="inlineStr">
        <is>
          <t>1431/03/14</t>
        </is>
      </c>
    </row>
    <row r="12131">
      <c r="A12131" t="n">
        <v>14310315</v>
      </c>
      <c r="B12131" t="n">
        <v>55674</v>
      </c>
      <c r="C12131" t="inlineStr">
        <is>
          <t>1431/03/15</t>
        </is>
      </c>
    </row>
    <row r="12132">
      <c r="A12132" t="n">
        <v>14310316</v>
      </c>
      <c r="B12132" t="n">
        <v>55675</v>
      </c>
      <c r="C12132" t="inlineStr">
        <is>
          <t>1431/03/16</t>
        </is>
      </c>
    </row>
    <row r="12133">
      <c r="A12133" t="n">
        <v>14310317</v>
      </c>
      <c r="B12133" t="n">
        <v>55676</v>
      </c>
      <c r="C12133" t="inlineStr">
        <is>
          <t>1431/03/17</t>
        </is>
      </c>
    </row>
    <row r="12134">
      <c r="A12134" t="n">
        <v>14310318</v>
      </c>
      <c r="B12134" t="n">
        <v>55677</v>
      </c>
      <c r="C12134" t="inlineStr">
        <is>
          <t>1431/03/18</t>
        </is>
      </c>
    </row>
    <row r="12135">
      <c r="A12135" t="n">
        <v>14310319</v>
      </c>
      <c r="B12135" t="n">
        <v>55678</v>
      </c>
      <c r="C12135" t="inlineStr">
        <is>
          <t>1431/03/19</t>
        </is>
      </c>
    </row>
    <row r="12136">
      <c r="A12136" t="n">
        <v>14310320</v>
      </c>
      <c r="B12136" t="n">
        <v>55679</v>
      </c>
      <c r="C12136" t="inlineStr">
        <is>
          <t>1431/03/20</t>
        </is>
      </c>
    </row>
    <row r="12137">
      <c r="A12137" t="n">
        <v>14310321</v>
      </c>
      <c r="B12137" t="n">
        <v>55680</v>
      </c>
      <c r="C12137" t="inlineStr">
        <is>
          <t>1431/03/21</t>
        </is>
      </c>
    </row>
    <row r="12138">
      <c r="A12138" t="n">
        <v>14310322</v>
      </c>
      <c r="B12138" t="n">
        <v>55681</v>
      </c>
      <c r="C12138" t="inlineStr">
        <is>
          <t>1431/03/22</t>
        </is>
      </c>
    </row>
    <row r="12139">
      <c r="A12139" t="n">
        <v>14310323</v>
      </c>
      <c r="B12139" t="n">
        <v>55682</v>
      </c>
      <c r="C12139" t="inlineStr">
        <is>
          <t>1431/03/23</t>
        </is>
      </c>
    </row>
    <row r="12140">
      <c r="A12140" t="n">
        <v>14310324</v>
      </c>
      <c r="B12140" t="n">
        <v>55683</v>
      </c>
      <c r="C12140" t="inlineStr">
        <is>
          <t>1431/03/24</t>
        </is>
      </c>
    </row>
    <row r="12141">
      <c r="A12141" t="n">
        <v>14310325</v>
      </c>
      <c r="B12141" t="n">
        <v>55684</v>
      </c>
      <c r="C12141" t="inlineStr">
        <is>
          <t>1431/03/25</t>
        </is>
      </c>
    </row>
    <row r="12142">
      <c r="A12142" t="n">
        <v>14310326</v>
      </c>
      <c r="B12142" t="n">
        <v>55685</v>
      </c>
      <c r="C12142" t="inlineStr">
        <is>
          <t>1431/03/26</t>
        </is>
      </c>
    </row>
    <row r="12143">
      <c r="A12143" t="n">
        <v>14310327</v>
      </c>
      <c r="B12143" t="n">
        <v>55686</v>
      </c>
      <c r="C12143" t="inlineStr">
        <is>
          <t>1431/03/27</t>
        </is>
      </c>
    </row>
    <row r="12144">
      <c r="A12144" t="n">
        <v>14310328</v>
      </c>
      <c r="B12144" t="n">
        <v>55687</v>
      </c>
      <c r="C12144" t="inlineStr">
        <is>
          <t>1431/03/28</t>
        </is>
      </c>
    </row>
    <row r="12145">
      <c r="A12145" t="n">
        <v>14310329</v>
      </c>
      <c r="B12145" t="n">
        <v>55688</v>
      </c>
      <c r="C12145" t="inlineStr">
        <is>
          <t>1431/03/29</t>
        </is>
      </c>
    </row>
    <row r="12146">
      <c r="A12146" t="n">
        <v>14310330</v>
      </c>
      <c r="B12146" t="n">
        <v>55689</v>
      </c>
      <c r="C12146" t="inlineStr">
        <is>
          <t>1431/03/30</t>
        </is>
      </c>
    </row>
    <row r="12147">
      <c r="A12147" t="n">
        <v>14310331</v>
      </c>
      <c r="B12147" t="n">
        <v>55690</v>
      </c>
      <c r="C12147" t="inlineStr">
        <is>
          <t>1431/03/31</t>
        </is>
      </c>
    </row>
    <row r="12148">
      <c r="A12148" t="n">
        <v>14310401</v>
      </c>
      <c r="B12148" t="n">
        <v>55691</v>
      </c>
      <c r="C12148" t="inlineStr">
        <is>
          <t>1431/04/01</t>
        </is>
      </c>
    </row>
    <row r="12149">
      <c r="A12149" t="n">
        <v>14310402</v>
      </c>
      <c r="B12149" t="n">
        <v>55692</v>
      </c>
      <c r="C12149" t="inlineStr">
        <is>
          <t>1431/04/02</t>
        </is>
      </c>
    </row>
    <row r="12150">
      <c r="A12150" t="n">
        <v>14310403</v>
      </c>
      <c r="B12150" t="n">
        <v>55693</v>
      </c>
      <c r="C12150" t="inlineStr">
        <is>
          <t>1431/04/03</t>
        </is>
      </c>
    </row>
    <row r="12151">
      <c r="A12151" t="n">
        <v>14310404</v>
      </c>
      <c r="B12151" t="n">
        <v>55694</v>
      </c>
      <c r="C12151" t="inlineStr">
        <is>
          <t>1431/04/04</t>
        </is>
      </c>
    </row>
    <row r="12152">
      <c r="A12152" t="n">
        <v>14310405</v>
      </c>
      <c r="B12152" t="n">
        <v>55695</v>
      </c>
      <c r="C12152" t="inlineStr">
        <is>
          <t>1431/04/05</t>
        </is>
      </c>
    </row>
    <row r="12153">
      <c r="A12153" t="n">
        <v>14310406</v>
      </c>
      <c r="B12153" t="n">
        <v>55696</v>
      </c>
      <c r="C12153" t="inlineStr">
        <is>
          <t>1431/04/06</t>
        </is>
      </c>
    </row>
    <row r="12154">
      <c r="A12154" t="n">
        <v>14310407</v>
      </c>
      <c r="B12154" t="n">
        <v>55697</v>
      </c>
      <c r="C12154" t="inlineStr">
        <is>
          <t>1431/04/07</t>
        </is>
      </c>
    </row>
    <row r="12155">
      <c r="A12155" t="n">
        <v>14310408</v>
      </c>
      <c r="B12155" t="n">
        <v>55698</v>
      </c>
      <c r="C12155" t="inlineStr">
        <is>
          <t>1431/04/08</t>
        </is>
      </c>
    </row>
    <row r="12156">
      <c r="A12156" t="n">
        <v>14310409</v>
      </c>
      <c r="B12156" t="n">
        <v>55699</v>
      </c>
      <c r="C12156" t="inlineStr">
        <is>
          <t>1431/04/09</t>
        </is>
      </c>
    </row>
    <row r="12157">
      <c r="A12157" t="n">
        <v>14310410</v>
      </c>
      <c r="B12157" t="n">
        <v>55700</v>
      </c>
      <c r="C12157" t="inlineStr">
        <is>
          <t>1431/04/10</t>
        </is>
      </c>
    </row>
    <row r="12158">
      <c r="A12158" t="n">
        <v>14310411</v>
      </c>
      <c r="B12158" t="n">
        <v>55701</v>
      </c>
      <c r="C12158" t="inlineStr">
        <is>
          <t>1431/04/11</t>
        </is>
      </c>
    </row>
    <row r="12159">
      <c r="A12159" t="n">
        <v>14310412</v>
      </c>
      <c r="B12159" t="n">
        <v>55702</v>
      </c>
      <c r="C12159" t="inlineStr">
        <is>
          <t>1431/04/12</t>
        </is>
      </c>
    </row>
    <row r="12160">
      <c r="A12160" t="n">
        <v>14310413</v>
      </c>
      <c r="B12160" t="n">
        <v>55703</v>
      </c>
      <c r="C12160" t="inlineStr">
        <is>
          <t>1431/04/13</t>
        </is>
      </c>
    </row>
    <row r="12161">
      <c r="A12161" t="n">
        <v>14310414</v>
      </c>
      <c r="B12161" t="n">
        <v>55704</v>
      </c>
      <c r="C12161" t="inlineStr">
        <is>
          <t>1431/04/14</t>
        </is>
      </c>
    </row>
    <row r="12162">
      <c r="A12162" t="n">
        <v>14310415</v>
      </c>
      <c r="B12162" t="n">
        <v>55705</v>
      </c>
      <c r="C12162" t="inlineStr">
        <is>
          <t>1431/04/15</t>
        </is>
      </c>
    </row>
    <row r="12163">
      <c r="A12163" t="n">
        <v>14310416</v>
      </c>
      <c r="B12163" t="n">
        <v>55706</v>
      </c>
      <c r="C12163" t="inlineStr">
        <is>
          <t>1431/04/16</t>
        </is>
      </c>
    </row>
    <row r="12164">
      <c r="A12164" t="n">
        <v>14310417</v>
      </c>
      <c r="B12164" t="n">
        <v>55707</v>
      </c>
      <c r="C12164" t="inlineStr">
        <is>
          <t>1431/04/17</t>
        </is>
      </c>
    </row>
    <row r="12165">
      <c r="A12165" t="n">
        <v>14310418</v>
      </c>
      <c r="B12165" t="n">
        <v>55708</v>
      </c>
      <c r="C12165" t="inlineStr">
        <is>
          <t>1431/04/18</t>
        </is>
      </c>
    </row>
    <row r="12166">
      <c r="A12166" t="n">
        <v>14310419</v>
      </c>
      <c r="B12166" t="n">
        <v>55709</v>
      </c>
      <c r="C12166" t="inlineStr">
        <is>
          <t>1431/04/19</t>
        </is>
      </c>
    </row>
    <row r="12167">
      <c r="A12167" t="n">
        <v>14310420</v>
      </c>
      <c r="B12167" t="n">
        <v>55710</v>
      </c>
      <c r="C12167" t="inlineStr">
        <is>
          <t>1431/04/20</t>
        </is>
      </c>
    </row>
    <row r="12168">
      <c r="A12168" t="n">
        <v>14310421</v>
      </c>
      <c r="B12168" t="n">
        <v>55711</v>
      </c>
      <c r="C12168" t="inlineStr">
        <is>
          <t>1431/04/21</t>
        </is>
      </c>
    </row>
    <row r="12169">
      <c r="A12169" t="n">
        <v>14310422</v>
      </c>
      <c r="B12169" t="n">
        <v>55712</v>
      </c>
      <c r="C12169" t="inlineStr">
        <is>
          <t>1431/04/22</t>
        </is>
      </c>
    </row>
    <row r="12170">
      <c r="A12170" t="n">
        <v>14310423</v>
      </c>
      <c r="B12170" t="n">
        <v>55713</v>
      </c>
      <c r="C12170" t="inlineStr">
        <is>
          <t>1431/04/23</t>
        </is>
      </c>
    </row>
    <row r="12171">
      <c r="A12171" t="n">
        <v>14310424</v>
      </c>
      <c r="B12171" t="n">
        <v>55714</v>
      </c>
      <c r="C12171" t="inlineStr">
        <is>
          <t>1431/04/24</t>
        </is>
      </c>
    </row>
    <row r="12172">
      <c r="A12172" t="n">
        <v>14310425</v>
      </c>
      <c r="B12172" t="n">
        <v>55715</v>
      </c>
      <c r="C12172" t="inlineStr">
        <is>
          <t>1431/04/25</t>
        </is>
      </c>
    </row>
    <row r="12173">
      <c r="A12173" t="n">
        <v>14310426</v>
      </c>
      <c r="B12173" t="n">
        <v>55716</v>
      </c>
      <c r="C12173" t="inlineStr">
        <is>
          <t>1431/04/26</t>
        </is>
      </c>
    </row>
    <row r="12174">
      <c r="A12174" t="n">
        <v>14310427</v>
      </c>
      <c r="B12174" t="n">
        <v>55717</v>
      </c>
      <c r="C12174" t="inlineStr">
        <is>
          <t>1431/04/27</t>
        </is>
      </c>
    </row>
    <row r="12175">
      <c r="A12175" t="n">
        <v>14310428</v>
      </c>
      <c r="B12175" t="n">
        <v>55718</v>
      </c>
      <c r="C12175" t="inlineStr">
        <is>
          <t>1431/04/28</t>
        </is>
      </c>
    </row>
    <row r="12176">
      <c r="A12176" t="n">
        <v>14310429</v>
      </c>
      <c r="B12176" t="n">
        <v>55719</v>
      </c>
      <c r="C12176" t="inlineStr">
        <is>
          <t>1431/04/29</t>
        </is>
      </c>
    </row>
    <row r="12177">
      <c r="A12177" t="n">
        <v>14310430</v>
      </c>
      <c r="B12177" t="n">
        <v>55720</v>
      </c>
      <c r="C12177" t="inlineStr">
        <is>
          <t>1431/04/30</t>
        </is>
      </c>
    </row>
    <row r="12178">
      <c r="A12178" t="n">
        <v>14310431</v>
      </c>
      <c r="B12178" t="n">
        <v>55721</v>
      </c>
      <c r="C12178" t="inlineStr">
        <is>
          <t>1431/04/31</t>
        </is>
      </c>
    </row>
    <row r="12179">
      <c r="A12179" t="n">
        <v>14310501</v>
      </c>
      <c r="B12179" t="n">
        <v>55722</v>
      </c>
      <c r="C12179" t="inlineStr">
        <is>
          <t>1431/05/01</t>
        </is>
      </c>
    </row>
    <row r="12180">
      <c r="A12180" t="n">
        <v>14310502</v>
      </c>
      <c r="B12180" t="n">
        <v>55723</v>
      </c>
      <c r="C12180" t="inlineStr">
        <is>
          <t>1431/05/02</t>
        </is>
      </c>
    </row>
    <row r="12181">
      <c r="A12181" t="n">
        <v>14310503</v>
      </c>
      <c r="B12181" t="n">
        <v>55724</v>
      </c>
      <c r="C12181" t="inlineStr">
        <is>
          <t>1431/05/03</t>
        </is>
      </c>
    </row>
    <row r="12182">
      <c r="A12182" t="n">
        <v>14310504</v>
      </c>
      <c r="B12182" t="n">
        <v>55725</v>
      </c>
      <c r="C12182" t="inlineStr">
        <is>
          <t>1431/05/04</t>
        </is>
      </c>
    </row>
    <row r="12183">
      <c r="A12183" t="n">
        <v>14310505</v>
      </c>
      <c r="B12183" t="n">
        <v>55726</v>
      </c>
      <c r="C12183" t="inlineStr">
        <is>
          <t>1431/05/05</t>
        </is>
      </c>
    </row>
    <row r="12184">
      <c r="A12184" t="n">
        <v>14310506</v>
      </c>
      <c r="B12184" t="n">
        <v>55727</v>
      </c>
      <c r="C12184" t="inlineStr">
        <is>
          <t>1431/05/06</t>
        </is>
      </c>
    </row>
    <row r="12185">
      <c r="A12185" t="n">
        <v>14310507</v>
      </c>
      <c r="B12185" t="n">
        <v>55728</v>
      </c>
      <c r="C12185" t="inlineStr">
        <is>
          <t>1431/05/07</t>
        </is>
      </c>
    </row>
    <row r="12186">
      <c r="A12186" t="n">
        <v>14310508</v>
      </c>
      <c r="B12186" t="n">
        <v>55729</v>
      </c>
      <c r="C12186" t="inlineStr">
        <is>
          <t>1431/05/08</t>
        </is>
      </c>
    </row>
    <row r="12187">
      <c r="A12187" t="n">
        <v>14310509</v>
      </c>
      <c r="B12187" t="n">
        <v>55730</v>
      </c>
      <c r="C12187" t="inlineStr">
        <is>
          <t>1431/05/09</t>
        </is>
      </c>
    </row>
    <row r="12188">
      <c r="A12188" t="n">
        <v>14310510</v>
      </c>
      <c r="B12188" t="n">
        <v>55731</v>
      </c>
      <c r="C12188" t="inlineStr">
        <is>
          <t>1431/05/10</t>
        </is>
      </c>
    </row>
    <row r="12189">
      <c r="A12189" t="n">
        <v>14310511</v>
      </c>
      <c r="B12189" t="n">
        <v>55732</v>
      </c>
      <c r="C12189" t="inlineStr">
        <is>
          <t>1431/05/11</t>
        </is>
      </c>
    </row>
    <row r="12190">
      <c r="A12190" t="n">
        <v>14310512</v>
      </c>
      <c r="B12190" t="n">
        <v>55733</v>
      </c>
      <c r="C12190" t="inlineStr">
        <is>
          <t>1431/05/12</t>
        </is>
      </c>
    </row>
    <row r="12191">
      <c r="A12191" t="n">
        <v>14310513</v>
      </c>
      <c r="B12191" t="n">
        <v>55734</v>
      </c>
      <c r="C12191" t="inlineStr">
        <is>
          <t>1431/05/13</t>
        </is>
      </c>
    </row>
    <row r="12192">
      <c r="A12192" t="n">
        <v>14310514</v>
      </c>
      <c r="B12192" t="n">
        <v>55735</v>
      </c>
      <c r="C12192" t="inlineStr">
        <is>
          <t>1431/05/14</t>
        </is>
      </c>
    </row>
    <row r="12193">
      <c r="A12193" t="n">
        <v>14310515</v>
      </c>
      <c r="B12193" t="n">
        <v>55736</v>
      </c>
      <c r="C12193" t="inlineStr">
        <is>
          <t>1431/05/15</t>
        </is>
      </c>
    </row>
    <row r="12194">
      <c r="A12194" t="n">
        <v>14310516</v>
      </c>
      <c r="B12194" t="n">
        <v>55737</v>
      </c>
      <c r="C12194" t="inlineStr">
        <is>
          <t>1431/05/16</t>
        </is>
      </c>
    </row>
    <row r="12195">
      <c r="A12195" t="n">
        <v>14310517</v>
      </c>
      <c r="B12195" t="n">
        <v>55738</v>
      </c>
      <c r="C12195" t="inlineStr">
        <is>
          <t>1431/05/17</t>
        </is>
      </c>
    </row>
    <row r="12196">
      <c r="A12196" t="n">
        <v>14310518</v>
      </c>
      <c r="B12196" t="n">
        <v>55739</v>
      </c>
      <c r="C12196" t="inlineStr">
        <is>
          <t>1431/05/18</t>
        </is>
      </c>
    </row>
    <row r="12197">
      <c r="A12197" t="n">
        <v>14310519</v>
      </c>
      <c r="B12197" t="n">
        <v>55740</v>
      </c>
      <c r="C12197" t="inlineStr">
        <is>
          <t>1431/05/19</t>
        </is>
      </c>
    </row>
    <row r="12198">
      <c r="A12198" t="n">
        <v>14310520</v>
      </c>
      <c r="B12198" t="n">
        <v>55741</v>
      </c>
      <c r="C12198" t="inlineStr">
        <is>
          <t>1431/05/20</t>
        </is>
      </c>
    </row>
    <row r="12199">
      <c r="A12199" t="n">
        <v>14310521</v>
      </c>
      <c r="B12199" t="n">
        <v>55742</v>
      </c>
      <c r="C12199" t="inlineStr">
        <is>
          <t>1431/05/21</t>
        </is>
      </c>
    </row>
    <row r="12200">
      <c r="A12200" t="n">
        <v>14310522</v>
      </c>
      <c r="B12200" t="n">
        <v>55743</v>
      </c>
      <c r="C12200" t="inlineStr">
        <is>
          <t>1431/05/22</t>
        </is>
      </c>
    </row>
    <row r="12201">
      <c r="A12201" t="n">
        <v>14310523</v>
      </c>
      <c r="B12201" t="n">
        <v>55744</v>
      </c>
      <c r="C12201" t="inlineStr">
        <is>
          <t>1431/05/23</t>
        </is>
      </c>
    </row>
    <row r="12202">
      <c r="A12202" t="n">
        <v>14310524</v>
      </c>
      <c r="B12202" t="n">
        <v>55745</v>
      </c>
      <c r="C12202" t="inlineStr">
        <is>
          <t>1431/05/24</t>
        </is>
      </c>
    </row>
    <row r="12203">
      <c r="A12203" t="n">
        <v>14310525</v>
      </c>
      <c r="B12203" t="n">
        <v>55746</v>
      </c>
      <c r="C12203" t="inlineStr">
        <is>
          <t>1431/05/25</t>
        </is>
      </c>
    </row>
    <row r="12204">
      <c r="A12204" t="n">
        <v>14310526</v>
      </c>
      <c r="B12204" t="n">
        <v>55747</v>
      </c>
      <c r="C12204" t="inlineStr">
        <is>
          <t>1431/05/26</t>
        </is>
      </c>
    </row>
    <row r="12205">
      <c r="A12205" t="n">
        <v>14310527</v>
      </c>
      <c r="B12205" t="n">
        <v>55748</v>
      </c>
      <c r="C12205" t="inlineStr">
        <is>
          <t>1431/05/27</t>
        </is>
      </c>
    </row>
    <row r="12206">
      <c r="A12206" t="n">
        <v>14310528</v>
      </c>
      <c r="B12206" t="n">
        <v>55749</v>
      </c>
      <c r="C12206" t="inlineStr">
        <is>
          <t>1431/05/28</t>
        </is>
      </c>
    </row>
    <row r="12207">
      <c r="A12207" t="n">
        <v>14310529</v>
      </c>
      <c r="B12207" t="n">
        <v>55750</v>
      </c>
      <c r="C12207" t="inlineStr">
        <is>
          <t>1431/05/29</t>
        </is>
      </c>
    </row>
    <row r="12208">
      <c r="A12208" t="n">
        <v>14310530</v>
      </c>
      <c r="B12208" t="n">
        <v>55751</v>
      </c>
      <c r="C12208" t="inlineStr">
        <is>
          <t>1431/05/30</t>
        </is>
      </c>
    </row>
    <row r="12209">
      <c r="A12209" t="n">
        <v>14310531</v>
      </c>
      <c r="B12209" t="n">
        <v>55752</v>
      </c>
      <c r="C12209" t="inlineStr">
        <is>
          <t>1431/05/31</t>
        </is>
      </c>
    </row>
    <row r="12210">
      <c r="A12210" t="n">
        <v>14310601</v>
      </c>
      <c r="B12210" t="n">
        <v>55753</v>
      </c>
      <c r="C12210" t="inlineStr">
        <is>
          <t>1431/06/01</t>
        </is>
      </c>
    </row>
    <row r="12211">
      <c r="A12211" t="n">
        <v>14310602</v>
      </c>
      <c r="B12211" t="n">
        <v>55754</v>
      </c>
      <c r="C12211" t="inlineStr">
        <is>
          <t>1431/06/02</t>
        </is>
      </c>
    </row>
    <row r="12212">
      <c r="A12212" t="n">
        <v>14310603</v>
      </c>
      <c r="B12212" t="n">
        <v>55755</v>
      </c>
      <c r="C12212" t="inlineStr">
        <is>
          <t>1431/06/03</t>
        </is>
      </c>
    </row>
    <row r="12213">
      <c r="A12213" t="n">
        <v>14310604</v>
      </c>
      <c r="B12213" t="n">
        <v>55756</v>
      </c>
      <c r="C12213" t="inlineStr">
        <is>
          <t>1431/06/04</t>
        </is>
      </c>
    </row>
    <row r="12214">
      <c r="A12214" t="n">
        <v>14310605</v>
      </c>
      <c r="B12214" t="n">
        <v>55757</v>
      </c>
      <c r="C12214" t="inlineStr">
        <is>
          <t>1431/06/05</t>
        </is>
      </c>
    </row>
    <row r="12215">
      <c r="A12215" t="n">
        <v>14310606</v>
      </c>
      <c r="B12215" t="n">
        <v>55758</v>
      </c>
      <c r="C12215" t="inlineStr">
        <is>
          <t>1431/06/06</t>
        </is>
      </c>
    </row>
    <row r="12216">
      <c r="A12216" t="n">
        <v>14310607</v>
      </c>
      <c r="B12216" t="n">
        <v>55759</v>
      </c>
      <c r="C12216" t="inlineStr">
        <is>
          <t>1431/06/07</t>
        </is>
      </c>
    </row>
    <row r="12217">
      <c r="A12217" t="n">
        <v>14310608</v>
      </c>
      <c r="B12217" t="n">
        <v>55760</v>
      </c>
      <c r="C12217" t="inlineStr">
        <is>
          <t>1431/06/08</t>
        </is>
      </c>
    </row>
    <row r="12218">
      <c r="A12218" t="n">
        <v>14310609</v>
      </c>
      <c r="B12218" t="n">
        <v>55761</v>
      </c>
      <c r="C12218" t="inlineStr">
        <is>
          <t>1431/06/09</t>
        </is>
      </c>
    </row>
    <row r="12219">
      <c r="A12219" t="n">
        <v>14310610</v>
      </c>
      <c r="B12219" t="n">
        <v>55762</v>
      </c>
      <c r="C12219" t="inlineStr">
        <is>
          <t>1431/06/10</t>
        </is>
      </c>
    </row>
    <row r="12220">
      <c r="A12220" t="n">
        <v>14310611</v>
      </c>
      <c r="B12220" t="n">
        <v>55763</v>
      </c>
      <c r="C12220" t="inlineStr">
        <is>
          <t>1431/06/11</t>
        </is>
      </c>
    </row>
    <row r="12221">
      <c r="A12221" t="n">
        <v>14310612</v>
      </c>
      <c r="B12221" t="n">
        <v>55764</v>
      </c>
      <c r="C12221" t="inlineStr">
        <is>
          <t>1431/06/12</t>
        </is>
      </c>
    </row>
    <row r="12222">
      <c r="A12222" t="n">
        <v>14310613</v>
      </c>
      <c r="B12222" t="n">
        <v>55765</v>
      </c>
      <c r="C12222" t="inlineStr">
        <is>
          <t>1431/06/13</t>
        </is>
      </c>
    </row>
    <row r="12223">
      <c r="A12223" t="n">
        <v>14310614</v>
      </c>
      <c r="B12223" t="n">
        <v>55766</v>
      </c>
      <c r="C12223" t="inlineStr">
        <is>
          <t>1431/06/14</t>
        </is>
      </c>
    </row>
    <row r="12224">
      <c r="A12224" t="n">
        <v>14310615</v>
      </c>
      <c r="B12224" t="n">
        <v>55767</v>
      </c>
      <c r="C12224" t="inlineStr">
        <is>
          <t>1431/06/15</t>
        </is>
      </c>
    </row>
    <row r="12225">
      <c r="A12225" t="n">
        <v>14310616</v>
      </c>
      <c r="B12225" t="n">
        <v>55768</v>
      </c>
      <c r="C12225" t="inlineStr">
        <is>
          <t>1431/06/16</t>
        </is>
      </c>
    </row>
    <row r="12226">
      <c r="A12226" t="n">
        <v>14310617</v>
      </c>
      <c r="B12226" t="n">
        <v>55769</v>
      </c>
      <c r="C12226" t="inlineStr">
        <is>
          <t>1431/06/17</t>
        </is>
      </c>
    </row>
    <row r="12227">
      <c r="A12227" t="n">
        <v>14310618</v>
      </c>
      <c r="B12227" t="n">
        <v>55770</v>
      </c>
      <c r="C12227" t="inlineStr">
        <is>
          <t>1431/06/18</t>
        </is>
      </c>
    </row>
    <row r="12228">
      <c r="A12228" t="n">
        <v>14310619</v>
      </c>
      <c r="B12228" t="n">
        <v>55771</v>
      </c>
      <c r="C12228" t="inlineStr">
        <is>
          <t>1431/06/19</t>
        </is>
      </c>
    </row>
    <row r="12229">
      <c r="A12229" t="n">
        <v>14310620</v>
      </c>
      <c r="B12229" t="n">
        <v>55772</v>
      </c>
      <c r="C12229" t="inlineStr">
        <is>
          <t>1431/06/20</t>
        </is>
      </c>
    </row>
    <row r="12230">
      <c r="A12230" t="n">
        <v>14310621</v>
      </c>
      <c r="B12230" t="n">
        <v>55773</v>
      </c>
      <c r="C12230" t="inlineStr">
        <is>
          <t>1431/06/21</t>
        </is>
      </c>
    </row>
    <row r="12231">
      <c r="A12231" t="n">
        <v>14310622</v>
      </c>
      <c r="B12231" t="n">
        <v>55774</v>
      </c>
      <c r="C12231" t="inlineStr">
        <is>
          <t>1431/06/22</t>
        </is>
      </c>
    </row>
    <row r="12232">
      <c r="A12232" t="n">
        <v>14310623</v>
      </c>
      <c r="B12232" t="n">
        <v>55775</v>
      </c>
      <c r="C12232" t="inlineStr">
        <is>
          <t>1431/06/23</t>
        </is>
      </c>
    </row>
    <row r="12233">
      <c r="A12233" t="n">
        <v>14310624</v>
      </c>
      <c r="B12233" t="n">
        <v>55776</v>
      </c>
      <c r="C12233" t="inlineStr">
        <is>
          <t>1431/06/24</t>
        </is>
      </c>
    </row>
    <row r="12234">
      <c r="A12234" t="n">
        <v>14310625</v>
      </c>
      <c r="B12234" t="n">
        <v>55777</v>
      </c>
      <c r="C12234" t="inlineStr">
        <is>
          <t>1431/06/25</t>
        </is>
      </c>
    </row>
    <row r="12235">
      <c r="A12235" t="n">
        <v>14310626</v>
      </c>
      <c r="B12235" t="n">
        <v>55778</v>
      </c>
      <c r="C12235" t="inlineStr">
        <is>
          <t>1431/06/26</t>
        </is>
      </c>
    </row>
    <row r="12236">
      <c r="A12236" t="n">
        <v>14310627</v>
      </c>
      <c r="B12236" t="n">
        <v>55779</v>
      </c>
      <c r="C12236" t="inlineStr">
        <is>
          <t>1431/06/27</t>
        </is>
      </c>
    </row>
    <row r="12237">
      <c r="A12237" t="n">
        <v>14310628</v>
      </c>
      <c r="B12237" t="n">
        <v>55780</v>
      </c>
      <c r="C12237" t="inlineStr">
        <is>
          <t>1431/06/28</t>
        </is>
      </c>
    </row>
    <row r="12238">
      <c r="A12238" t="n">
        <v>14310629</v>
      </c>
      <c r="B12238" t="n">
        <v>55781</v>
      </c>
      <c r="C12238" t="inlineStr">
        <is>
          <t>1431/06/29</t>
        </is>
      </c>
    </row>
    <row r="12239">
      <c r="A12239" t="n">
        <v>14310630</v>
      </c>
      <c r="B12239" t="n">
        <v>55782</v>
      </c>
      <c r="C12239" t="inlineStr">
        <is>
          <t>1431/06/30</t>
        </is>
      </c>
    </row>
    <row r="12240">
      <c r="A12240" t="n">
        <v>14310631</v>
      </c>
      <c r="B12240" t="n">
        <v>55783</v>
      </c>
      <c r="C12240" t="inlineStr">
        <is>
          <t>1431/06/31</t>
        </is>
      </c>
    </row>
    <row r="12241">
      <c r="A12241" t="n">
        <v>14310701</v>
      </c>
      <c r="B12241" t="n">
        <v>55784</v>
      </c>
      <c r="C12241" t="inlineStr">
        <is>
          <t>1431/07/01</t>
        </is>
      </c>
    </row>
    <row r="12242">
      <c r="A12242" t="n">
        <v>14310702</v>
      </c>
      <c r="B12242" t="n">
        <v>55785</v>
      </c>
      <c r="C12242" t="inlineStr">
        <is>
          <t>1431/07/02</t>
        </is>
      </c>
    </row>
    <row r="12243">
      <c r="A12243" t="n">
        <v>14310703</v>
      </c>
      <c r="B12243" t="n">
        <v>55786</v>
      </c>
      <c r="C12243" t="inlineStr">
        <is>
          <t>1431/07/03</t>
        </is>
      </c>
    </row>
    <row r="12244">
      <c r="A12244" t="n">
        <v>14310704</v>
      </c>
      <c r="B12244" t="n">
        <v>55787</v>
      </c>
      <c r="C12244" t="inlineStr">
        <is>
          <t>1431/07/04</t>
        </is>
      </c>
    </row>
    <row r="12245">
      <c r="A12245" t="n">
        <v>14310705</v>
      </c>
      <c r="B12245" t="n">
        <v>55788</v>
      </c>
      <c r="C12245" t="inlineStr">
        <is>
          <t>1431/07/05</t>
        </is>
      </c>
    </row>
    <row r="12246">
      <c r="A12246" t="n">
        <v>14310706</v>
      </c>
      <c r="B12246" t="n">
        <v>55789</v>
      </c>
      <c r="C12246" t="inlineStr">
        <is>
          <t>1431/07/06</t>
        </is>
      </c>
    </row>
    <row r="12247">
      <c r="A12247" t="n">
        <v>14310707</v>
      </c>
      <c r="B12247" t="n">
        <v>55790</v>
      </c>
      <c r="C12247" t="inlineStr">
        <is>
          <t>1431/07/07</t>
        </is>
      </c>
    </row>
    <row r="12248">
      <c r="A12248" t="n">
        <v>14310708</v>
      </c>
      <c r="B12248" t="n">
        <v>55791</v>
      </c>
      <c r="C12248" t="inlineStr">
        <is>
          <t>1431/07/08</t>
        </is>
      </c>
    </row>
    <row r="12249">
      <c r="A12249" t="n">
        <v>14310709</v>
      </c>
      <c r="B12249" t="n">
        <v>55792</v>
      </c>
      <c r="C12249" t="inlineStr">
        <is>
          <t>1431/07/09</t>
        </is>
      </c>
    </row>
    <row r="12250">
      <c r="A12250" t="n">
        <v>14310710</v>
      </c>
      <c r="B12250" t="n">
        <v>55793</v>
      </c>
      <c r="C12250" t="inlineStr">
        <is>
          <t>1431/07/10</t>
        </is>
      </c>
    </row>
    <row r="12251">
      <c r="A12251" t="n">
        <v>14310711</v>
      </c>
      <c r="B12251" t="n">
        <v>55794</v>
      </c>
      <c r="C12251" t="inlineStr">
        <is>
          <t>1431/07/11</t>
        </is>
      </c>
    </row>
    <row r="12252">
      <c r="A12252" t="n">
        <v>14310712</v>
      </c>
      <c r="B12252" t="n">
        <v>55795</v>
      </c>
      <c r="C12252" t="inlineStr">
        <is>
          <t>1431/07/12</t>
        </is>
      </c>
    </row>
    <row r="12253">
      <c r="A12253" t="n">
        <v>14310713</v>
      </c>
      <c r="B12253" t="n">
        <v>55796</v>
      </c>
      <c r="C12253" t="inlineStr">
        <is>
          <t>1431/07/13</t>
        </is>
      </c>
    </row>
    <row r="12254">
      <c r="A12254" t="n">
        <v>14310714</v>
      </c>
      <c r="B12254" t="n">
        <v>55797</v>
      </c>
      <c r="C12254" t="inlineStr">
        <is>
          <t>1431/07/14</t>
        </is>
      </c>
    </row>
    <row r="12255">
      <c r="A12255" t="n">
        <v>14310715</v>
      </c>
      <c r="B12255" t="n">
        <v>55798</v>
      </c>
      <c r="C12255" t="inlineStr">
        <is>
          <t>1431/07/15</t>
        </is>
      </c>
    </row>
    <row r="12256">
      <c r="A12256" t="n">
        <v>14310716</v>
      </c>
      <c r="B12256" t="n">
        <v>55799</v>
      </c>
      <c r="C12256" t="inlineStr">
        <is>
          <t>1431/07/16</t>
        </is>
      </c>
    </row>
    <row r="12257">
      <c r="A12257" t="n">
        <v>14310717</v>
      </c>
      <c r="B12257" t="n">
        <v>55800</v>
      </c>
      <c r="C12257" t="inlineStr">
        <is>
          <t>1431/07/17</t>
        </is>
      </c>
    </row>
    <row r="12258">
      <c r="A12258" t="n">
        <v>14310718</v>
      </c>
      <c r="B12258" t="n">
        <v>55801</v>
      </c>
      <c r="C12258" t="inlineStr">
        <is>
          <t>1431/07/18</t>
        </is>
      </c>
    </row>
    <row r="12259">
      <c r="A12259" t="n">
        <v>14310719</v>
      </c>
      <c r="B12259" t="n">
        <v>55802</v>
      </c>
      <c r="C12259" t="inlineStr">
        <is>
          <t>1431/07/19</t>
        </is>
      </c>
    </row>
    <row r="12260">
      <c r="A12260" t="n">
        <v>14310720</v>
      </c>
      <c r="B12260" t="n">
        <v>55803</v>
      </c>
      <c r="C12260" t="inlineStr">
        <is>
          <t>1431/07/20</t>
        </is>
      </c>
    </row>
    <row r="12261">
      <c r="A12261" t="n">
        <v>14310721</v>
      </c>
      <c r="B12261" t="n">
        <v>55804</v>
      </c>
      <c r="C12261" t="inlineStr">
        <is>
          <t>1431/07/21</t>
        </is>
      </c>
    </row>
    <row r="12262">
      <c r="A12262" t="n">
        <v>14310722</v>
      </c>
      <c r="B12262" t="n">
        <v>55805</v>
      </c>
      <c r="C12262" t="inlineStr">
        <is>
          <t>1431/07/22</t>
        </is>
      </c>
    </row>
    <row r="12263">
      <c r="A12263" t="n">
        <v>14310723</v>
      </c>
      <c r="B12263" t="n">
        <v>55806</v>
      </c>
      <c r="C12263" t="inlineStr">
        <is>
          <t>1431/07/23</t>
        </is>
      </c>
    </row>
    <row r="12264">
      <c r="A12264" t="n">
        <v>14310724</v>
      </c>
      <c r="B12264" t="n">
        <v>55807</v>
      </c>
      <c r="C12264" t="inlineStr">
        <is>
          <t>1431/07/24</t>
        </is>
      </c>
    </row>
    <row r="12265">
      <c r="A12265" t="n">
        <v>14310725</v>
      </c>
      <c r="B12265" t="n">
        <v>55808</v>
      </c>
      <c r="C12265" t="inlineStr">
        <is>
          <t>1431/07/25</t>
        </is>
      </c>
    </row>
    <row r="12266">
      <c r="A12266" t="n">
        <v>14310726</v>
      </c>
      <c r="B12266" t="n">
        <v>55809</v>
      </c>
      <c r="C12266" t="inlineStr">
        <is>
          <t>1431/07/26</t>
        </is>
      </c>
    </row>
    <row r="12267">
      <c r="A12267" t="n">
        <v>14310727</v>
      </c>
      <c r="B12267" t="n">
        <v>55810</v>
      </c>
      <c r="C12267" t="inlineStr">
        <is>
          <t>1431/07/27</t>
        </is>
      </c>
    </row>
    <row r="12268">
      <c r="A12268" t="n">
        <v>14310728</v>
      </c>
      <c r="B12268" t="n">
        <v>55811</v>
      </c>
      <c r="C12268" t="inlineStr">
        <is>
          <t>1431/07/28</t>
        </is>
      </c>
    </row>
    <row r="12269">
      <c r="A12269" t="n">
        <v>14310729</v>
      </c>
      <c r="B12269" t="n">
        <v>55812</v>
      </c>
      <c r="C12269" t="inlineStr">
        <is>
          <t>1431/07/29</t>
        </is>
      </c>
    </row>
    <row r="12270">
      <c r="A12270" t="n">
        <v>14310730</v>
      </c>
      <c r="B12270" t="n">
        <v>55813</v>
      </c>
      <c r="C12270" t="inlineStr">
        <is>
          <t>1431/07/30</t>
        </is>
      </c>
    </row>
    <row r="12271">
      <c r="A12271" t="n">
        <v>14310801</v>
      </c>
      <c r="B12271" t="n">
        <v>55814</v>
      </c>
      <c r="C12271" t="inlineStr">
        <is>
          <t>1431/08/01</t>
        </is>
      </c>
    </row>
    <row r="12272">
      <c r="A12272" t="n">
        <v>14310802</v>
      </c>
      <c r="B12272" t="n">
        <v>55815</v>
      </c>
      <c r="C12272" t="inlineStr">
        <is>
          <t>1431/08/02</t>
        </is>
      </c>
    </row>
    <row r="12273">
      <c r="A12273" t="n">
        <v>14310803</v>
      </c>
      <c r="B12273" t="n">
        <v>55816</v>
      </c>
      <c r="C12273" t="inlineStr">
        <is>
          <t>1431/08/03</t>
        </is>
      </c>
    </row>
    <row r="12274">
      <c r="A12274" t="n">
        <v>14310804</v>
      </c>
      <c r="B12274" t="n">
        <v>55817</v>
      </c>
      <c r="C12274" t="inlineStr">
        <is>
          <t>1431/08/04</t>
        </is>
      </c>
    </row>
    <row r="12275">
      <c r="A12275" t="n">
        <v>14310805</v>
      </c>
      <c r="B12275" t="n">
        <v>55818</v>
      </c>
      <c r="C12275" t="inlineStr">
        <is>
          <t>1431/08/05</t>
        </is>
      </c>
    </row>
    <row r="12276">
      <c r="A12276" t="n">
        <v>14310806</v>
      </c>
      <c r="B12276" t="n">
        <v>55819</v>
      </c>
      <c r="C12276" t="inlineStr">
        <is>
          <t>1431/08/06</t>
        </is>
      </c>
    </row>
    <row r="12277">
      <c r="A12277" t="n">
        <v>14310807</v>
      </c>
      <c r="B12277" t="n">
        <v>55820</v>
      </c>
      <c r="C12277" t="inlineStr">
        <is>
          <t>1431/08/07</t>
        </is>
      </c>
    </row>
    <row r="12278">
      <c r="A12278" t="n">
        <v>14310808</v>
      </c>
      <c r="B12278" t="n">
        <v>55821</v>
      </c>
      <c r="C12278" t="inlineStr">
        <is>
          <t>1431/08/08</t>
        </is>
      </c>
    </row>
    <row r="12279">
      <c r="A12279" t="n">
        <v>14310809</v>
      </c>
      <c r="B12279" t="n">
        <v>55822</v>
      </c>
      <c r="C12279" t="inlineStr">
        <is>
          <t>1431/08/09</t>
        </is>
      </c>
    </row>
    <row r="12280">
      <c r="A12280" t="n">
        <v>14310810</v>
      </c>
      <c r="B12280" t="n">
        <v>55823</v>
      </c>
      <c r="C12280" t="inlineStr">
        <is>
          <t>1431/08/10</t>
        </is>
      </c>
    </row>
    <row r="12281">
      <c r="A12281" t="n">
        <v>14310811</v>
      </c>
      <c r="B12281" t="n">
        <v>55824</v>
      </c>
      <c r="C12281" t="inlineStr">
        <is>
          <t>1431/08/11</t>
        </is>
      </c>
    </row>
    <row r="12282">
      <c r="A12282" t="n">
        <v>14310812</v>
      </c>
      <c r="B12282" t="n">
        <v>55825</v>
      </c>
      <c r="C12282" t="inlineStr">
        <is>
          <t>1431/08/12</t>
        </is>
      </c>
    </row>
    <row r="12283">
      <c r="A12283" t="n">
        <v>14310813</v>
      </c>
      <c r="B12283" t="n">
        <v>55826</v>
      </c>
      <c r="C12283" t="inlineStr">
        <is>
          <t>1431/08/13</t>
        </is>
      </c>
    </row>
    <row r="12284">
      <c r="A12284" t="n">
        <v>14310814</v>
      </c>
      <c r="B12284" t="n">
        <v>55827</v>
      </c>
      <c r="C12284" t="inlineStr">
        <is>
          <t>1431/08/14</t>
        </is>
      </c>
    </row>
    <row r="12285">
      <c r="A12285" t="n">
        <v>14310815</v>
      </c>
      <c r="B12285" t="n">
        <v>55828</v>
      </c>
      <c r="C12285" t="inlineStr">
        <is>
          <t>1431/08/15</t>
        </is>
      </c>
    </row>
    <row r="12286">
      <c r="A12286" t="n">
        <v>14310816</v>
      </c>
      <c r="B12286" t="n">
        <v>55829</v>
      </c>
      <c r="C12286" t="inlineStr">
        <is>
          <t>1431/08/16</t>
        </is>
      </c>
    </row>
    <row r="12287">
      <c r="A12287" t="n">
        <v>14310817</v>
      </c>
      <c r="B12287" t="n">
        <v>55830</v>
      </c>
      <c r="C12287" t="inlineStr">
        <is>
          <t>1431/08/17</t>
        </is>
      </c>
    </row>
    <row r="12288">
      <c r="A12288" t="n">
        <v>14310818</v>
      </c>
      <c r="B12288" t="n">
        <v>55831</v>
      </c>
      <c r="C12288" t="inlineStr">
        <is>
          <t>1431/08/18</t>
        </is>
      </c>
    </row>
    <row r="12289">
      <c r="A12289" t="n">
        <v>14310819</v>
      </c>
      <c r="B12289" t="n">
        <v>55832</v>
      </c>
      <c r="C12289" t="inlineStr">
        <is>
          <t>1431/08/19</t>
        </is>
      </c>
    </row>
    <row r="12290">
      <c r="A12290" t="n">
        <v>14310820</v>
      </c>
      <c r="B12290" t="n">
        <v>55833</v>
      </c>
      <c r="C12290" t="inlineStr">
        <is>
          <t>1431/08/20</t>
        </is>
      </c>
    </row>
    <row r="12291">
      <c r="A12291" t="n">
        <v>14310821</v>
      </c>
      <c r="B12291" t="n">
        <v>55834</v>
      </c>
      <c r="C12291" t="inlineStr">
        <is>
          <t>1431/08/21</t>
        </is>
      </c>
    </row>
    <row r="12292">
      <c r="A12292" t="n">
        <v>14310822</v>
      </c>
      <c r="B12292" t="n">
        <v>55835</v>
      </c>
      <c r="C12292" t="inlineStr">
        <is>
          <t>1431/08/22</t>
        </is>
      </c>
    </row>
    <row r="12293">
      <c r="A12293" t="n">
        <v>14310823</v>
      </c>
      <c r="B12293" t="n">
        <v>55836</v>
      </c>
      <c r="C12293" t="inlineStr">
        <is>
          <t>1431/08/23</t>
        </is>
      </c>
    </row>
    <row r="12294">
      <c r="A12294" t="n">
        <v>14310824</v>
      </c>
      <c r="B12294" t="n">
        <v>55837</v>
      </c>
      <c r="C12294" t="inlineStr">
        <is>
          <t>1431/08/24</t>
        </is>
      </c>
    </row>
    <row r="12295">
      <c r="A12295" t="n">
        <v>14310825</v>
      </c>
      <c r="B12295" t="n">
        <v>55838</v>
      </c>
      <c r="C12295" t="inlineStr">
        <is>
          <t>1431/08/25</t>
        </is>
      </c>
    </row>
    <row r="12296">
      <c r="A12296" t="n">
        <v>14310826</v>
      </c>
      <c r="B12296" t="n">
        <v>55839</v>
      </c>
      <c r="C12296" t="inlineStr">
        <is>
          <t>1431/08/26</t>
        </is>
      </c>
    </row>
    <row r="12297">
      <c r="A12297" t="n">
        <v>14310827</v>
      </c>
      <c r="B12297" t="n">
        <v>55840</v>
      </c>
      <c r="C12297" t="inlineStr">
        <is>
          <t>1431/08/27</t>
        </is>
      </c>
    </row>
    <row r="12298">
      <c r="A12298" t="n">
        <v>14310828</v>
      </c>
      <c r="B12298" t="n">
        <v>55841</v>
      </c>
      <c r="C12298" t="inlineStr">
        <is>
          <t>1431/08/28</t>
        </is>
      </c>
    </row>
    <row r="12299">
      <c r="A12299" t="n">
        <v>14310829</v>
      </c>
      <c r="B12299" t="n">
        <v>55842</v>
      </c>
      <c r="C12299" t="inlineStr">
        <is>
          <t>1431/08/29</t>
        </is>
      </c>
    </row>
    <row r="12300">
      <c r="A12300" t="n">
        <v>14310830</v>
      </c>
      <c r="B12300" t="n">
        <v>55843</v>
      </c>
      <c r="C12300" t="inlineStr">
        <is>
          <t>1431/08/30</t>
        </is>
      </c>
    </row>
    <row r="12301">
      <c r="A12301" t="n">
        <v>14310901</v>
      </c>
      <c r="B12301" t="n">
        <v>55844</v>
      </c>
      <c r="C12301" t="inlineStr">
        <is>
          <t>1431/09/01</t>
        </is>
      </c>
    </row>
    <row r="12302">
      <c r="A12302" t="n">
        <v>14310902</v>
      </c>
      <c r="B12302" t="n">
        <v>55845</v>
      </c>
      <c r="C12302" t="inlineStr">
        <is>
          <t>1431/09/02</t>
        </is>
      </c>
    </row>
    <row r="12303">
      <c r="A12303" t="n">
        <v>14310903</v>
      </c>
      <c r="B12303" t="n">
        <v>55846</v>
      </c>
      <c r="C12303" t="inlineStr">
        <is>
          <t>1431/09/03</t>
        </is>
      </c>
    </row>
    <row r="12304">
      <c r="A12304" t="n">
        <v>14310904</v>
      </c>
      <c r="B12304" t="n">
        <v>55847</v>
      </c>
      <c r="C12304" t="inlineStr">
        <is>
          <t>1431/09/04</t>
        </is>
      </c>
    </row>
    <row r="12305">
      <c r="A12305" t="n">
        <v>14310905</v>
      </c>
      <c r="B12305" t="n">
        <v>55848</v>
      </c>
      <c r="C12305" t="inlineStr">
        <is>
          <t>1431/09/05</t>
        </is>
      </c>
    </row>
    <row r="12306">
      <c r="A12306" t="n">
        <v>14310906</v>
      </c>
      <c r="B12306" t="n">
        <v>55849</v>
      </c>
      <c r="C12306" t="inlineStr">
        <is>
          <t>1431/09/06</t>
        </is>
      </c>
    </row>
    <row r="12307">
      <c r="A12307" t="n">
        <v>14310907</v>
      </c>
      <c r="B12307" t="n">
        <v>55850</v>
      </c>
      <c r="C12307" t="inlineStr">
        <is>
          <t>1431/09/07</t>
        </is>
      </c>
    </row>
    <row r="12308">
      <c r="A12308" t="n">
        <v>14310908</v>
      </c>
      <c r="B12308" t="n">
        <v>55851</v>
      </c>
      <c r="C12308" t="inlineStr">
        <is>
          <t>1431/09/08</t>
        </is>
      </c>
    </row>
    <row r="12309">
      <c r="A12309" t="n">
        <v>14310909</v>
      </c>
      <c r="B12309" t="n">
        <v>55852</v>
      </c>
      <c r="C12309" t="inlineStr">
        <is>
          <t>1431/09/09</t>
        </is>
      </c>
    </row>
    <row r="12310">
      <c r="A12310" t="n">
        <v>14310910</v>
      </c>
      <c r="B12310" t="n">
        <v>55853</v>
      </c>
      <c r="C12310" t="inlineStr">
        <is>
          <t>1431/09/10</t>
        </is>
      </c>
    </row>
    <row r="12311">
      <c r="A12311" t="n">
        <v>14310911</v>
      </c>
      <c r="B12311" t="n">
        <v>55854</v>
      </c>
      <c r="C12311" t="inlineStr">
        <is>
          <t>1431/09/11</t>
        </is>
      </c>
    </row>
    <row r="12312">
      <c r="A12312" t="n">
        <v>14310912</v>
      </c>
      <c r="B12312" t="n">
        <v>55855</v>
      </c>
      <c r="C12312" t="inlineStr">
        <is>
          <t>1431/09/12</t>
        </is>
      </c>
    </row>
    <row r="12313">
      <c r="A12313" t="n">
        <v>14310913</v>
      </c>
      <c r="B12313" t="n">
        <v>55856</v>
      </c>
      <c r="C12313" t="inlineStr">
        <is>
          <t>1431/09/13</t>
        </is>
      </c>
    </row>
    <row r="12314">
      <c r="A12314" t="n">
        <v>14310914</v>
      </c>
      <c r="B12314" t="n">
        <v>55857</v>
      </c>
      <c r="C12314" t="inlineStr">
        <is>
          <t>1431/09/14</t>
        </is>
      </c>
    </row>
    <row r="12315">
      <c r="A12315" t="n">
        <v>14310915</v>
      </c>
      <c r="B12315" t="n">
        <v>55858</v>
      </c>
      <c r="C12315" t="inlineStr">
        <is>
          <t>1431/09/15</t>
        </is>
      </c>
    </row>
    <row r="12316">
      <c r="A12316" t="n">
        <v>14310916</v>
      </c>
      <c r="B12316" t="n">
        <v>55859</v>
      </c>
      <c r="C12316" t="inlineStr">
        <is>
          <t>1431/09/16</t>
        </is>
      </c>
    </row>
    <row r="12317">
      <c r="A12317" t="n">
        <v>14310917</v>
      </c>
      <c r="B12317" t="n">
        <v>55860</v>
      </c>
      <c r="C12317" t="inlineStr">
        <is>
          <t>1431/09/17</t>
        </is>
      </c>
    </row>
    <row r="12318">
      <c r="A12318" t="n">
        <v>14310918</v>
      </c>
      <c r="B12318" t="n">
        <v>55861</v>
      </c>
      <c r="C12318" t="inlineStr">
        <is>
          <t>1431/09/18</t>
        </is>
      </c>
    </row>
    <row r="12319">
      <c r="A12319" t="n">
        <v>14310919</v>
      </c>
      <c r="B12319" t="n">
        <v>55862</v>
      </c>
      <c r="C12319" t="inlineStr">
        <is>
          <t>1431/09/19</t>
        </is>
      </c>
    </row>
    <row r="12320">
      <c r="A12320" t="n">
        <v>14310920</v>
      </c>
      <c r="B12320" t="n">
        <v>55863</v>
      </c>
      <c r="C12320" t="inlineStr">
        <is>
          <t>1431/09/20</t>
        </is>
      </c>
    </row>
    <row r="12321">
      <c r="A12321" t="n">
        <v>14310921</v>
      </c>
      <c r="B12321" t="n">
        <v>55864</v>
      </c>
      <c r="C12321" t="inlineStr">
        <is>
          <t>1431/09/21</t>
        </is>
      </c>
    </row>
    <row r="12322">
      <c r="A12322" t="n">
        <v>14310922</v>
      </c>
      <c r="B12322" t="n">
        <v>55865</v>
      </c>
      <c r="C12322" t="inlineStr">
        <is>
          <t>1431/09/22</t>
        </is>
      </c>
    </row>
    <row r="12323">
      <c r="A12323" t="n">
        <v>14310923</v>
      </c>
      <c r="B12323" t="n">
        <v>55866</v>
      </c>
      <c r="C12323" t="inlineStr">
        <is>
          <t>1431/09/23</t>
        </is>
      </c>
    </row>
    <row r="12324">
      <c r="A12324" t="n">
        <v>14310924</v>
      </c>
      <c r="B12324" t="n">
        <v>55867</v>
      </c>
      <c r="C12324" t="inlineStr">
        <is>
          <t>1431/09/24</t>
        </is>
      </c>
    </row>
    <row r="12325">
      <c r="A12325" t="n">
        <v>14310925</v>
      </c>
      <c r="B12325" t="n">
        <v>55868</v>
      </c>
      <c r="C12325" t="inlineStr">
        <is>
          <t>1431/09/25</t>
        </is>
      </c>
    </row>
    <row r="12326">
      <c r="A12326" t="n">
        <v>14310926</v>
      </c>
      <c r="B12326" t="n">
        <v>55869</v>
      </c>
      <c r="C12326" t="inlineStr">
        <is>
          <t>1431/09/26</t>
        </is>
      </c>
    </row>
    <row r="12327">
      <c r="A12327" t="n">
        <v>14310927</v>
      </c>
      <c r="B12327" t="n">
        <v>55870</v>
      </c>
      <c r="C12327" t="inlineStr">
        <is>
          <t>1431/09/27</t>
        </is>
      </c>
    </row>
    <row r="12328">
      <c r="A12328" t="n">
        <v>14310928</v>
      </c>
      <c r="B12328" t="n">
        <v>55871</v>
      </c>
      <c r="C12328" t="inlineStr">
        <is>
          <t>1431/09/28</t>
        </is>
      </c>
    </row>
    <row r="12329">
      <c r="A12329" t="n">
        <v>14310929</v>
      </c>
      <c r="B12329" t="n">
        <v>55872</v>
      </c>
      <c r="C12329" t="inlineStr">
        <is>
          <t>1431/09/29</t>
        </is>
      </c>
    </row>
    <row r="12330">
      <c r="A12330" t="n">
        <v>14310930</v>
      </c>
      <c r="B12330" t="n">
        <v>55873</v>
      </c>
      <c r="C12330" t="inlineStr">
        <is>
          <t>1431/09/30</t>
        </is>
      </c>
    </row>
    <row r="12331">
      <c r="A12331" t="n">
        <v>14311001</v>
      </c>
      <c r="B12331" t="n">
        <v>55874</v>
      </c>
      <c r="C12331" t="inlineStr">
        <is>
          <t>1431/10/01</t>
        </is>
      </c>
    </row>
    <row r="12332">
      <c r="A12332" t="n">
        <v>14311002</v>
      </c>
      <c r="B12332" t="n">
        <v>55875</v>
      </c>
      <c r="C12332" t="inlineStr">
        <is>
          <t>1431/10/02</t>
        </is>
      </c>
    </row>
    <row r="12333">
      <c r="A12333" t="n">
        <v>14311003</v>
      </c>
      <c r="B12333" t="n">
        <v>55876</v>
      </c>
      <c r="C12333" t="inlineStr">
        <is>
          <t>1431/10/03</t>
        </is>
      </c>
    </row>
    <row r="12334">
      <c r="A12334" t="n">
        <v>14311004</v>
      </c>
      <c r="B12334" t="n">
        <v>55877</v>
      </c>
      <c r="C12334" t="inlineStr">
        <is>
          <t>1431/10/04</t>
        </is>
      </c>
    </row>
    <row r="12335">
      <c r="A12335" t="n">
        <v>14311005</v>
      </c>
      <c r="B12335" t="n">
        <v>55878</v>
      </c>
      <c r="C12335" t="inlineStr">
        <is>
          <t>1431/10/05</t>
        </is>
      </c>
    </row>
    <row r="12336">
      <c r="A12336" t="n">
        <v>14311006</v>
      </c>
      <c r="B12336" t="n">
        <v>55879</v>
      </c>
      <c r="C12336" t="inlineStr">
        <is>
          <t>1431/10/06</t>
        </is>
      </c>
    </row>
    <row r="12337">
      <c r="A12337" t="n">
        <v>14311007</v>
      </c>
      <c r="B12337" t="n">
        <v>55880</v>
      </c>
      <c r="C12337" t="inlineStr">
        <is>
          <t>1431/10/07</t>
        </is>
      </c>
    </row>
    <row r="12338">
      <c r="A12338" t="n">
        <v>14311008</v>
      </c>
      <c r="B12338" t="n">
        <v>55881</v>
      </c>
      <c r="C12338" t="inlineStr">
        <is>
          <t>1431/10/08</t>
        </is>
      </c>
    </row>
    <row r="12339">
      <c r="A12339" t="n">
        <v>14311009</v>
      </c>
      <c r="B12339" t="n">
        <v>55882</v>
      </c>
      <c r="C12339" t="inlineStr">
        <is>
          <t>1431/10/09</t>
        </is>
      </c>
    </row>
    <row r="12340">
      <c r="A12340" t="n">
        <v>14311010</v>
      </c>
      <c r="B12340" t="n">
        <v>55883</v>
      </c>
      <c r="C12340" t="inlineStr">
        <is>
          <t>1431/10/10</t>
        </is>
      </c>
    </row>
    <row r="12341">
      <c r="A12341" t="n">
        <v>14311011</v>
      </c>
      <c r="B12341" t="n">
        <v>55884</v>
      </c>
      <c r="C12341" t="inlineStr">
        <is>
          <t>1431/10/11</t>
        </is>
      </c>
    </row>
    <row r="12342">
      <c r="A12342" t="n">
        <v>14311012</v>
      </c>
      <c r="B12342" t="n">
        <v>55885</v>
      </c>
      <c r="C12342" t="inlineStr">
        <is>
          <t>1431/10/12</t>
        </is>
      </c>
    </row>
    <row r="12343">
      <c r="A12343" t="n">
        <v>14311013</v>
      </c>
      <c r="B12343" t="n">
        <v>55886</v>
      </c>
      <c r="C12343" t="inlineStr">
        <is>
          <t>1431/10/13</t>
        </is>
      </c>
    </row>
    <row r="12344">
      <c r="A12344" t="n">
        <v>14311014</v>
      </c>
      <c r="B12344" t="n">
        <v>55887</v>
      </c>
      <c r="C12344" t="inlineStr">
        <is>
          <t>1431/10/14</t>
        </is>
      </c>
    </row>
    <row r="12345">
      <c r="A12345" t="n">
        <v>14311015</v>
      </c>
      <c r="B12345" t="n">
        <v>55888</v>
      </c>
      <c r="C12345" t="inlineStr">
        <is>
          <t>1431/10/15</t>
        </is>
      </c>
    </row>
    <row r="12346">
      <c r="A12346" t="n">
        <v>14311016</v>
      </c>
      <c r="B12346" t="n">
        <v>55889</v>
      </c>
      <c r="C12346" t="inlineStr">
        <is>
          <t>1431/10/16</t>
        </is>
      </c>
    </row>
    <row r="12347">
      <c r="A12347" t="n">
        <v>14311017</v>
      </c>
      <c r="B12347" t="n">
        <v>55890</v>
      </c>
      <c r="C12347" t="inlineStr">
        <is>
          <t>1431/10/17</t>
        </is>
      </c>
    </row>
    <row r="12348">
      <c r="A12348" t="n">
        <v>14311018</v>
      </c>
      <c r="B12348" t="n">
        <v>55891</v>
      </c>
      <c r="C12348" t="inlineStr">
        <is>
          <t>1431/10/18</t>
        </is>
      </c>
    </row>
    <row r="12349">
      <c r="A12349" t="n">
        <v>14311019</v>
      </c>
      <c r="B12349" t="n">
        <v>55892</v>
      </c>
      <c r="C12349" t="inlineStr">
        <is>
          <t>1431/10/19</t>
        </is>
      </c>
    </row>
    <row r="12350">
      <c r="A12350" t="n">
        <v>14311020</v>
      </c>
      <c r="B12350" t="n">
        <v>55893</v>
      </c>
      <c r="C12350" t="inlineStr">
        <is>
          <t>1431/10/20</t>
        </is>
      </c>
    </row>
    <row r="12351">
      <c r="A12351" t="n">
        <v>14311021</v>
      </c>
      <c r="B12351" t="n">
        <v>55894</v>
      </c>
      <c r="C12351" t="inlineStr">
        <is>
          <t>1431/10/21</t>
        </is>
      </c>
    </row>
    <row r="12352">
      <c r="A12352" t="n">
        <v>14311022</v>
      </c>
      <c r="B12352" t="n">
        <v>55895</v>
      </c>
      <c r="C12352" t="inlineStr">
        <is>
          <t>1431/10/22</t>
        </is>
      </c>
    </row>
    <row r="12353">
      <c r="A12353" t="n">
        <v>14311023</v>
      </c>
      <c r="B12353" t="n">
        <v>55896</v>
      </c>
      <c r="C12353" t="inlineStr">
        <is>
          <t>1431/10/23</t>
        </is>
      </c>
    </row>
    <row r="12354">
      <c r="A12354" t="n">
        <v>14311024</v>
      </c>
      <c r="B12354" t="n">
        <v>55897</v>
      </c>
      <c r="C12354" t="inlineStr">
        <is>
          <t>1431/10/24</t>
        </is>
      </c>
    </row>
    <row r="12355">
      <c r="A12355" t="n">
        <v>14311025</v>
      </c>
      <c r="B12355" t="n">
        <v>55898</v>
      </c>
      <c r="C12355" t="inlineStr">
        <is>
          <t>1431/10/25</t>
        </is>
      </c>
    </row>
    <row r="12356">
      <c r="A12356" t="n">
        <v>14311026</v>
      </c>
      <c r="B12356" t="n">
        <v>55899</v>
      </c>
      <c r="C12356" t="inlineStr">
        <is>
          <t>1431/10/26</t>
        </is>
      </c>
    </row>
    <row r="12357">
      <c r="A12357" t="n">
        <v>14311027</v>
      </c>
      <c r="B12357" t="n">
        <v>55900</v>
      </c>
      <c r="C12357" t="inlineStr">
        <is>
          <t>1431/10/27</t>
        </is>
      </c>
    </row>
    <row r="12358">
      <c r="A12358" t="n">
        <v>14311028</v>
      </c>
      <c r="B12358" t="n">
        <v>55901</v>
      </c>
      <c r="C12358" t="inlineStr">
        <is>
          <t>1431/10/28</t>
        </is>
      </c>
    </row>
    <row r="12359">
      <c r="A12359" t="n">
        <v>14311029</v>
      </c>
      <c r="B12359" t="n">
        <v>55902</v>
      </c>
      <c r="C12359" t="inlineStr">
        <is>
          <t>1431/10/29</t>
        </is>
      </c>
    </row>
    <row r="12360">
      <c r="A12360" t="n">
        <v>14311030</v>
      </c>
      <c r="B12360" t="n">
        <v>55903</v>
      </c>
      <c r="C12360" t="inlineStr">
        <is>
          <t>1431/10/30</t>
        </is>
      </c>
    </row>
    <row r="12361">
      <c r="A12361" t="n">
        <v>14311101</v>
      </c>
      <c r="B12361" t="n">
        <v>55904</v>
      </c>
      <c r="C12361" t="inlineStr">
        <is>
          <t>1431/11/01</t>
        </is>
      </c>
    </row>
    <row r="12362">
      <c r="A12362" t="n">
        <v>14311102</v>
      </c>
      <c r="B12362" t="n">
        <v>55905</v>
      </c>
      <c r="C12362" t="inlineStr">
        <is>
          <t>1431/11/02</t>
        </is>
      </c>
    </row>
    <row r="12363">
      <c r="A12363" t="n">
        <v>14311103</v>
      </c>
      <c r="B12363" t="n">
        <v>55906</v>
      </c>
      <c r="C12363" t="inlineStr">
        <is>
          <t>1431/11/03</t>
        </is>
      </c>
    </row>
    <row r="12364">
      <c r="A12364" t="n">
        <v>14311104</v>
      </c>
      <c r="B12364" t="n">
        <v>55907</v>
      </c>
      <c r="C12364" t="inlineStr">
        <is>
          <t>1431/11/04</t>
        </is>
      </c>
    </row>
    <row r="12365">
      <c r="A12365" t="n">
        <v>14311105</v>
      </c>
      <c r="B12365" t="n">
        <v>55908</v>
      </c>
      <c r="C12365" t="inlineStr">
        <is>
          <t>1431/11/05</t>
        </is>
      </c>
    </row>
    <row r="12366">
      <c r="A12366" t="n">
        <v>14311106</v>
      </c>
      <c r="B12366" t="n">
        <v>55909</v>
      </c>
      <c r="C12366" t="inlineStr">
        <is>
          <t>1431/11/06</t>
        </is>
      </c>
    </row>
    <row r="12367">
      <c r="A12367" t="n">
        <v>14311107</v>
      </c>
      <c r="B12367" t="n">
        <v>55910</v>
      </c>
      <c r="C12367" t="inlineStr">
        <is>
          <t>1431/11/07</t>
        </is>
      </c>
    </row>
    <row r="12368">
      <c r="A12368" t="n">
        <v>14311108</v>
      </c>
      <c r="B12368" t="n">
        <v>55911</v>
      </c>
      <c r="C12368" t="inlineStr">
        <is>
          <t>1431/11/08</t>
        </is>
      </c>
    </row>
    <row r="12369">
      <c r="A12369" t="n">
        <v>14311109</v>
      </c>
      <c r="B12369" t="n">
        <v>55912</v>
      </c>
      <c r="C12369" t="inlineStr">
        <is>
          <t>1431/11/09</t>
        </is>
      </c>
    </row>
    <row r="12370">
      <c r="A12370" t="n">
        <v>14311110</v>
      </c>
      <c r="B12370" t="n">
        <v>55913</v>
      </c>
      <c r="C12370" t="inlineStr">
        <is>
          <t>1431/11/10</t>
        </is>
      </c>
    </row>
    <row r="12371">
      <c r="A12371" t="n">
        <v>14311111</v>
      </c>
      <c r="B12371" t="n">
        <v>55914</v>
      </c>
      <c r="C12371" t="inlineStr">
        <is>
          <t>1431/11/11</t>
        </is>
      </c>
    </row>
    <row r="12372">
      <c r="A12372" t="n">
        <v>14311112</v>
      </c>
      <c r="B12372" t="n">
        <v>55915</v>
      </c>
      <c r="C12372" t="inlineStr">
        <is>
          <t>1431/11/12</t>
        </is>
      </c>
    </row>
    <row r="12373">
      <c r="A12373" t="n">
        <v>14311113</v>
      </c>
      <c r="B12373" t="n">
        <v>55916</v>
      </c>
      <c r="C12373" t="inlineStr">
        <is>
          <t>1431/11/13</t>
        </is>
      </c>
    </row>
    <row r="12374">
      <c r="A12374" t="n">
        <v>14311114</v>
      </c>
      <c r="B12374" t="n">
        <v>55917</v>
      </c>
      <c r="C12374" t="inlineStr">
        <is>
          <t>1431/11/14</t>
        </is>
      </c>
    </row>
    <row r="12375">
      <c r="A12375" t="n">
        <v>14311115</v>
      </c>
      <c r="B12375" t="n">
        <v>55918</v>
      </c>
      <c r="C12375" t="inlineStr">
        <is>
          <t>1431/11/15</t>
        </is>
      </c>
    </row>
    <row r="12376">
      <c r="A12376" t="n">
        <v>14311116</v>
      </c>
      <c r="B12376" t="n">
        <v>55919</v>
      </c>
      <c r="C12376" t="inlineStr">
        <is>
          <t>1431/11/16</t>
        </is>
      </c>
    </row>
    <row r="12377">
      <c r="A12377" t="n">
        <v>14311117</v>
      </c>
      <c r="B12377" t="n">
        <v>55920</v>
      </c>
      <c r="C12377" t="inlineStr">
        <is>
          <t>1431/11/17</t>
        </is>
      </c>
    </row>
    <row r="12378">
      <c r="A12378" t="n">
        <v>14311118</v>
      </c>
      <c r="B12378" t="n">
        <v>55921</v>
      </c>
      <c r="C12378" t="inlineStr">
        <is>
          <t>1431/11/18</t>
        </is>
      </c>
    </row>
    <row r="12379">
      <c r="A12379" t="n">
        <v>14311119</v>
      </c>
      <c r="B12379" t="n">
        <v>55922</v>
      </c>
      <c r="C12379" t="inlineStr">
        <is>
          <t>1431/11/19</t>
        </is>
      </c>
    </row>
    <row r="12380">
      <c r="A12380" t="n">
        <v>14311120</v>
      </c>
      <c r="B12380" t="n">
        <v>55923</v>
      </c>
      <c r="C12380" t="inlineStr">
        <is>
          <t>1431/11/20</t>
        </is>
      </c>
    </row>
    <row r="12381">
      <c r="A12381" t="n">
        <v>14311121</v>
      </c>
      <c r="B12381" t="n">
        <v>55924</v>
      </c>
      <c r="C12381" t="inlineStr">
        <is>
          <t>1431/11/21</t>
        </is>
      </c>
    </row>
    <row r="12382">
      <c r="A12382" t="n">
        <v>14311122</v>
      </c>
      <c r="B12382" t="n">
        <v>55925</v>
      </c>
      <c r="C12382" t="inlineStr">
        <is>
          <t>1431/11/22</t>
        </is>
      </c>
    </row>
    <row r="12383">
      <c r="A12383" t="n">
        <v>14311123</v>
      </c>
      <c r="B12383" t="n">
        <v>55926</v>
      </c>
      <c r="C12383" t="inlineStr">
        <is>
          <t>1431/11/23</t>
        </is>
      </c>
    </row>
    <row r="12384">
      <c r="A12384" t="n">
        <v>14311124</v>
      </c>
      <c r="B12384" t="n">
        <v>55927</v>
      </c>
      <c r="C12384" t="inlineStr">
        <is>
          <t>1431/11/24</t>
        </is>
      </c>
    </row>
    <row r="12385">
      <c r="A12385" t="n">
        <v>14311125</v>
      </c>
      <c r="B12385" t="n">
        <v>55928</v>
      </c>
      <c r="C12385" t="inlineStr">
        <is>
          <t>1431/11/25</t>
        </is>
      </c>
    </row>
    <row r="12386">
      <c r="A12386" t="n">
        <v>14311126</v>
      </c>
      <c r="B12386" t="n">
        <v>55929</v>
      </c>
      <c r="C12386" t="inlineStr">
        <is>
          <t>1431/11/26</t>
        </is>
      </c>
    </row>
    <row r="12387">
      <c r="A12387" t="n">
        <v>14311127</v>
      </c>
      <c r="B12387" t="n">
        <v>55930</v>
      </c>
      <c r="C12387" t="inlineStr">
        <is>
          <t>1431/11/27</t>
        </is>
      </c>
    </row>
    <row r="12388">
      <c r="A12388" t="n">
        <v>14311128</v>
      </c>
      <c r="B12388" t="n">
        <v>55931</v>
      </c>
      <c r="C12388" t="inlineStr">
        <is>
          <t>1431/11/28</t>
        </is>
      </c>
    </row>
    <row r="12389">
      <c r="A12389" t="n">
        <v>14311129</v>
      </c>
      <c r="B12389" t="n">
        <v>55932</v>
      </c>
      <c r="C12389" t="inlineStr">
        <is>
          <t>1431/11/29</t>
        </is>
      </c>
    </row>
    <row r="12390">
      <c r="A12390" t="n">
        <v>14311130</v>
      </c>
      <c r="B12390" t="n">
        <v>55933</v>
      </c>
      <c r="C12390" t="inlineStr">
        <is>
          <t>1431/11/30</t>
        </is>
      </c>
    </row>
    <row r="12391">
      <c r="A12391" t="n">
        <v>14311201</v>
      </c>
      <c r="B12391" t="n">
        <v>55934</v>
      </c>
      <c r="C12391" t="inlineStr">
        <is>
          <t>1431/12/01</t>
        </is>
      </c>
    </row>
    <row r="12392">
      <c r="A12392" t="n">
        <v>14311202</v>
      </c>
      <c r="B12392" t="n">
        <v>55935</v>
      </c>
      <c r="C12392" t="inlineStr">
        <is>
          <t>1431/12/02</t>
        </is>
      </c>
    </row>
    <row r="12393">
      <c r="A12393" t="n">
        <v>14311203</v>
      </c>
      <c r="B12393" t="n">
        <v>55936</v>
      </c>
      <c r="C12393" t="inlineStr">
        <is>
          <t>1431/12/03</t>
        </is>
      </c>
    </row>
    <row r="12394">
      <c r="A12394" t="n">
        <v>14311204</v>
      </c>
      <c r="B12394" t="n">
        <v>55937</v>
      </c>
      <c r="C12394" t="inlineStr">
        <is>
          <t>1431/12/04</t>
        </is>
      </c>
    </row>
    <row r="12395">
      <c r="A12395" t="n">
        <v>14311205</v>
      </c>
      <c r="B12395" t="n">
        <v>55938</v>
      </c>
      <c r="C12395" t="inlineStr">
        <is>
          <t>1431/12/05</t>
        </is>
      </c>
    </row>
    <row r="12396">
      <c r="A12396" t="n">
        <v>14311206</v>
      </c>
      <c r="B12396" t="n">
        <v>55939</v>
      </c>
      <c r="C12396" t="inlineStr">
        <is>
          <t>1431/12/06</t>
        </is>
      </c>
    </row>
    <row r="12397">
      <c r="A12397" t="n">
        <v>14311207</v>
      </c>
      <c r="B12397" t="n">
        <v>55940</v>
      </c>
      <c r="C12397" t="inlineStr">
        <is>
          <t>1431/12/07</t>
        </is>
      </c>
    </row>
    <row r="12398">
      <c r="A12398" t="n">
        <v>14311208</v>
      </c>
      <c r="B12398" t="n">
        <v>55941</v>
      </c>
      <c r="C12398" t="inlineStr">
        <is>
          <t>1431/12/08</t>
        </is>
      </c>
    </row>
    <row r="12399">
      <c r="A12399" t="n">
        <v>14311209</v>
      </c>
      <c r="B12399" t="n">
        <v>55942</v>
      </c>
      <c r="C12399" t="inlineStr">
        <is>
          <t>1431/12/09</t>
        </is>
      </c>
    </row>
    <row r="12400">
      <c r="A12400" t="n">
        <v>14311210</v>
      </c>
      <c r="B12400" t="n">
        <v>55943</v>
      </c>
      <c r="C12400" t="inlineStr">
        <is>
          <t>1431/12/10</t>
        </is>
      </c>
    </row>
    <row r="12401">
      <c r="A12401" t="n">
        <v>14311211</v>
      </c>
      <c r="B12401" t="n">
        <v>55944</v>
      </c>
      <c r="C12401" t="inlineStr">
        <is>
          <t>1431/12/11</t>
        </is>
      </c>
    </row>
    <row r="12402">
      <c r="A12402" t="n">
        <v>14311212</v>
      </c>
      <c r="B12402" t="n">
        <v>55945</v>
      </c>
      <c r="C12402" t="inlineStr">
        <is>
          <t>1431/12/12</t>
        </is>
      </c>
    </row>
    <row r="12403">
      <c r="A12403" t="n">
        <v>14311213</v>
      </c>
      <c r="B12403" t="n">
        <v>55946</v>
      </c>
      <c r="C12403" t="inlineStr">
        <is>
          <t>1431/12/13</t>
        </is>
      </c>
    </row>
    <row r="12404">
      <c r="A12404" t="n">
        <v>14311214</v>
      </c>
      <c r="B12404" t="n">
        <v>55947</v>
      </c>
      <c r="C12404" t="inlineStr">
        <is>
          <t>1431/12/14</t>
        </is>
      </c>
    </row>
    <row r="12405">
      <c r="A12405" t="n">
        <v>14311215</v>
      </c>
      <c r="B12405" t="n">
        <v>55948</v>
      </c>
      <c r="C12405" t="inlineStr">
        <is>
          <t>1431/12/15</t>
        </is>
      </c>
    </row>
    <row r="12406">
      <c r="A12406" t="n">
        <v>14311216</v>
      </c>
      <c r="B12406" t="n">
        <v>55949</v>
      </c>
      <c r="C12406" t="inlineStr">
        <is>
          <t>1431/12/16</t>
        </is>
      </c>
    </row>
    <row r="12407">
      <c r="A12407" t="n">
        <v>14311217</v>
      </c>
      <c r="B12407" t="n">
        <v>55950</v>
      </c>
      <c r="C12407" t="inlineStr">
        <is>
          <t>1431/12/17</t>
        </is>
      </c>
    </row>
    <row r="12408">
      <c r="A12408" t="n">
        <v>14311218</v>
      </c>
      <c r="B12408" t="n">
        <v>55951</v>
      </c>
      <c r="C12408" t="inlineStr">
        <is>
          <t>1431/12/18</t>
        </is>
      </c>
    </row>
    <row r="12409">
      <c r="A12409" t="n">
        <v>14311219</v>
      </c>
      <c r="B12409" t="n">
        <v>55952</v>
      </c>
      <c r="C12409" t="inlineStr">
        <is>
          <t>1431/12/19</t>
        </is>
      </c>
    </row>
    <row r="12410">
      <c r="A12410" t="n">
        <v>14311220</v>
      </c>
      <c r="B12410" t="n">
        <v>55953</v>
      </c>
      <c r="C12410" t="inlineStr">
        <is>
          <t>1431/12/20</t>
        </is>
      </c>
    </row>
    <row r="12411">
      <c r="A12411" t="n">
        <v>14311221</v>
      </c>
      <c r="B12411" t="n">
        <v>55954</v>
      </c>
      <c r="C12411" t="inlineStr">
        <is>
          <t>1431/12/21</t>
        </is>
      </c>
    </row>
    <row r="12412">
      <c r="A12412" t="n">
        <v>14311222</v>
      </c>
      <c r="B12412" t="n">
        <v>55955</v>
      </c>
      <c r="C12412" t="inlineStr">
        <is>
          <t>1431/12/22</t>
        </is>
      </c>
    </row>
    <row r="12413">
      <c r="A12413" t="n">
        <v>14311223</v>
      </c>
      <c r="B12413" t="n">
        <v>55956</v>
      </c>
      <c r="C12413" t="inlineStr">
        <is>
          <t>1431/12/23</t>
        </is>
      </c>
    </row>
    <row r="12414">
      <c r="A12414" t="n">
        <v>14311224</v>
      </c>
      <c r="B12414" t="n">
        <v>55957</v>
      </c>
      <c r="C12414" t="inlineStr">
        <is>
          <t>1431/12/24</t>
        </is>
      </c>
    </row>
    <row r="12415">
      <c r="A12415" t="n">
        <v>14311225</v>
      </c>
      <c r="B12415" t="n">
        <v>55958</v>
      </c>
      <c r="C12415" t="inlineStr">
        <is>
          <t>1431/12/25</t>
        </is>
      </c>
    </row>
    <row r="12416">
      <c r="A12416" t="n">
        <v>14311226</v>
      </c>
      <c r="B12416" t="n">
        <v>55959</v>
      </c>
      <c r="C12416" t="inlineStr">
        <is>
          <t>1431/12/26</t>
        </is>
      </c>
    </row>
    <row r="12417">
      <c r="A12417" t="n">
        <v>14311227</v>
      </c>
      <c r="B12417" t="n">
        <v>55960</v>
      </c>
      <c r="C12417" t="inlineStr">
        <is>
          <t>1431/12/27</t>
        </is>
      </c>
    </row>
    <row r="12418">
      <c r="A12418" t="n">
        <v>14311228</v>
      </c>
      <c r="B12418" t="n">
        <v>55961</v>
      </c>
      <c r="C12418" t="inlineStr">
        <is>
          <t>1431/12/28</t>
        </is>
      </c>
    </row>
    <row r="12419">
      <c r="A12419" t="n">
        <v>14311229</v>
      </c>
      <c r="B12419" t="n">
        <v>55962</v>
      </c>
      <c r="C12419" t="inlineStr">
        <is>
          <t>1431/12/29</t>
        </is>
      </c>
    </row>
    <row r="12420">
      <c r="A12420" t="n">
        <v>14320101</v>
      </c>
      <c r="B12420" t="n">
        <v>55963</v>
      </c>
      <c r="C12420" t="inlineStr">
        <is>
          <t>1432/01/01</t>
        </is>
      </c>
    </row>
    <row r="12421">
      <c r="A12421" t="n">
        <v>14320102</v>
      </c>
      <c r="B12421" t="n">
        <v>55964</v>
      </c>
      <c r="C12421" t="inlineStr">
        <is>
          <t>1432/01/02</t>
        </is>
      </c>
    </row>
    <row r="12422">
      <c r="A12422" t="n">
        <v>14320103</v>
      </c>
      <c r="B12422" t="n">
        <v>55965</v>
      </c>
      <c r="C12422" t="inlineStr">
        <is>
          <t>1432/01/03</t>
        </is>
      </c>
    </row>
    <row r="12423">
      <c r="A12423" t="n">
        <v>14320104</v>
      </c>
      <c r="B12423" t="n">
        <v>55966</v>
      </c>
      <c r="C12423" t="inlineStr">
        <is>
          <t>1432/01/04</t>
        </is>
      </c>
    </row>
    <row r="12424">
      <c r="A12424" t="n">
        <v>14320105</v>
      </c>
      <c r="B12424" t="n">
        <v>55967</v>
      </c>
      <c r="C12424" t="inlineStr">
        <is>
          <t>1432/01/05</t>
        </is>
      </c>
    </row>
    <row r="12425">
      <c r="A12425" t="n">
        <v>14320106</v>
      </c>
      <c r="B12425" t="n">
        <v>55968</v>
      </c>
      <c r="C12425" t="inlineStr">
        <is>
          <t>1432/01/06</t>
        </is>
      </c>
    </row>
    <row r="12426">
      <c r="A12426" t="n">
        <v>14320107</v>
      </c>
      <c r="B12426" t="n">
        <v>55969</v>
      </c>
      <c r="C12426" t="inlineStr">
        <is>
          <t>1432/01/07</t>
        </is>
      </c>
    </row>
    <row r="12427">
      <c r="A12427" t="n">
        <v>14320108</v>
      </c>
      <c r="B12427" t="n">
        <v>55970</v>
      </c>
      <c r="C12427" t="inlineStr">
        <is>
          <t>1432/01/08</t>
        </is>
      </c>
    </row>
    <row r="12428">
      <c r="A12428" t="n">
        <v>14320109</v>
      </c>
      <c r="B12428" t="n">
        <v>55971</v>
      </c>
      <c r="C12428" t="inlineStr">
        <is>
          <t>1432/01/09</t>
        </is>
      </c>
    </row>
    <row r="12429">
      <c r="A12429" t="n">
        <v>14320110</v>
      </c>
      <c r="B12429" t="n">
        <v>55972</v>
      </c>
      <c r="C12429" t="inlineStr">
        <is>
          <t>1432/01/10</t>
        </is>
      </c>
    </row>
    <row r="12430">
      <c r="A12430" t="n">
        <v>14320111</v>
      </c>
      <c r="B12430" t="n">
        <v>55973</v>
      </c>
      <c r="C12430" t="inlineStr">
        <is>
          <t>1432/01/11</t>
        </is>
      </c>
    </row>
    <row r="12431">
      <c r="A12431" t="n">
        <v>14320112</v>
      </c>
      <c r="B12431" t="n">
        <v>55974</v>
      </c>
      <c r="C12431" t="inlineStr">
        <is>
          <t>1432/01/12</t>
        </is>
      </c>
    </row>
    <row r="12432">
      <c r="A12432" t="n">
        <v>14320113</v>
      </c>
      <c r="B12432" t="n">
        <v>55975</v>
      </c>
      <c r="C12432" t="inlineStr">
        <is>
          <t>1432/01/13</t>
        </is>
      </c>
    </row>
    <row r="12433">
      <c r="A12433" t="n">
        <v>14320114</v>
      </c>
      <c r="B12433" t="n">
        <v>55976</v>
      </c>
      <c r="C12433" t="inlineStr">
        <is>
          <t>1432/01/14</t>
        </is>
      </c>
    </row>
    <row r="12434">
      <c r="A12434" t="n">
        <v>14320115</v>
      </c>
      <c r="B12434" t="n">
        <v>55977</v>
      </c>
      <c r="C12434" t="inlineStr">
        <is>
          <t>1432/01/15</t>
        </is>
      </c>
    </row>
    <row r="12435">
      <c r="A12435" t="n">
        <v>14320116</v>
      </c>
      <c r="B12435" t="n">
        <v>55978</v>
      </c>
      <c r="C12435" t="inlineStr">
        <is>
          <t>1432/01/16</t>
        </is>
      </c>
    </row>
    <row r="12436">
      <c r="A12436" t="n">
        <v>14320117</v>
      </c>
      <c r="B12436" t="n">
        <v>55979</v>
      </c>
      <c r="C12436" t="inlineStr">
        <is>
          <t>1432/01/17</t>
        </is>
      </c>
    </row>
    <row r="12437">
      <c r="A12437" t="n">
        <v>14320118</v>
      </c>
      <c r="B12437" t="n">
        <v>55980</v>
      </c>
      <c r="C12437" t="inlineStr">
        <is>
          <t>1432/01/18</t>
        </is>
      </c>
    </row>
    <row r="12438">
      <c r="A12438" t="n">
        <v>14320119</v>
      </c>
      <c r="B12438" t="n">
        <v>55981</v>
      </c>
      <c r="C12438" t="inlineStr">
        <is>
          <t>1432/01/19</t>
        </is>
      </c>
    </row>
    <row r="12439">
      <c r="A12439" t="n">
        <v>14320120</v>
      </c>
      <c r="B12439" t="n">
        <v>55982</v>
      </c>
      <c r="C12439" t="inlineStr">
        <is>
          <t>1432/01/20</t>
        </is>
      </c>
    </row>
    <row r="12440">
      <c r="A12440" t="n">
        <v>14320121</v>
      </c>
      <c r="B12440" t="n">
        <v>55983</v>
      </c>
      <c r="C12440" t="inlineStr">
        <is>
          <t>1432/01/21</t>
        </is>
      </c>
    </row>
    <row r="12441">
      <c r="A12441" t="n">
        <v>14320122</v>
      </c>
      <c r="B12441" t="n">
        <v>55984</v>
      </c>
      <c r="C12441" t="inlineStr">
        <is>
          <t>1432/01/22</t>
        </is>
      </c>
    </row>
    <row r="12442">
      <c r="A12442" t="n">
        <v>14320123</v>
      </c>
      <c r="B12442" t="n">
        <v>55985</v>
      </c>
      <c r="C12442" t="inlineStr">
        <is>
          <t>1432/01/23</t>
        </is>
      </c>
    </row>
    <row r="12443">
      <c r="A12443" t="n">
        <v>14320124</v>
      </c>
      <c r="B12443" t="n">
        <v>55986</v>
      </c>
      <c r="C12443" t="inlineStr">
        <is>
          <t>1432/01/24</t>
        </is>
      </c>
    </row>
    <row r="12444">
      <c r="A12444" t="n">
        <v>14320125</v>
      </c>
      <c r="B12444" t="n">
        <v>55987</v>
      </c>
      <c r="C12444" t="inlineStr">
        <is>
          <t>1432/01/25</t>
        </is>
      </c>
    </row>
    <row r="12445">
      <c r="A12445" t="n">
        <v>14320126</v>
      </c>
      <c r="B12445" t="n">
        <v>55988</v>
      </c>
      <c r="C12445" t="inlineStr">
        <is>
          <t>1432/01/26</t>
        </is>
      </c>
    </row>
    <row r="12446">
      <c r="A12446" t="n">
        <v>14320127</v>
      </c>
      <c r="B12446" t="n">
        <v>55989</v>
      </c>
      <c r="C12446" t="inlineStr">
        <is>
          <t>1432/01/27</t>
        </is>
      </c>
    </row>
    <row r="12447">
      <c r="A12447" t="n">
        <v>14320128</v>
      </c>
      <c r="B12447" t="n">
        <v>55990</v>
      </c>
      <c r="C12447" t="inlineStr">
        <is>
          <t>1432/01/28</t>
        </is>
      </c>
    </row>
    <row r="12448">
      <c r="A12448" t="n">
        <v>14320129</v>
      </c>
      <c r="B12448" t="n">
        <v>55991</v>
      </c>
      <c r="C12448" t="inlineStr">
        <is>
          <t>1432/01/29</t>
        </is>
      </c>
    </row>
    <row r="12449">
      <c r="A12449" t="n">
        <v>14320130</v>
      </c>
      <c r="B12449" t="n">
        <v>55992</v>
      </c>
      <c r="C12449" t="inlineStr">
        <is>
          <t>1432/01/30</t>
        </is>
      </c>
    </row>
    <row r="12450">
      <c r="A12450" t="n">
        <v>14320131</v>
      </c>
      <c r="B12450" t="n">
        <v>55993</v>
      </c>
      <c r="C12450" t="inlineStr">
        <is>
          <t>1432/01/31</t>
        </is>
      </c>
    </row>
    <row r="12451">
      <c r="A12451" t="n">
        <v>14320201</v>
      </c>
      <c r="B12451" t="n">
        <v>55994</v>
      </c>
      <c r="C12451" t="inlineStr">
        <is>
          <t>1432/02/01</t>
        </is>
      </c>
    </row>
    <row r="12452">
      <c r="A12452" t="n">
        <v>14320202</v>
      </c>
      <c r="B12452" t="n">
        <v>55995</v>
      </c>
      <c r="C12452" t="inlineStr">
        <is>
          <t>1432/02/02</t>
        </is>
      </c>
    </row>
    <row r="12453">
      <c r="A12453" t="n">
        <v>14320203</v>
      </c>
      <c r="B12453" t="n">
        <v>55996</v>
      </c>
      <c r="C12453" t="inlineStr">
        <is>
          <t>1432/02/03</t>
        </is>
      </c>
    </row>
    <row r="12454">
      <c r="A12454" t="n">
        <v>14320204</v>
      </c>
      <c r="B12454" t="n">
        <v>55997</v>
      </c>
      <c r="C12454" t="inlineStr">
        <is>
          <t>1432/02/04</t>
        </is>
      </c>
    </row>
    <row r="12455">
      <c r="A12455" t="n">
        <v>14320205</v>
      </c>
      <c r="B12455" t="n">
        <v>55998</v>
      </c>
      <c r="C12455" t="inlineStr">
        <is>
          <t>1432/02/05</t>
        </is>
      </c>
    </row>
    <row r="12456">
      <c r="A12456" t="n">
        <v>14320206</v>
      </c>
      <c r="B12456" t="n">
        <v>55999</v>
      </c>
      <c r="C12456" t="inlineStr">
        <is>
          <t>1432/02/06</t>
        </is>
      </c>
    </row>
    <row r="12457">
      <c r="A12457" t="n">
        <v>14320207</v>
      </c>
      <c r="B12457" t="n">
        <v>56000</v>
      </c>
      <c r="C12457" t="inlineStr">
        <is>
          <t>1432/02/07</t>
        </is>
      </c>
    </row>
    <row r="12458">
      <c r="A12458" t="n">
        <v>14320208</v>
      </c>
      <c r="B12458" t="n">
        <v>56001</v>
      </c>
      <c r="C12458" t="inlineStr">
        <is>
          <t>1432/02/08</t>
        </is>
      </c>
    </row>
    <row r="12459">
      <c r="A12459" t="n">
        <v>14320209</v>
      </c>
      <c r="B12459" t="n">
        <v>56002</v>
      </c>
      <c r="C12459" t="inlineStr">
        <is>
          <t>1432/02/09</t>
        </is>
      </c>
    </row>
    <row r="12460">
      <c r="A12460" t="n">
        <v>14320210</v>
      </c>
      <c r="B12460" t="n">
        <v>56003</v>
      </c>
      <c r="C12460" t="inlineStr">
        <is>
          <t>1432/02/10</t>
        </is>
      </c>
    </row>
    <row r="12461">
      <c r="A12461" t="n">
        <v>14320211</v>
      </c>
      <c r="B12461" t="n">
        <v>56004</v>
      </c>
      <c r="C12461" t="inlineStr">
        <is>
          <t>1432/02/11</t>
        </is>
      </c>
    </row>
    <row r="12462">
      <c r="A12462" t="n">
        <v>14320212</v>
      </c>
      <c r="B12462" t="n">
        <v>56005</v>
      </c>
      <c r="C12462" t="inlineStr">
        <is>
          <t>1432/02/12</t>
        </is>
      </c>
    </row>
    <row r="12463">
      <c r="A12463" t="n">
        <v>14320213</v>
      </c>
      <c r="B12463" t="n">
        <v>56006</v>
      </c>
      <c r="C12463" t="inlineStr">
        <is>
          <t>1432/02/13</t>
        </is>
      </c>
    </row>
    <row r="12464">
      <c r="A12464" t="n">
        <v>14320214</v>
      </c>
      <c r="B12464" t="n">
        <v>56007</v>
      </c>
      <c r="C12464" t="inlineStr">
        <is>
          <t>1432/02/14</t>
        </is>
      </c>
    </row>
    <row r="12465">
      <c r="A12465" t="n">
        <v>14320215</v>
      </c>
      <c r="B12465" t="n">
        <v>56008</v>
      </c>
      <c r="C12465" t="inlineStr">
        <is>
          <t>1432/02/15</t>
        </is>
      </c>
    </row>
    <row r="12466">
      <c r="A12466" t="n">
        <v>14320216</v>
      </c>
      <c r="B12466" t="n">
        <v>56009</v>
      </c>
      <c r="C12466" t="inlineStr">
        <is>
          <t>1432/02/16</t>
        </is>
      </c>
    </row>
    <row r="12467">
      <c r="A12467" t="n">
        <v>14320217</v>
      </c>
      <c r="B12467" t="n">
        <v>56010</v>
      </c>
      <c r="C12467" t="inlineStr">
        <is>
          <t>1432/02/17</t>
        </is>
      </c>
    </row>
    <row r="12468">
      <c r="A12468" t="n">
        <v>14320218</v>
      </c>
      <c r="B12468" t="n">
        <v>56011</v>
      </c>
      <c r="C12468" t="inlineStr">
        <is>
          <t>1432/02/18</t>
        </is>
      </c>
    </row>
    <row r="12469">
      <c r="A12469" t="n">
        <v>14320219</v>
      </c>
      <c r="B12469" t="n">
        <v>56012</v>
      </c>
      <c r="C12469" t="inlineStr">
        <is>
          <t>1432/02/19</t>
        </is>
      </c>
    </row>
    <row r="12470">
      <c r="A12470" t="n">
        <v>14320220</v>
      </c>
      <c r="B12470" t="n">
        <v>56013</v>
      </c>
      <c r="C12470" t="inlineStr">
        <is>
          <t>1432/02/20</t>
        </is>
      </c>
    </row>
    <row r="12471">
      <c r="A12471" t="n">
        <v>14320221</v>
      </c>
      <c r="B12471" t="n">
        <v>56014</v>
      </c>
      <c r="C12471" t="inlineStr">
        <is>
          <t>1432/02/21</t>
        </is>
      </c>
    </row>
    <row r="12472">
      <c r="A12472" t="n">
        <v>14320222</v>
      </c>
      <c r="B12472" t="n">
        <v>56015</v>
      </c>
      <c r="C12472" t="inlineStr">
        <is>
          <t>1432/02/22</t>
        </is>
      </c>
    </row>
    <row r="12473">
      <c r="A12473" t="n">
        <v>14320223</v>
      </c>
      <c r="B12473" t="n">
        <v>56016</v>
      </c>
      <c r="C12473" t="inlineStr">
        <is>
          <t>1432/02/23</t>
        </is>
      </c>
    </row>
    <row r="12474">
      <c r="A12474" t="n">
        <v>14320224</v>
      </c>
      <c r="B12474" t="n">
        <v>56017</v>
      </c>
      <c r="C12474" t="inlineStr">
        <is>
          <t>1432/02/24</t>
        </is>
      </c>
    </row>
    <row r="12475">
      <c r="A12475" t="n">
        <v>14320225</v>
      </c>
      <c r="B12475" t="n">
        <v>56018</v>
      </c>
      <c r="C12475" t="inlineStr">
        <is>
          <t>1432/02/25</t>
        </is>
      </c>
    </row>
    <row r="12476">
      <c r="A12476" t="n">
        <v>14320226</v>
      </c>
      <c r="B12476" t="n">
        <v>56019</v>
      </c>
      <c r="C12476" t="inlineStr">
        <is>
          <t>1432/02/26</t>
        </is>
      </c>
    </row>
    <row r="12477">
      <c r="A12477" t="n">
        <v>14320227</v>
      </c>
      <c r="B12477" t="n">
        <v>56020</v>
      </c>
      <c r="C12477" t="inlineStr">
        <is>
          <t>1432/02/27</t>
        </is>
      </c>
    </row>
    <row r="12478">
      <c r="A12478" t="n">
        <v>14320228</v>
      </c>
      <c r="B12478" t="n">
        <v>56021</v>
      </c>
      <c r="C12478" t="inlineStr">
        <is>
          <t>1432/02/28</t>
        </is>
      </c>
    </row>
    <row r="12479">
      <c r="A12479" t="n">
        <v>14320229</v>
      </c>
      <c r="B12479" t="n">
        <v>56022</v>
      </c>
      <c r="C12479" t="inlineStr">
        <is>
          <t>1432/02/29</t>
        </is>
      </c>
    </row>
    <row r="12480">
      <c r="A12480" t="n">
        <v>14320230</v>
      </c>
      <c r="B12480" t="n">
        <v>56023</v>
      </c>
      <c r="C12480" t="inlineStr">
        <is>
          <t>1432/02/30</t>
        </is>
      </c>
    </row>
    <row r="12481">
      <c r="A12481" t="n">
        <v>14320231</v>
      </c>
      <c r="B12481" t="n">
        <v>56024</v>
      </c>
      <c r="C12481" t="inlineStr">
        <is>
          <t>1432/02/31</t>
        </is>
      </c>
    </row>
    <row r="12482">
      <c r="A12482" t="n">
        <v>14320301</v>
      </c>
      <c r="B12482" t="n">
        <v>56025</v>
      </c>
      <c r="C12482" t="inlineStr">
        <is>
          <t>1432/03/01</t>
        </is>
      </c>
    </row>
    <row r="12483">
      <c r="A12483" t="n">
        <v>14320302</v>
      </c>
      <c r="B12483" t="n">
        <v>56026</v>
      </c>
      <c r="C12483" t="inlineStr">
        <is>
          <t>1432/03/02</t>
        </is>
      </c>
    </row>
    <row r="12484">
      <c r="A12484" t="n">
        <v>14320303</v>
      </c>
      <c r="B12484" t="n">
        <v>56027</v>
      </c>
      <c r="C12484" t="inlineStr">
        <is>
          <t>1432/03/03</t>
        </is>
      </c>
    </row>
    <row r="12485">
      <c r="A12485" t="n">
        <v>14320304</v>
      </c>
      <c r="B12485" t="n">
        <v>56028</v>
      </c>
      <c r="C12485" t="inlineStr">
        <is>
          <t>1432/03/04</t>
        </is>
      </c>
    </row>
    <row r="12486">
      <c r="A12486" t="n">
        <v>14320305</v>
      </c>
      <c r="B12486" t="n">
        <v>56029</v>
      </c>
      <c r="C12486" t="inlineStr">
        <is>
          <t>1432/03/05</t>
        </is>
      </c>
    </row>
    <row r="12487">
      <c r="A12487" t="n">
        <v>14320306</v>
      </c>
      <c r="B12487" t="n">
        <v>56030</v>
      </c>
      <c r="C12487" t="inlineStr">
        <is>
          <t>1432/03/06</t>
        </is>
      </c>
    </row>
    <row r="12488">
      <c r="A12488" t="n">
        <v>14320307</v>
      </c>
      <c r="B12488" t="n">
        <v>56031</v>
      </c>
      <c r="C12488" t="inlineStr">
        <is>
          <t>1432/03/07</t>
        </is>
      </c>
    </row>
    <row r="12489">
      <c r="A12489" t="n">
        <v>14320308</v>
      </c>
      <c r="B12489" t="n">
        <v>56032</v>
      </c>
      <c r="C12489" t="inlineStr">
        <is>
          <t>1432/03/08</t>
        </is>
      </c>
    </row>
    <row r="12490">
      <c r="A12490" t="n">
        <v>14320309</v>
      </c>
      <c r="B12490" t="n">
        <v>56033</v>
      </c>
      <c r="C12490" t="inlineStr">
        <is>
          <t>1432/03/09</t>
        </is>
      </c>
    </row>
    <row r="12491">
      <c r="A12491" t="n">
        <v>14320310</v>
      </c>
      <c r="B12491" t="n">
        <v>56034</v>
      </c>
      <c r="C12491" t="inlineStr">
        <is>
          <t>1432/03/10</t>
        </is>
      </c>
    </row>
    <row r="12492">
      <c r="A12492" t="n">
        <v>14320311</v>
      </c>
      <c r="B12492" t="n">
        <v>56035</v>
      </c>
      <c r="C12492" t="inlineStr">
        <is>
          <t>1432/03/11</t>
        </is>
      </c>
    </row>
    <row r="12493">
      <c r="A12493" t="n">
        <v>14320312</v>
      </c>
      <c r="B12493" t="n">
        <v>56036</v>
      </c>
      <c r="C12493" t="inlineStr">
        <is>
          <t>1432/03/12</t>
        </is>
      </c>
    </row>
    <row r="12494">
      <c r="A12494" t="n">
        <v>14320313</v>
      </c>
      <c r="B12494" t="n">
        <v>56037</v>
      </c>
      <c r="C12494" t="inlineStr">
        <is>
          <t>1432/03/13</t>
        </is>
      </c>
    </row>
    <row r="12495">
      <c r="A12495" t="n">
        <v>14320314</v>
      </c>
      <c r="B12495" t="n">
        <v>56038</v>
      </c>
      <c r="C12495" t="inlineStr">
        <is>
          <t>1432/03/14</t>
        </is>
      </c>
    </row>
    <row r="12496">
      <c r="A12496" t="n">
        <v>14320315</v>
      </c>
      <c r="B12496" t="n">
        <v>56039</v>
      </c>
      <c r="C12496" t="inlineStr">
        <is>
          <t>1432/03/15</t>
        </is>
      </c>
    </row>
    <row r="12497">
      <c r="A12497" t="n">
        <v>14320316</v>
      </c>
      <c r="B12497" t="n">
        <v>56040</v>
      </c>
      <c r="C12497" t="inlineStr">
        <is>
          <t>1432/03/16</t>
        </is>
      </c>
    </row>
    <row r="12498">
      <c r="A12498" t="n">
        <v>14320317</v>
      </c>
      <c r="B12498" t="n">
        <v>56041</v>
      </c>
      <c r="C12498" t="inlineStr">
        <is>
          <t>1432/03/17</t>
        </is>
      </c>
    </row>
    <row r="12499">
      <c r="A12499" t="n">
        <v>14320318</v>
      </c>
      <c r="B12499" t="n">
        <v>56042</v>
      </c>
      <c r="C12499" t="inlineStr">
        <is>
          <t>1432/03/18</t>
        </is>
      </c>
    </row>
    <row r="12500">
      <c r="A12500" t="n">
        <v>14320319</v>
      </c>
      <c r="B12500" t="n">
        <v>56043</v>
      </c>
      <c r="C12500" t="inlineStr">
        <is>
          <t>1432/03/19</t>
        </is>
      </c>
    </row>
    <row r="12501">
      <c r="A12501" t="n">
        <v>14320320</v>
      </c>
      <c r="B12501" t="n">
        <v>56044</v>
      </c>
      <c r="C12501" t="inlineStr">
        <is>
          <t>1432/03/20</t>
        </is>
      </c>
    </row>
    <row r="12502">
      <c r="A12502" t="n">
        <v>14320321</v>
      </c>
      <c r="B12502" t="n">
        <v>56045</v>
      </c>
      <c r="C12502" t="inlineStr">
        <is>
          <t>1432/03/21</t>
        </is>
      </c>
    </row>
    <row r="12503">
      <c r="A12503" t="n">
        <v>14320322</v>
      </c>
      <c r="B12503" t="n">
        <v>56046</v>
      </c>
      <c r="C12503" t="inlineStr">
        <is>
          <t>1432/03/22</t>
        </is>
      </c>
    </row>
    <row r="12504">
      <c r="A12504" t="n">
        <v>14320323</v>
      </c>
      <c r="B12504" t="n">
        <v>56047</v>
      </c>
      <c r="C12504" t="inlineStr">
        <is>
          <t>1432/03/23</t>
        </is>
      </c>
    </row>
    <row r="12505">
      <c r="A12505" t="n">
        <v>14320324</v>
      </c>
      <c r="B12505" t="n">
        <v>56048</v>
      </c>
      <c r="C12505" t="inlineStr">
        <is>
          <t>1432/03/24</t>
        </is>
      </c>
    </row>
    <row r="12506">
      <c r="A12506" t="n">
        <v>14320325</v>
      </c>
      <c r="B12506" t="n">
        <v>56049</v>
      </c>
      <c r="C12506" t="inlineStr">
        <is>
          <t>1432/03/25</t>
        </is>
      </c>
    </row>
    <row r="12507">
      <c r="A12507" t="n">
        <v>14320326</v>
      </c>
      <c r="B12507" t="n">
        <v>56050</v>
      </c>
      <c r="C12507" t="inlineStr">
        <is>
          <t>1432/03/26</t>
        </is>
      </c>
    </row>
    <row r="12508">
      <c r="A12508" t="n">
        <v>14320327</v>
      </c>
      <c r="B12508" t="n">
        <v>56051</v>
      </c>
      <c r="C12508" t="inlineStr">
        <is>
          <t>1432/03/27</t>
        </is>
      </c>
    </row>
    <row r="12509">
      <c r="A12509" t="n">
        <v>14320328</v>
      </c>
      <c r="B12509" t="n">
        <v>56052</v>
      </c>
      <c r="C12509" t="inlineStr">
        <is>
          <t>1432/03/28</t>
        </is>
      </c>
    </row>
    <row r="12510">
      <c r="A12510" t="n">
        <v>14320329</v>
      </c>
      <c r="B12510" t="n">
        <v>56053</v>
      </c>
      <c r="C12510" t="inlineStr">
        <is>
          <t>1432/03/29</t>
        </is>
      </c>
    </row>
    <row r="12511">
      <c r="A12511" t="n">
        <v>14320330</v>
      </c>
      <c r="B12511" t="n">
        <v>56054</v>
      </c>
      <c r="C12511" t="inlineStr">
        <is>
          <t>1432/03/30</t>
        </is>
      </c>
    </row>
    <row r="12512">
      <c r="A12512" t="n">
        <v>14320331</v>
      </c>
      <c r="B12512" t="n">
        <v>56055</v>
      </c>
      <c r="C12512" t="inlineStr">
        <is>
          <t>1432/03/31</t>
        </is>
      </c>
    </row>
    <row r="12513">
      <c r="A12513" t="n">
        <v>14320401</v>
      </c>
      <c r="B12513" t="n">
        <v>56056</v>
      </c>
      <c r="C12513" t="inlineStr">
        <is>
          <t>1432/04/01</t>
        </is>
      </c>
    </row>
    <row r="12514">
      <c r="A12514" t="n">
        <v>14320402</v>
      </c>
      <c r="B12514" t="n">
        <v>56057</v>
      </c>
      <c r="C12514" t="inlineStr">
        <is>
          <t>1432/04/02</t>
        </is>
      </c>
    </row>
    <row r="12515">
      <c r="A12515" t="n">
        <v>14320403</v>
      </c>
      <c r="B12515" t="n">
        <v>56058</v>
      </c>
      <c r="C12515" t="inlineStr">
        <is>
          <t>1432/04/03</t>
        </is>
      </c>
    </row>
    <row r="12516">
      <c r="A12516" t="n">
        <v>14320404</v>
      </c>
      <c r="B12516" t="n">
        <v>56059</v>
      </c>
      <c r="C12516" t="inlineStr">
        <is>
          <t>1432/04/04</t>
        </is>
      </c>
    </row>
    <row r="12517">
      <c r="A12517" t="n">
        <v>14320405</v>
      </c>
      <c r="B12517" t="n">
        <v>56060</v>
      </c>
      <c r="C12517" t="inlineStr">
        <is>
          <t>1432/04/05</t>
        </is>
      </c>
    </row>
    <row r="12518">
      <c r="A12518" t="n">
        <v>14320406</v>
      </c>
      <c r="B12518" t="n">
        <v>56061</v>
      </c>
      <c r="C12518" t="inlineStr">
        <is>
          <t>1432/04/06</t>
        </is>
      </c>
    </row>
    <row r="12519">
      <c r="A12519" t="n">
        <v>14320407</v>
      </c>
      <c r="B12519" t="n">
        <v>56062</v>
      </c>
      <c r="C12519" t="inlineStr">
        <is>
          <t>1432/04/07</t>
        </is>
      </c>
    </row>
    <row r="12520">
      <c r="A12520" t="n">
        <v>14320408</v>
      </c>
      <c r="B12520" t="n">
        <v>56063</v>
      </c>
      <c r="C12520" t="inlineStr">
        <is>
          <t>1432/04/08</t>
        </is>
      </c>
    </row>
    <row r="12521">
      <c r="A12521" t="n">
        <v>14320409</v>
      </c>
      <c r="B12521" t="n">
        <v>56064</v>
      </c>
      <c r="C12521" t="inlineStr">
        <is>
          <t>1432/04/09</t>
        </is>
      </c>
    </row>
    <row r="12522">
      <c r="A12522" t="n">
        <v>14320410</v>
      </c>
      <c r="B12522" t="n">
        <v>56065</v>
      </c>
      <c r="C12522" t="inlineStr">
        <is>
          <t>1432/04/10</t>
        </is>
      </c>
    </row>
    <row r="12523">
      <c r="A12523" t="n">
        <v>14320411</v>
      </c>
      <c r="B12523" t="n">
        <v>56066</v>
      </c>
      <c r="C12523" t="inlineStr">
        <is>
          <t>1432/04/11</t>
        </is>
      </c>
    </row>
    <row r="12524">
      <c r="A12524" t="n">
        <v>14320412</v>
      </c>
      <c r="B12524" t="n">
        <v>56067</v>
      </c>
      <c r="C12524" t="inlineStr">
        <is>
          <t>1432/04/12</t>
        </is>
      </c>
    </row>
    <row r="12525">
      <c r="A12525" t="n">
        <v>14320413</v>
      </c>
      <c r="B12525" t="n">
        <v>56068</v>
      </c>
      <c r="C12525" t="inlineStr">
        <is>
          <t>1432/04/13</t>
        </is>
      </c>
    </row>
    <row r="12526">
      <c r="A12526" t="n">
        <v>14320414</v>
      </c>
      <c r="B12526" t="n">
        <v>56069</v>
      </c>
      <c r="C12526" t="inlineStr">
        <is>
          <t>1432/04/14</t>
        </is>
      </c>
    </row>
    <row r="12527">
      <c r="A12527" t="n">
        <v>14320415</v>
      </c>
      <c r="B12527" t="n">
        <v>56070</v>
      </c>
      <c r="C12527" t="inlineStr">
        <is>
          <t>1432/04/15</t>
        </is>
      </c>
    </row>
    <row r="12528">
      <c r="A12528" t="n">
        <v>14320416</v>
      </c>
      <c r="B12528" t="n">
        <v>56071</v>
      </c>
      <c r="C12528" t="inlineStr">
        <is>
          <t>1432/04/16</t>
        </is>
      </c>
    </row>
    <row r="12529">
      <c r="A12529" t="n">
        <v>14320417</v>
      </c>
      <c r="B12529" t="n">
        <v>56072</v>
      </c>
      <c r="C12529" t="inlineStr">
        <is>
          <t>1432/04/17</t>
        </is>
      </c>
    </row>
    <row r="12530">
      <c r="A12530" t="n">
        <v>14320418</v>
      </c>
      <c r="B12530" t="n">
        <v>56073</v>
      </c>
      <c r="C12530" t="inlineStr">
        <is>
          <t>1432/04/18</t>
        </is>
      </c>
    </row>
    <row r="12531">
      <c r="A12531" t="n">
        <v>14320419</v>
      </c>
      <c r="B12531" t="n">
        <v>56074</v>
      </c>
      <c r="C12531" t="inlineStr">
        <is>
          <t>1432/04/19</t>
        </is>
      </c>
    </row>
    <row r="12532">
      <c r="A12532" t="n">
        <v>14320420</v>
      </c>
      <c r="B12532" t="n">
        <v>56075</v>
      </c>
      <c r="C12532" t="inlineStr">
        <is>
          <t>1432/04/20</t>
        </is>
      </c>
    </row>
    <row r="12533">
      <c r="A12533" t="n">
        <v>14320421</v>
      </c>
      <c r="B12533" t="n">
        <v>56076</v>
      </c>
      <c r="C12533" t="inlineStr">
        <is>
          <t>1432/04/21</t>
        </is>
      </c>
    </row>
    <row r="12534">
      <c r="A12534" t="n">
        <v>14320422</v>
      </c>
      <c r="B12534" t="n">
        <v>56077</v>
      </c>
      <c r="C12534" t="inlineStr">
        <is>
          <t>1432/04/22</t>
        </is>
      </c>
    </row>
    <row r="12535">
      <c r="A12535" t="n">
        <v>14320423</v>
      </c>
      <c r="B12535" t="n">
        <v>56078</v>
      </c>
      <c r="C12535" t="inlineStr">
        <is>
          <t>1432/04/23</t>
        </is>
      </c>
    </row>
    <row r="12536">
      <c r="A12536" t="n">
        <v>14320424</v>
      </c>
      <c r="B12536" t="n">
        <v>56079</v>
      </c>
      <c r="C12536" t="inlineStr">
        <is>
          <t>1432/04/24</t>
        </is>
      </c>
    </row>
    <row r="12537">
      <c r="A12537" t="n">
        <v>14320425</v>
      </c>
      <c r="B12537" t="n">
        <v>56080</v>
      </c>
      <c r="C12537" t="inlineStr">
        <is>
          <t>1432/04/25</t>
        </is>
      </c>
    </row>
    <row r="12538">
      <c r="A12538" t="n">
        <v>14320426</v>
      </c>
      <c r="B12538" t="n">
        <v>56081</v>
      </c>
      <c r="C12538" t="inlineStr">
        <is>
          <t>1432/04/26</t>
        </is>
      </c>
    </row>
    <row r="12539">
      <c r="A12539" t="n">
        <v>14320427</v>
      </c>
      <c r="B12539" t="n">
        <v>56082</v>
      </c>
      <c r="C12539" t="inlineStr">
        <is>
          <t>1432/04/27</t>
        </is>
      </c>
    </row>
    <row r="12540">
      <c r="A12540" t="n">
        <v>14320428</v>
      </c>
      <c r="B12540" t="n">
        <v>56083</v>
      </c>
      <c r="C12540" t="inlineStr">
        <is>
          <t>1432/04/28</t>
        </is>
      </c>
    </row>
    <row r="12541">
      <c r="A12541" t="n">
        <v>14320429</v>
      </c>
      <c r="B12541" t="n">
        <v>56084</v>
      </c>
      <c r="C12541" t="inlineStr">
        <is>
          <t>1432/04/29</t>
        </is>
      </c>
    </row>
    <row r="12542">
      <c r="A12542" t="n">
        <v>14320430</v>
      </c>
      <c r="B12542" t="n">
        <v>56085</v>
      </c>
      <c r="C12542" t="inlineStr">
        <is>
          <t>1432/04/30</t>
        </is>
      </c>
    </row>
    <row r="12543">
      <c r="A12543" t="n">
        <v>14320431</v>
      </c>
      <c r="B12543" t="n">
        <v>56086</v>
      </c>
      <c r="C12543" t="inlineStr">
        <is>
          <t>1432/04/31</t>
        </is>
      </c>
    </row>
    <row r="12544">
      <c r="A12544" t="n">
        <v>14320501</v>
      </c>
      <c r="B12544" t="n">
        <v>56087</v>
      </c>
      <c r="C12544" t="inlineStr">
        <is>
          <t>1432/05/01</t>
        </is>
      </c>
    </row>
    <row r="12545">
      <c r="A12545" t="n">
        <v>14320502</v>
      </c>
      <c r="B12545" t="n">
        <v>56088</v>
      </c>
      <c r="C12545" t="inlineStr">
        <is>
          <t>1432/05/02</t>
        </is>
      </c>
    </row>
    <row r="12546">
      <c r="A12546" t="n">
        <v>14320503</v>
      </c>
      <c r="B12546" t="n">
        <v>56089</v>
      </c>
      <c r="C12546" t="inlineStr">
        <is>
          <t>1432/05/03</t>
        </is>
      </c>
    </row>
    <row r="12547">
      <c r="A12547" t="n">
        <v>14320504</v>
      </c>
      <c r="B12547" t="n">
        <v>56090</v>
      </c>
      <c r="C12547" t="inlineStr">
        <is>
          <t>1432/05/04</t>
        </is>
      </c>
    </row>
    <row r="12548">
      <c r="A12548" t="n">
        <v>14320505</v>
      </c>
      <c r="B12548" t="n">
        <v>56091</v>
      </c>
      <c r="C12548" t="inlineStr">
        <is>
          <t>1432/05/05</t>
        </is>
      </c>
    </row>
    <row r="12549">
      <c r="A12549" t="n">
        <v>14320506</v>
      </c>
      <c r="B12549" t="n">
        <v>56092</v>
      </c>
      <c r="C12549" t="inlineStr">
        <is>
          <t>1432/05/06</t>
        </is>
      </c>
    </row>
    <row r="12550">
      <c r="A12550" t="n">
        <v>14320507</v>
      </c>
      <c r="B12550" t="n">
        <v>56093</v>
      </c>
      <c r="C12550" t="inlineStr">
        <is>
          <t>1432/05/07</t>
        </is>
      </c>
    </row>
    <row r="12551">
      <c r="A12551" t="n">
        <v>14320508</v>
      </c>
      <c r="B12551" t="n">
        <v>56094</v>
      </c>
      <c r="C12551" t="inlineStr">
        <is>
          <t>1432/05/08</t>
        </is>
      </c>
    </row>
    <row r="12552">
      <c r="A12552" t="n">
        <v>14320509</v>
      </c>
      <c r="B12552" t="n">
        <v>56095</v>
      </c>
      <c r="C12552" t="inlineStr">
        <is>
          <t>1432/05/09</t>
        </is>
      </c>
    </row>
    <row r="12553">
      <c r="A12553" t="n">
        <v>14320510</v>
      </c>
      <c r="B12553" t="n">
        <v>56096</v>
      </c>
      <c r="C12553" t="inlineStr">
        <is>
          <t>1432/05/10</t>
        </is>
      </c>
    </row>
    <row r="12554">
      <c r="A12554" t="n">
        <v>14320511</v>
      </c>
      <c r="B12554" t="n">
        <v>56097</v>
      </c>
      <c r="C12554" t="inlineStr">
        <is>
          <t>1432/05/11</t>
        </is>
      </c>
    </row>
    <row r="12555">
      <c r="A12555" t="n">
        <v>14320512</v>
      </c>
      <c r="B12555" t="n">
        <v>56098</v>
      </c>
      <c r="C12555" t="inlineStr">
        <is>
          <t>1432/05/12</t>
        </is>
      </c>
    </row>
    <row r="12556">
      <c r="A12556" t="n">
        <v>14320513</v>
      </c>
      <c r="B12556" t="n">
        <v>56099</v>
      </c>
      <c r="C12556" t="inlineStr">
        <is>
          <t>1432/05/13</t>
        </is>
      </c>
    </row>
    <row r="12557">
      <c r="A12557" t="n">
        <v>14320514</v>
      </c>
      <c r="B12557" t="n">
        <v>56100</v>
      </c>
      <c r="C12557" t="inlineStr">
        <is>
          <t>1432/05/14</t>
        </is>
      </c>
    </row>
    <row r="12558">
      <c r="A12558" t="n">
        <v>14320515</v>
      </c>
      <c r="B12558" t="n">
        <v>56101</v>
      </c>
      <c r="C12558" t="inlineStr">
        <is>
          <t>1432/05/15</t>
        </is>
      </c>
    </row>
    <row r="12559">
      <c r="A12559" t="n">
        <v>14320516</v>
      </c>
      <c r="B12559" t="n">
        <v>56102</v>
      </c>
      <c r="C12559" t="inlineStr">
        <is>
          <t>1432/05/16</t>
        </is>
      </c>
    </row>
    <row r="12560">
      <c r="A12560" t="n">
        <v>14320517</v>
      </c>
      <c r="B12560" t="n">
        <v>56103</v>
      </c>
      <c r="C12560" t="inlineStr">
        <is>
          <t>1432/05/17</t>
        </is>
      </c>
    </row>
    <row r="12561">
      <c r="A12561" t="n">
        <v>14320518</v>
      </c>
      <c r="B12561" t="n">
        <v>56104</v>
      </c>
      <c r="C12561" t="inlineStr">
        <is>
          <t>1432/05/18</t>
        </is>
      </c>
    </row>
    <row r="12562">
      <c r="A12562" t="n">
        <v>14320519</v>
      </c>
      <c r="B12562" t="n">
        <v>56105</v>
      </c>
      <c r="C12562" t="inlineStr">
        <is>
          <t>1432/05/19</t>
        </is>
      </c>
    </row>
    <row r="12563">
      <c r="A12563" t="n">
        <v>14320520</v>
      </c>
      <c r="B12563" t="n">
        <v>56106</v>
      </c>
      <c r="C12563" t="inlineStr">
        <is>
          <t>1432/05/20</t>
        </is>
      </c>
    </row>
    <row r="12564">
      <c r="A12564" t="n">
        <v>14320521</v>
      </c>
      <c r="B12564" t="n">
        <v>56107</v>
      </c>
      <c r="C12564" t="inlineStr">
        <is>
          <t>1432/05/21</t>
        </is>
      </c>
    </row>
    <row r="12565">
      <c r="A12565" t="n">
        <v>14320522</v>
      </c>
      <c r="B12565" t="n">
        <v>56108</v>
      </c>
      <c r="C12565" t="inlineStr">
        <is>
          <t>1432/05/22</t>
        </is>
      </c>
    </row>
    <row r="12566">
      <c r="A12566" t="n">
        <v>14320523</v>
      </c>
      <c r="B12566" t="n">
        <v>56109</v>
      </c>
      <c r="C12566" t="inlineStr">
        <is>
          <t>1432/05/23</t>
        </is>
      </c>
    </row>
    <row r="12567">
      <c r="A12567" t="n">
        <v>14320524</v>
      </c>
      <c r="B12567" t="n">
        <v>56110</v>
      </c>
      <c r="C12567" t="inlineStr">
        <is>
          <t>1432/05/24</t>
        </is>
      </c>
    </row>
    <row r="12568">
      <c r="A12568" t="n">
        <v>14320525</v>
      </c>
      <c r="B12568" t="n">
        <v>56111</v>
      </c>
      <c r="C12568" t="inlineStr">
        <is>
          <t>1432/05/25</t>
        </is>
      </c>
    </row>
    <row r="12569">
      <c r="A12569" t="n">
        <v>14320526</v>
      </c>
      <c r="B12569" t="n">
        <v>56112</v>
      </c>
      <c r="C12569" t="inlineStr">
        <is>
          <t>1432/05/26</t>
        </is>
      </c>
    </row>
    <row r="12570">
      <c r="A12570" t="n">
        <v>14320527</v>
      </c>
      <c r="B12570" t="n">
        <v>56113</v>
      </c>
      <c r="C12570" t="inlineStr">
        <is>
          <t>1432/05/27</t>
        </is>
      </c>
    </row>
    <row r="12571">
      <c r="A12571" t="n">
        <v>14320528</v>
      </c>
      <c r="B12571" t="n">
        <v>56114</v>
      </c>
      <c r="C12571" t="inlineStr">
        <is>
          <t>1432/05/28</t>
        </is>
      </c>
    </row>
    <row r="12572">
      <c r="A12572" t="n">
        <v>14320529</v>
      </c>
      <c r="B12572" t="n">
        <v>56115</v>
      </c>
      <c r="C12572" t="inlineStr">
        <is>
          <t>1432/05/29</t>
        </is>
      </c>
    </row>
    <row r="12573">
      <c r="A12573" t="n">
        <v>14320530</v>
      </c>
      <c r="B12573" t="n">
        <v>56116</v>
      </c>
      <c r="C12573" t="inlineStr">
        <is>
          <t>1432/05/30</t>
        </is>
      </c>
    </row>
    <row r="12574">
      <c r="A12574" t="n">
        <v>14320531</v>
      </c>
      <c r="B12574" t="n">
        <v>56117</v>
      </c>
      <c r="C12574" t="inlineStr">
        <is>
          <t>1432/05/31</t>
        </is>
      </c>
    </row>
    <row r="12575">
      <c r="A12575" t="n">
        <v>14320601</v>
      </c>
      <c r="B12575" t="n">
        <v>56118</v>
      </c>
      <c r="C12575" t="inlineStr">
        <is>
          <t>1432/06/01</t>
        </is>
      </c>
    </row>
    <row r="12576">
      <c r="A12576" t="n">
        <v>14320602</v>
      </c>
      <c r="B12576" t="n">
        <v>56119</v>
      </c>
      <c r="C12576" t="inlineStr">
        <is>
          <t>1432/06/02</t>
        </is>
      </c>
    </row>
    <row r="12577">
      <c r="A12577" t="n">
        <v>14320603</v>
      </c>
      <c r="B12577" t="n">
        <v>56120</v>
      </c>
      <c r="C12577" t="inlineStr">
        <is>
          <t>1432/06/03</t>
        </is>
      </c>
    </row>
    <row r="12578">
      <c r="A12578" t="n">
        <v>14320604</v>
      </c>
      <c r="B12578" t="n">
        <v>56121</v>
      </c>
      <c r="C12578" t="inlineStr">
        <is>
          <t>1432/06/04</t>
        </is>
      </c>
    </row>
    <row r="12579">
      <c r="A12579" t="n">
        <v>14320605</v>
      </c>
      <c r="B12579" t="n">
        <v>56122</v>
      </c>
      <c r="C12579" t="inlineStr">
        <is>
          <t>1432/06/05</t>
        </is>
      </c>
    </row>
    <row r="12580">
      <c r="A12580" t="n">
        <v>14320606</v>
      </c>
      <c r="B12580" t="n">
        <v>56123</v>
      </c>
      <c r="C12580" t="inlineStr">
        <is>
          <t>1432/06/06</t>
        </is>
      </c>
    </row>
    <row r="12581">
      <c r="A12581" t="n">
        <v>14320607</v>
      </c>
      <c r="B12581" t="n">
        <v>56124</v>
      </c>
      <c r="C12581" t="inlineStr">
        <is>
          <t>1432/06/07</t>
        </is>
      </c>
    </row>
    <row r="12582">
      <c r="A12582" t="n">
        <v>14320608</v>
      </c>
      <c r="B12582" t="n">
        <v>56125</v>
      </c>
      <c r="C12582" t="inlineStr">
        <is>
          <t>1432/06/08</t>
        </is>
      </c>
    </row>
    <row r="12583">
      <c r="A12583" t="n">
        <v>14320609</v>
      </c>
      <c r="B12583" t="n">
        <v>56126</v>
      </c>
      <c r="C12583" t="inlineStr">
        <is>
          <t>1432/06/09</t>
        </is>
      </c>
    </row>
    <row r="12584">
      <c r="A12584" t="n">
        <v>14320610</v>
      </c>
      <c r="B12584" t="n">
        <v>56127</v>
      </c>
      <c r="C12584" t="inlineStr">
        <is>
          <t>1432/06/10</t>
        </is>
      </c>
    </row>
    <row r="12585">
      <c r="A12585" t="n">
        <v>14320611</v>
      </c>
      <c r="B12585" t="n">
        <v>56128</v>
      </c>
      <c r="C12585" t="inlineStr">
        <is>
          <t>1432/06/11</t>
        </is>
      </c>
    </row>
    <row r="12586">
      <c r="A12586" t="n">
        <v>14320612</v>
      </c>
      <c r="B12586" t="n">
        <v>56129</v>
      </c>
      <c r="C12586" t="inlineStr">
        <is>
          <t>1432/06/12</t>
        </is>
      </c>
    </row>
    <row r="12587">
      <c r="A12587" t="n">
        <v>14320613</v>
      </c>
      <c r="B12587" t="n">
        <v>56130</v>
      </c>
      <c r="C12587" t="inlineStr">
        <is>
          <t>1432/06/13</t>
        </is>
      </c>
    </row>
    <row r="12588">
      <c r="A12588" t="n">
        <v>14320614</v>
      </c>
      <c r="B12588" t="n">
        <v>56131</v>
      </c>
      <c r="C12588" t="inlineStr">
        <is>
          <t>1432/06/14</t>
        </is>
      </c>
    </row>
    <row r="12589">
      <c r="A12589" t="n">
        <v>14320615</v>
      </c>
      <c r="B12589" t="n">
        <v>56132</v>
      </c>
      <c r="C12589" t="inlineStr">
        <is>
          <t>1432/06/15</t>
        </is>
      </c>
    </row>
    <row r="12590">
      <c r="A12590" t="n">
        <v>14320616</v>
      </c>
      <c r="B12590" t="n">
        <v>56133</v>
      </c>
      <c r="C12590" t="inlineStr">
        <is>
          <t>1432/06/16</t>
        </is>
      </c>
    </row>
    <row r="12591">
      <c r="A12591" t="n">
        <v>14320617</v>
      </c>
      <c r="B12591" t="n">
        <v>56134</v>
      </c>
      <c r="C12591" t="inlineStr">
        <is>
          <t>1432/06/17</t>
        </is>
      </c>
    </row>
    <row r="12592">
      <c r="A12592" t="n">
        <v>14320618</v>
      </c>
      <c r="B12592" t="n">
        <v>56135</v>
      </c>
      <c r="C12592" t="inlineStr">
        <is>
          <t>1432/06/18</t>
        </is>
      </c>
    </row>
    <row r="12593">
      <c r="A12593" t="n">
        <v>14320619</v>
      </c>
      <c r="B12593" t="n">
        <v>56136</v>
      </c>
      <c r="C12593" t="inlineStr">
        <is>
          <t>1432/06/19</t>
        </is>
      </c>
    </row>
    <row r="12594">
      <c r="A12594" t="n">
        <v>14320620</v>
      </c>
      <c r="B12594" t="n">
        <v>56137</v>
      </c>
      <c r="C12594" t="inlineStr">
        <is>
          <t>1432/06/20</t>
        </is>
      </c>
    </row>
    <row r="12595">
      <c r="A12595" t="n">
        <v>14320621</v>
      </c>
      <c r="B12595" t="n">
        <v>56138</v>
      </c>
      <c r="C12595" t="inlineStr">
        <is>
          <t>1432/06/21</t>
        </is>
      </c>
    </row>
    <row r="12596">
      <c r="A12596" t="n">
        <v>14320622</v>
      </c>
      <c r="B12596" t="n">
        <v>56139</v>
      </c>
      <c r="C12596" t="inlineStr">
        <is>
          <t>1432/06/22</t>
        </is>
      </c>
    </row>
    <row r="12597">
      <c r="A12597" t="n">
        <v>14320623</v>
      </c>
      <c r="B12597" t="n">
        <v>56140</v>
      </c>
      <c r="C12597" t="inlineStr">
        <is>
          <t>1432/06/23</t>
        </is>
      </c>
    </row>
    <row r="12598">
      <c r="A12598" t="n">
        <v>14320624</v>
      </c>
      <c r="B12598" t="n">
        <v>56141</v>
      </c>
      <c r="C12598" t="inlineStr">
        <is>
          <t>1432/06/24</t>
        </is>
      </c>
    </row>
    <row r="12599">
      <c r="A12599" t="n">
        <v>14320625</v>
      </c>
      <c r="B12599" t="n">
        <v>56142</v>
      </c>
      <c r="C12599" t="inlineStr">
        <is>
          <t>1432/06/25</t>
        </is>
      </c>
    </row>
    <row r="12600">
      <c r="A12600" t="n">
        <v>14320626</v>
      </c>
      <c r="B12600" t="n">
        <v>56143</v>
      </c>
      <c r="C12600" t="inlineStr">
        <is>
          <t>1432/06/26</t>
        </is>
      </c>
    </row>
    <row r="12601">
      <c r="A12601" t="n">
        <v>14320627</v>
      </c>
      <c r="B12601" t="n">
        <v>56144</v>
      </c>
      <c r="C12601" t="inlineStr">
        <is>
          <t>1432/06/27</t>
        </is>
      </c>
    </row>
    <row r="12602">
      <c r="A12602" t="n">
        <v>14320628</v>
      </c>
      <c r="B12602" t="n">
        <v>56145</v>
      </c>
      <c r="C12602" t="inlineStr">
        <is>
          <t>1432/06/28</t>
        </is>
      </c>
    </row>
    <row r="12603">
      <c r="A12603" t="n">
        <v>14320629</v>
      </c>
      <c r="B12603" t="n">
        <v>56146</v>
      </c>
      <c r="C12603" t="inlineStr">
        <is>
          <t>1432/06/29</t>
        </is>
      </c>
    </row>
    <row r="12604">
      <c r="A12604" t="n">
        <v>14320630</v>
      </c>
      <c r="B12604" t="n">
        <v>56147</v>
      </c>
      <c r="C12604" t="inlineStr">
        <is>
          <t>1432/06/30</t>
        </is>
      </c>
    </row>
    <row r="12605">
      <c r="A12605" t="n">
        <v>14320631</v>
      </c>
      <c r="B12605" t="n">
        <v>56148</v>
      </c>
      <c r="C12605" t="inlineStr">
        <is>
          <t>1432/06/31</t>
        </is>
      </c>
    </row>
    <row r="12606">
      <c r="A12606" t="n">
        <v>14320701</v>
      </c>
      <c r="B12606" t="n">
        <v>56149</v>
      </c>
      <c r="C12606" t="inlineStr">
        <is>
          <t>1432/07/01</t>
        </is>
      </c>
    </row>
    <row r="12607">
      <c r="A12607" t="n">
        <v>14320702</v>
      </c>
      <c r="B12607" t="n">
        <v>56150</v>
      </c>
      <c r="C12607" t="inlineStr">
        <is>
          <t>1432/07/02</t>
        </is>
      </c>
    </row>
    <row r="12608">
      <c r="A12608" t="n">
        <v>14320703</v>
      </c>
      <c r="B12608" t="n">
        <v>56151</v>
      </c>
      <c r="C12608" t="inlineStr">
        <is>
          <t>1432/07/03</t>
        </is>
      </c>
    </row>
    <row r="12609">
      <c r="A12609" t="n">
        <v>14320704</v>
      </c>
      <c r="B12609" t="n">
        <v>56152</v>
      </c>
      <c r="C12609" t="inlineStr">
        <is>
          <t>1432/07/04</t>
        </is>
      </c>
    </row>
    <row r="12610">
      <c r="A12610" t="n">
        <v>14320705</v>
      </c>
      <c r="B12610" t="n">
        <v>56153</v>
      </c>
      <c r="C12610" t="inlineStr">
        <is>
          <t>1432/07/05</t>
        </is>
      </c>
    </row>
    <row r="12611">
      <c r="A12611" t="n">
        <v>14320706</v>
      </c>
      <c r="B12611" t="n">
        <v>56154</v>
      </c>
      <c r="C12611" t="inlineStr">
        <is>
          <t>1432/07/06</t>
        </is>
      </c>
    </row>
    <row r="12612">
      <c r="A12612" t="n">
        <v>14320707</v>
      </c>
      <c r="B12612" t="n">
        <v>56155</v>
      </c>
      <c r="C12612" t="inlineStr">
        <is>
          <t>1432/07/07</t>
        </is>
      </c>
    </row>
    <row r="12613">
      <c r="A12613" t="n">
        <v>14320708</v>
      </c>
      <c r="B12613" t="n">
        <v>56156</v>
      </c>
      <c r="C12613" t="inlineStr">
        <is>
          <t>1432/07/08</t>
        </is>
      </c>
    </row>
    <row r="12614">
      <c r="A12614" t="n">
        <v>14320709</v>
      </c>
      <c r="B12614" t="n">
        <v>56157</v>
      </c>
      <c r="C12614" t="inlineStr">
        <is>
          <t>1432/07/09</t>
        </is>
      </c>
    </row>
    <row r="12615">
      <c r="A12615" t="n">
        <v>14320710</v>
      </c>
      <c r="B12615" t="n">
        <v>56158</v>
      </c>
      <c r="C12615" t="inlineStr">
        <is>
          <t>1432/07/10</t>
        </is>
      </c>
    </row>
    <row r="12616">
      <c r="A12616" t="n">
        <v>14320711</v>
      </c>
      <c r="B12616" t="n">
        <v>56159</v>
      </c>
      <c r="C12616" t="inlineStr">
        <is>
          <t>1432/07/11</t>
        </is>
      </c>
    </row>
    <row r="12617">
      <c r="A12617" t="n">
        <v>14320712</v>
      </c>
      <c r="B12617" t="n">
        <v>56160</v>
      </c>
      <c r="C12617" t="inlineStr">
        <is>
          <t>1432/07/12</t>
        </is>
      </c>
    </row>
    <row r="12618">
      <c r="A12618" t="n">
        <v>14320713</v>
      </c>
      <c r="B12618" t="n">
        <v>56161</v>
      </c>
      <c r="C12618" t="inlineStr">
        <is>
          <t>1432/07/13</t>
        </is>
      </c>
    </row>
    <row r="12619">
      <c r="A12619" t="n">
        <v>14320714</v>
      </c>
      <c r="B12619" t="n">
        <v>56162</v>
      </c>
      <c r="C12619" t="inlineStr">
        <is>
          <t>1432/07/14</t>
        </is>
      </c>
    </row>
    <row r="12620">
      <c r="A12620" t="n">
        <v>14320715</v>
      </c>
      <c r="B12620" t="n">
        <v>56163</v>
      </c>
      <c r="C12620" t="inlineStr">
        <is>
          <t>1432/07/15</t>
        </is>
      </c>
    </row>
    <row r="12621">
      <c r="A12621" t="n">
        <v>14320716</v>
      </c>
      <c r="B12621" t="n">
        <v>56164</v>
      </c>
      <c r="C12621" t="inlineStr">
        <is>
          <t>1432/07/16</t>
        </is>
      </c>
    </row>
    <row r="12622">
      <c r="A12622" t="n">
        <v>14320717</v>
      </c>
      <c r="B12622" t="n">
        <v>56165</v>
      </c>
      <c r="C12622" t="inlineStr">
        <is>
          <t>1432/07/17</t>
        </is>
      </c>
    </row>
    <row r="12623">
      <c r="A12623" t="n">
        <v>14320718</v>
      </c>
      <c r="B12623" t="n">
        <v>56166</v>
      </c>
      <c r="C12623" t="inlineStr">
        <is>
          <t>1432/07/18</t>
        </is>
      </c>
    </row>
    <row r="12624">
      <c r="A12624" t="n">
        <v>14320719</v>
      </c>
      <c r="B12624" t="n">
        <v>56167</v>
      </c>
      <c r="C12624" t="inlineStr">
        <is>
          <t>1432/07/19</t>
        </is>
      </c>
    </row>
    <row r="12625">
      <c r="A12625" t="n">
        <v>14320720</v>
      </c>
      <c r="B12625" t="n">
        <v>56168</v>
      </c>
      <c r="C12625" t="inlineStr">
        <is>
          <t>1432/07/20</t>
        </is>
      </c>
    </row>
    <row r="12626">
      <c r="A12626" t="n">
        <v>14320721</v>
      </c>
      <c r="B12626" t="n">
        <v>56169</v>
      </c>
      <c r="C12626" t="inlineStr">
        <is>
          <t>1432/07/21</t>
        </is>
      </c>
    </row>
    <row r="12627">
      <c r="A12627" t="n">
        <v>14320722</v>
      </c>
      <c r="B12627" t="n">
        <v>56170</v>
      </c>
      <c r="C12627" t="inlineStr">
        <is>
          <t>1432/07/22</t>
        </is>
      </c>
    </row>
    <row r="12628">
      <c r="A12628" t="n">
        <v>14320723</v>
      </c>
      <c r="B12628" t="n">
        <v>56171</v>
      </c>
      <c r="C12628" t="inlineStr">
        <is>
          <t>1432/07/23</t>
        </is>
      </c>
    </row>
    <row r="12629">
      <c r="A12629" t="n">
        <v>14320724</v>
      </c>
      <c r="B12629" t="n">
        <v>56172</v>
      </c>
      <c r="C12629" t="inlineStr">
        <is>
          <t>1432/07/24</t>
        </is>
      </c>
    </row>
    <row r="12630">
      <c r="A12630" t="n">
        <v>14320725</v>
      </c>
      <c r="B12630" t="n">
        <v>56173</v>
      </c>
      <c r="C12630" t="inlineStr">
        <is>
          <t>1432/07/25</t>
        </is>
      </c>
    </row>
    <row r="12631">
      <c r="A12631" t="n">
        <v>14320726</v>
      </c>
      <c r="B12631" t="n">
        <v>56174</v>
      </c>
      <c r="C12631" t="inlineStr">
        <is>
          <t>1432/07/26</t>
        </is>
      </c>
    </row>
    <row r="12632">
      <c r="A12632" t="n">
        <v>14320727</v>
      </c>
      <c r="B12632" t="n">
        <v>56175</v>
      </c>
      <c r="C12632" t="inlineStr">
        <is>
          <t>1432/07/27</t>
        </is>
      </c>
    </row>
    <row r="12633">
      <c r="A12633" t="n">
        <v>14320728</v>
      </c>
      <c r="B12633" t="n">
        <v>56176</v>
      </c>
      <c r="C12633" t="inlineStr">
        <is>
          <t>1432/07/28</t>
        </is>
      </c>
    </row>
    <row r="12634">
      <c r="A12634" t="n">
        <v>14320729</v>
      </c>
      <c r="B12634" t="n">
        <v>56177</v>
      </c>
      <c r="C12634" t="inlineStr">
        <is>
          <t>1432/07/29</t>
        </is>
      </c>
    </row>
    <row r="12635">
      <c r="A12635" t="n">
        <v>14320730</v>
      </c>
      <c r="B12635" t="n">
        <v>56178</v>
      </c>
      <c r="C12635" t="inlineStr">
        <is>
          <t>1432/07/30</t>
        </is>
      </c>
    </row>
    <row r="12636">
      <c r="A12636" t="n">
        <v>14320801</v>
      </c>
      <c r="B12636" t="n">
        <v>56179</v>
      </c>
      <c r="C12636" t="inlineStr">
        <is>
          <t>1432/08/01</t>
        </is>
      </c>
    </row>
    <row r="12637">
      <c r="A12637" t="n">
        <v>14320802</v>
      </c>
      <c r="B12637" t="n">
        <v>56180</v>
      </c>
      <c r="C12637" t="inlineStr">
        <is>
          <t>1432/08/02</t>
        </is>
      </c>
    </row>
    <row r="12638">
      <c r="A12638" t="n">
        <v>14320803</v>
      </c>
      <c r="B12638" t="n">
        <v>56181</v>
      </c>
      <c r="C12638" t="inlineStr">
        <is>
          <t>1432/08/03</t>
        </is>
      </c>
    </row>
    <row r="12639">
      <c r="A12639" t="n">
        <v>14320804</v>
      </c>
      <c r="B12639" t="n">
        <v>56182</v>
      </c>
      <c r="C12639" t="inlineStr">
        <is>
          <t>1432/08/04</t>
        </is>
      </c>
    </row>
    <row r="12640">
      <c r="A12640" t="n">
        <v>14320805</v>
      </c>
      <c r="B12640" t="n">
        <v>56183</v>
      </c>
      <c r="C12640" t="inlineStr">
        <is>
          <t>1432/08/05</t>
        </is>
      </c>
    </row>
    <row r="12641">
      <c r="A12641" t="n">
        <v>14320806</v>
      </c>
      <c r="B12641" t="n">
        <v>56184</v>
      </c>
      <c r="C12641" t="inlineStr">
        <is>
          <t>1432/08/06</t>
        </is>
      </c>
    </row>
    <row r="12642">
      <c r="A12642" t="n">
        <v>14320807</v>
      </c>
      <c r="B12642" t="n">
        <v>56185</v>
      </c>
      <c r="C12642" t="inlineStr">
        <is>
          <t>1432/08/07</t>
        </is>
      </c>
    </row>
    <row r="12643">
      <c r="A12643" t="n">
        <v>14320808</v>
      </c>
      <c r="B12643" t="n">
        <v>56186</v>
      </c>
      <c r="C12643" t="inlineStr">
        <is>
          <t>1432/08/08</t>
        </is>
      </c>
    </row>
    <row r="12644">
      <c r="A12644" t="n">
        <v>14320809</v>
      </c>
      <c r="B12644" t="n">
        <v>56187</v>
      </c>
      <c r="C12644" t="inlineStr">
        <is>
          <t>1432/08/09</t>
        </is>
      </c>
    </row>
    <row r="12645">
      <c r="A12645" t="n">
        <v>14320810</v>
      </c>
      <c r="B12645" t="n">
        <v>56188</v>
      </c>
      <c r="C12645" t="inlineStr">
        <is>
          <t>1432/08/10</t>
        </is>
      </c>
    </row>
    <row r="12646">
      <c r="A12646" t="n">
        <v>14320811</v>
      </c>
      <c r="B12646" t="n">
        <v>56189</v>
      </c>
      <c r="C12646" t="inlineStr">
        <is>
          <t>1432/08/11</t>
        </is>
      </c>
    </row>
    <row r="12647">
      <c r="A12647" t="n">
        <v>14320812</v>
      </c>
      <c r="B12647" t="n">
        <v>56190</v>
      </c>
      <c r="C12647" t="inlineStr">
        <is>
          <t>1432/08/12</t>
        </is>
      </c>
    </row>
    <row r="12648">
      <c r="A12648" t="n">
        <v>14320813</v>
      </c>
      <c r="B12648" t="n">
        <v>56191</v>
      </c>
      <c r="C12648" t="inlineStr">
        <is>
          <t>1432/08/13</t>
        </is>
      </c>
    </row>
    <row r="12649">
      <c r="A12649" t="n">
        <v>14320814</v>
      </c>
      <c r="B12649" t="n">
        <v>56192</v>
      </c>
      <c r="C12649" t="inlineStr">
        <is>
          <t>1432/08/14</t>
        </is>
      </c>
    </row>
    <row r="12650">
      <c r="A12650" t="n">
        <v>14320815</v>
      </c>
      <c r="B12650" t="n">
        <v>56193</v>
      </c>
      <c r="C12650" t="inlineStr">
        <is>
          <t>1432/08/15</t>
        </is>
      </c>
    </row>
    <row r="12651">
      <c r="A12651" t="n">
        <v>14320816</v>
      </c>
      <c r="B12651" t="n">
        <v>56194</v>
      </c>
      <c r="C12651" t="inlineStr">
        <is>
          <t>1432/08/16</t>
        </is>
      </c>
    </row>
    <row r="12652">
      <c r="A12652" t="n">
        <v>14320817</v>
      </c>
      <c r="B12652" t="n">
        <v>56195</v>
      </c>
      <c r="C12652" t="inlineStr">
        <is>
          <t>1432/08/17</t>
        </is>
      </c>
    </row>
    <row r="12653">
      <c r="A12653" t="n">
        <v>14320818</v>
      </c>
      <c r="B12653" t="n">
        <v>56196</v>
      </c>
      <c r="C12653" t="inlineStr">
        <is>
          <t>1432/08/18</t>
        </is>
      </c>
    </row>
    <row r="12654">
      <c r="A12654" t="n">
        <v>14320819</v>
      </c>
      <c r="B12654" t="n">
        <v>56197</v>
      </c>
      <c r="C12654" t="inlineStr">
        <is>
          <t>1432/08/19</t>
        </is>
      </c>
    </row>
    <row r="12655">
      <c r="A12655" t="n">
        <v>14320820</v>
      </c>
      <c r="B12655" t="n">
        <v>56198</v>
      </c>
      <c r="C12655" t="inlineStr">
        <is>
          <t>1432/08/20</t>
        </is>
      </c>
    </row>
    <row r="12656">
      <c r="A12656" t="n">
        <v>14320821</v>
      </c>
      <c r="B12656" t="n">
        <v>56199</v>
      </c>
      <c r="C12656" t="inlineStr">
        <is>
          <t>1432/08/21</t>
        </is>
      </c>
    </row>
    <row r="12657">
      <c r="A12657" t="n">
        <v>14320822</v>
      </c>
      <c r="B12657" t="n">
        <v>56200</v>
      </c>
      <c r="C12657" t="inlineStr">
        <is>
          <t>1432/08/22</t>
        </is>
      </c>
    </row>
    <row r="12658">
      <c r="A12658" t="n">
        <v>14320823</v>
      </c>
      <c r="B12658" t="n">
        <v>56201</v>
      </c>
      <c r="C12658" t="inlineStr">
        <is>
          <t>1432/08/23</t>
        </is>
      </c>
    </row>
    <row r="12659">
      <c r="A12659" t="n">
        <v>14320824</v>
      </c>
      <c r="B12659" t="n">
        <v>56202</v>
      </c>
      <c r="C12659" t="inlineStr">
        <is>
          <t>1432/08/24</t>
        </is>
      </c>
    </row>
    <row r="12660">
      <c r="A12660" t="n">
        <v>14320825</v>
      </c>
      <c r="B12660" t="n">
        <v>56203</v>
      </c>
      <c r="C12660" t="inlineStr">
        <is>
          <t>1432/08/25</t>
        </is>
      </c>
    </row>
    <row r="12661">
      <c r="A12661" t="n">
        <v>14320826</v>
      </c>
      <c r="B12661" t="n">
        <v>56204</v>
      </c>
      <c r="C12661" t="inlineStr">
        <is>
          <t>1432/08/26</t>
        </is>
      </c>
    </row>
    <row r="12662">
      <c r="A12662" t="n">
        <v>14320827</v>
      </c>
      <c r="B12662" t="n">
        <v>56205</v>
      </c>
      <c r="C12662" t="inlineStr">
        <is>
          <t>1432/08/27</t>
        </is>
      </c>
    </row>
    <row r="12663">
      <c r="A12663" t="n">
        <v>14320828</v>
      </c>
      <c r="B12663" t="n">
        <v>56206</v>
      </c>
      <c r="C12663" t="inlineStr">
        <is>
          <t>1432/08/28</t>
        </is>
      </c>
    </row>
    <row r="12664">
      <c r="A12664" t="n">
        <v>14320829</v>
      </c>
      <c r="B12664" t="n">
        <v>56207</v>
      </c>
      <c r="C12664" t="inlineStr">
        <is>
          <t>1432/08/29</t>
        </is>
      </c>
    </row>
    <row r="12665">
      <c r="A12665" t="n">
        <v>14320830</v>
      </c>
      <c r="B12665" t="n">
        <v>56208</v>
      </c>
      <c r="C12665" t="inlineStr">
        <is>
          <t>1432/08/30</t>
        </is>
      </c>
    </row>
    <row r="12666">
      <c r="A12666" t="n">
        <v>14320901</v>
      </c>
      <c r="B12666" t="n">
        <v>56209</v>
      </c>
      <c r="C12666" t="inlineStr">
        <is>
          <t>1432/09/01</t>
        </is>
      </c>
    </row>
    <row r="12667">
      <c r="A12667" t="n">
        <v>14320902</v>
      </c>
      <c r="B12667" t="n">
        <v>56210</v>
      </c>
      <c r="C12667" t="inlineStr">
        <is>
          <t>1432/09/02</t>
        </is>
      </c>
    </row>
    <row r="12668">
      <c r="A12668" t="n">
        <v>14320903</v>
      </c>
      <c r="B12668" t="n">
        <v>56211</v>
      </c>
      <c r="C12668" t="inlineStr">
        <is>
          <t>1432/09/03</t>
        </is>
      </c>
    </row>
    <row r="12669">
      <c r="A12669" t="n">
        <v>14320904</v>
      </c>
      <c r="B12669" t="n">
        <v>56212</v>
      </c>
      <c r="C12669" t="inlineStr">
        <is>
          <t>1432/09/04</t>
        </is>
      </c>
    </row>
    <row r="12670">
      <c r="A12670" t="n">
        <v>14320905</v>
      </c>
      <c r="B12670" t="n">
        <v>56213</v>
      </c>
      <c r="C12670" t="inlineStr">
        <is>
          <t>1432/09/05</t>
        </is>
      </c>
    </row>
    <row r="12671">
      <c r="A12671" t="n">
        <v>14320906</v>
      </c>
      <c r="B12671" t="n">
        <v>56214</v>
      </c>
      <c r="C12671" t="inlineStr">
        <is>
          <t>1432/09/06</t>
        </is>
      </c>
    </row>
    <row r="12672">
      <c r="A12672" t="n">
        <v>14320907</v>
      </c>
      <c r="B12672" t="n">
        <v>56215</v>
      </c>
      <c r="C12672" t="inlineStr">
        <is>
          <t>1432/09/07</t>
        </is>
      </c>
    </row>
    <row r="12673">
      <c r="A12673" t="n">
        <v>14320908</v>
      </c>
      <c r="B12673" t="n">
        <v>56216</v>
      </c>
      <c r="C12673" t="inlineStr">
        <is>
          <t>1432/09/08</t>
        </is>
      </c>
    </row>
    <row r="12674">
      <c r="A12674" t="n">
        <v>14320909</v>
      </c>
      <c r="B12674" t="n">
        <v>56217</v>
      </c>
      <c r="C12674" t="inlineStr">
        <is>
          <t>1432/09/09</t>
        </is>
      </c>
    </row>
    <row r="12675">
      <c r="A12675" t="n">
        <v>14320910</v>
      </c>
      <c r="B12675" t="n">
        <v>56218</v>
      </c>
      <c r="C12675" t="inlineStr">
        <is>
          <t>1432/09/10</t>
        </is>
      </c>
    </row>
    <row r="12676">
      <c r="A12676" t="n">
        <v>14320911</v>
      </c>
      <c r="B12676" t="n">
        <v>56219</v>
      </c>
      <c r="C12676" t="inlineStr">
        <is>
          <t>1432/09/11</t>
        </is>
      </c>
    </row>
    <row r="12677">
      <c r="A12677" t="n">
        <v>14320912</v>
      </c>
      <c r="B12677" t="n">
        <v>56220</v>
      </c>
      <c r="C12677" t="inlineStr">
        <is>
          <t>1432/09/12</t>
        </is>
      </c>
    </row>
    <row r="12678">
      <c r="A12678" t="n">
        <v>14320913</v>
      </c>
      <c r="B12678" t="n">
        <v>56221</v>
      </c>
      <c r="C12678" t="inlineStr">
        <is>
          <t>1432/09/13</t>
        </is>
      </c>
    </row>
    <row r="12679">
      <c r="A12679" t="n">
        <v>14320914</v>
      </c>
      <c r="B12679" t="n">
        <v>56222</v>
      </c>
      <c r="C12679" t="inlineStr">
        <is>
          <t>1432/09/14</t>
        </is>
      </c>
    </row>
    <row r="12680">
      <c r="A12680" t="n">
        <v>14320915</v>
      </c>
      <c r="B12680" t="n">
        <v>56223</v>
      </c>
      <c r="C12680" t="inlineStr">
        <is>
          <t>1432/09/15</t>
        </is>
      </c>
    </row>
    <row r="12681">
      <c r="A12681" t="n">
        <v>14320916</v>
      </c>
      <c r="B12681" t="n">
        <v>56224</v>
      </c>
      <c r="C12681" t="inlineStr">
        <is>
          <t>1432/09/16</t>
        </is>
      </c>
    </row>
    <row r="12682">
      <c r="A12682" t="n">
        <v>14320917</v>
      </c>
      <c r="B12682" t="n">
        <v>56225</v>
      </c>
      <c r="C12682" t="inlineStr">
        <is>
          <t>1432/09/17</t>
        </is>
      </c>
    </row>
    <row r="12683">
      <c r="A12683" t="n">
        <v>14320918</v>
      </c>
      <c r="B12683" t="n">
        <v>56226</v>
      </c>
      <c r="C12683" t="inlineStr">
        <is>
          <t>1432/09/18</t>
        </is>
      </c>
    </row>
    <row r="12684">
      <c r="A12684" t="n">
        <v>14320919</v>
      </c>
      <c r="B12684" t="n">
        <v>56227</v>
      </c>
      <c r="C12684" t="inlineStr">
        <is>
          <t>1432/09/19</t>
        </is>
      </c>
    </row>
    <row r="12685">
      <c r="A12685" t="n">
        <v>14320920</v>
      </c>
      <c r="B12685" t="n">
        <v>56228</v>
      </c>
      <c r="C12685" t="inlineStr">
        <is>
          <t>1432/09/20</t>
        </is>
      </c>
    </row>
    <row r="12686">
      <c r="A12686" t="n">
        <v>14320921</v>
      </c>
      <c r="B12686" t="n">
        <v>56229</v>
      </c>
      <c r="C12686" t="inlineStr">
        <is>
          <t>1432/09/21</t>
        </is>
      </c>
    </row>
    <row r="12687">
      <c r="A12687" t="n">
        <v>14320922</v>
      </c>
      <c r="B12687" t="n">
        <v>56230</v>
      </c>
      <c r="C12687" t="inlineStr">
        <is>
          <t>1432/09/22</t>
        </is>
      </c>
    </row>
    <row r="12688">
      <c r="A12688" t="n">
        <v>14320923</v>
      </c>
      <c r="B12688" t="n">
        <v>56231</v>
      </c>
      <c r="C12688" t="inlineStr">
        <is>
          <t>1432/09/23</t>
        </is>
      </c>
    </row>
    <row r="12689">
      <c r="A12689" t="n">
        <v>14320924</v>
      </c>
      <c r="B12689" t="n">
        <v>56232</v>
      </c>
      <c r="C12689" t="inlineStr">
        <is>
          <t>1432/09/24</t>
        </is>
      </c>
    </row>
    <row r="12690">
      <c r="A12690" t="n">
        <v>14320925</v>
      </c>
      <c r="B12690" t="n">
        <v>56233</v>
      </c>
      <c r="C12690" t="inlineStr">
        <is>
          <t>1432/09/25</t>
        </is>
      </c>
    </row>
    <row r="12691">
      <c r="A12691" t="n">
        <v>14320926</v>
      </c>
      <c r="B12691" t="n">
        <v>56234</v>
      </c>
      <c r="C12691" t="inlineStr">
        <is>
          <t>1432/09/26</t>
        </is>
      </c>
    </row>
    <row r="12692">
      <c r="A12692" t="n">
        <v>14320927</v>
      </c>
      <c r="B12692" t="n">
        <v>56235</v>
      </c>
      <c r="C12692" t="inlineStr">
        <is>
          <t>1432/09/27</t>
        </is>
      </c>
    </row>
    <row r="12693">
      <c r="A12693" t="n">
        <v>14320928</v>
      </c>
      <c r="B12693" t="n">
        <v>56236</v>
      </c>
      <c r="C12693" t="inlineStr">
        <is>
          <t>1432/09/28</t>
        </is>
      </c>
    </row>
    <row r="12694">
      <c r="A12694" t="n">
        <v>14320929</v>
      </c>
      <c r="B12694" t="n">
        <v>56237</v>
      </c>
      <c r="C12694" t="inlineStr">
        <is>
          <t>1432/09/29</t>
        </is>
      </c>
    </row>
    <row r="12695">
      <c r="A12695" t="n">
        <v>14320930</v>
      </c>
      <c r="B12695" t="n">
        <v>56238</v>
      </c>
      <c r="C12695" t="inlineStr">
        <is>
          <t>1432/09/30</t>
        </is>
      </c>
    </row>
    <row r="12696">
      <c r="A12696" t="n">
        <v>14321001</v>
      </c>
      <c r="B12696" t="n">
        <v>56239</v>
      </c>
      <c r="C12696" t="inlineStr">
        <is>
          <t>1432/10/01</t>
        </is>
      </c>
    </row>
    <row r="12697">
      <c r="A12697" t="n">
        <v>14321002</v>
      </c>
      <c r="B12697" t="n">
        <v>56240</v>
      </c>
      <c r="C12697" t="inlineStr">
        <is>
          <t>1432/10/02</t>
        </is>
      </c>
    </row>
    <row r="12698">
      <c r="A12698" t="n">
        <v>14321003</v>
      </c>
      <c r="B12698" t="n">
        <v>56241</v>
      </c>
      <c r="C12698" t="inlineStr">
        <is>
          <t>1432/10/03</t>
        </is>
      </c>
    </row>
    <row r="12699">
      <c r="A12699" t="n">
        <v>14321004</v>
      </c>
      <c r="B12699" t="n">
        <v>56242</v>
      </c>
      <c r="C12699" t="inlineStr">
        <is>
          <t>1432/10/04</t>
        </is>
      </c>
    </row>
    <row r="12700">
      <c r="A12700" t="n">
        <v>14321005</v>
      </c>
      <c r="B12700" t="n">
        <v>56243</v>
      </c>
      <c r="C12700" t="inlineStr">
        <is>
          <t>1432/10/05</t>
        </is>
      </c>
    </row>
    <row r="12701">
      <c r="A12701" t="n">
        <v>14321006</v>
      </c>
      <c r="B12701" t="n">
        <v>56244</v>
      </c>
      <c r="C12701" t="inlineStr">
        <is>
          <t>1432/10/06</t>
        </is>
      </c>
    </row>
    <row r="12702">
      <c r="A12702" t="n">
        <v>14321007</v>
      </c>
      <c r="B12702" t="n">
        <v>56245</v>
      </c>
      <c r="C12702" t="inlineStr">
        <is>
          <t>1432/10/07</t>
        </is>
      </c>
    </row>
    <row r="12703">
      <c r="A12703" t="n">
        <v>14321008</v>
      </c>
      <c r="B12703" t="n">
        <v>56246</v>
      </c>
      <c r="C12703" t="inlineStr">
        <is>
          <t>1432/10/08</t>
        </is>
      </c>
    </row>
    <row r="12704">
      <c r="A12704" t="n">
        <v>14321009</v>
      </c>
      <c r="B12704" t="n">
        <v>56247</v>
      </c>
      <c r="C12704" t="inlineStr">
        <is>
          <t>1432/10/09</t>
        </is>
      </c>
    </row>
    <row r="12705">
      <c r="A12705" t="n">
        <v>14321010</v>
      </c>
      <c r="B12705" t="n">
        <v>56248</v>
      </c>
      <c r="C12705" t="inlineStr">
        <is>
          <t>1432/10/10</t>
        </is>
      </c>
    </row>
    <row r="12706">
      <c r="A12706" t="n">
        <v>14321011</v>
      </c>
      <c r="B12706" t="n">
        <v>56249</v>
      </c>
      <c r="C12706" t="inlineStr">
        <is>
          <t>1432/10/11</t>
        </is>
      </c>
    </row>
    <row r="12707">
      <c r="A12707" t="n">
        <v>14321012</v>
      </c>
      <c r="B12707" t="n">
        <v>56250</v>
      </c>
      <c r="C12707" t="inlineStr">
        <is>
          <t>1432/10/12</t>
        </is>
      </c>
    </row>
    <row r="12708">
      <c r="A12708" t="n">
        <v>14321013</v>
      </c>
      <c r="B12708" t="n">
        <v>56251</v>
      </c>
      <c r="C12708" t="inlineStr">
        <is>
          <t>1432/10/13</t>
        </is>
      </c>
    </row>
    <row r="12709">
      <c r="A12709" t="n">
        <v>14321014</v>
      </c>
      <c r="B12709" t="n">
        <v>56252</v>
      </c>
      <c r="C12709" t="inlineStr">
        <is>
          <t>1432/10/14</t>
        </is>
      </c>
    </row>
    <row r="12710">
      <c r="A12710" t="n">
        <v>14321015</v>
      </c>
      <c r="B12710" t="n">
        <v>56253</v>
      </c>
      <c r="C12710" t="inlineStr">
        <is>
          <t>1432/10/15</t>
        </is>
      </c>
    </row>
    <row r="12711">
      <c r="A12711" t="n">
        <v>14321016</v>
      </c>
      <c r="B12711" t="n">
        <v>56254</v>
      </c>
      <c r="C12711" t="inlineStr">
        <is>
          <t>1432/10/16</t>
        </is>
      </c>
    </row>
    <row r="12712">
      <c r="A12712" t="n">
        <v>14321017</v>
      </c>
      <c r="B12712" t="n">
        <v>56255</v>
      </c>
      <c r="C12712" t="inlineStr">
        <is>
          <t>1432/10/17</t>
        </is>
      </c>
    </row>
    <row r="12713">
      <c r="A12713" t="n">
        <v>14321018</v>
      </c>
      <c r="B12713" t="n">
        <v>56256</v>
      </c>
      <c r="C12713" t="inlineStr">
        <is>
          <t>1432/10/18</t>
        </is>
      </c>
    </row>
    <row r="12714">
      <c r="A12714" t="n">
        <v>14321019</v>
      </c>
      <c r="B12714" t="n">
        <v>56257</v>
      </c>
      <c r="C12714" t="inlineStr">
        <is>
          <t>1432/10/19</t>
        </is>
      </c>
    </row>
    <row r="12715">
      <c r="A12715" t="n">
        <v>14321020</v>
      </c>
      <c r="B12715" t="n">
        <v>56258</v>
      </c>
      <c r="C12715" t="inlineStr">
        <is>
          <t>1432/10/20</t>
        </is>
      </c>
    </row>
    <row r="12716">
      <c r="A12716" t="n">
        <v>14321021</v>
      </c>
      <c r="B12716" t="n">
        <v>56259</v>
      </c>
      <c r="C12716" t="inlineStr">
        <is>
          <t>1432/10/21</t>
        </is>
      </c>
    </row>
    <row r="12717">
      <c r="A12717" t="n">
        <v>14321022</v>
      </c>
      <c r="B12717" t="n">
        <v>56260</v>
      </c>
      <c r="C12717" t="inlineStr">
        <is>
          <t>1432/10/22</t>
        </is>
      </c>
    </row>
    <row r="12718">
      <c r="A12718" t="n">
        <v>14321023</v>
      </c>
      <c r="B12718" t="n">
        <v>56261</v>
      </c>
      <c r="C12718" t="inlineStr">
        <is>
          <t>1432/10/23</t>
        </is>
      </c>
    </row>
    <row r="12719">
      <c r="A12719" t="n">
        <v>14321024</v>
      </c>
      <c r="B12719" t="n">
        <v>56262</v>
      </c>
      <c r="C12719" t="inlineStr">
        <is>
          <t>1432/10/24</t>
        </is>
      </c>
    </row>
    <row r="12720">
      <c r="A12720" t="n">
        <v>14321025</v>
      </c>
      <c r="B12720" t="n">
        <v>56263</v>
      </c>
      <c r="C12720" t="inlineStr">
        <is>
          <t>1432/10/25</t>
        </is>
      </c>
    </row>
    <row r="12721">
      <c r="A12721" t="n">
        <v>14321026</v>
      </c>
      <c r="B12721" t="n">
        <v>56264</v>
      </c>
      <c r="C12721" t="inlineStr">
        <is>
          <t>1432/10/26</t>
        </is>
      </c>
    </row>
    <row r="12722">
      <c r="A12722" t="n">
        <v>14321027</v>
      </c>
      <c r="B12722" t="n">
        <v>56265</v>
      </c>
      <c r="C12722" t="inlineStr">
        <is>
          <t>1432/10/27</t>
        </is>
      </c>
    </row>
    <row r="12723">
      <c r="A12723" t="n">
        <v>14321028</v>
      </c>
      <c r="B12723" t="n">
        <v>56266</v>
      </c>
      <c r="C12723" t="inlineStr">
        <is>
          <t>1432/10/28</t>
        </is>
      </c>
    </row>
    <row r="12724">
      <c r="A12724" t="n">
        <v>14321029</v>
      </c>
      <c r="B12724" t="n">
        <v>56267</v>
      </c>
      <c r="C12724" t="inlineStr">
        <is>
          <t>1432/10/29</t>
        </is>
      </c>
    </row>
    <row r="12725">
      <c r="A12725" t="n">
        <v>14321030</v>
      </c>
      <c r="B12725" t="n">
        <v>56268</v>
      </c>
      <c r="C12725" t="inlineStr">
        <is>
          <t>1432/10/30</t>
        </is>
      </c>
    </row>
    <row r="12726">
      <c r="A12726" t="n">
        <v>14321101</v>
      </c>
      <c r="B12726" t="n">
        <v>56269</v>
      </c>
      <c r="C12726" t="inlineStr">
        <is>
          <t>1432/11/01</t>
        </is>
      </c>
    </row>
    <row r="12727">
      <c r="A12727" t="n">
        <v>14321102</v>
      </c>
      <c r="B12727" t="n">
        <v>56270</v>
      </c>
      <c r="C12727" t="inlineStr">
        <is>
          <t>1432/11/02</t>
        </is>
      </c>
    </row>
    <row r="12728">
      <c r="A12728" t="n">
        <v>14321103</v>
      </c>
      <c r="B12728" t="n">
        <v>56271</v>
      </c>
      <c r="C12728" t="inlineStr">
        <is>
          <t>1432/11/03</t>
        </is>
      </c>
    </row>
    <row r="12729">
      <c r="A12729" t="n">
        <v>14321104</v>
      </c>
      <c r="B12729" t="n">
        <v>56272</v>
      </c>
      <c r="C12729" t="inlineStr">
        <is>
          <t>1432/11/04</t>
        </is>
      </c>
    </row>
    <row r="12730">
      <c r="A12730" t="n">
        <v>14321105</v>
      </c>
      <c r="B12730" t="n">
        <v>56273</v>
      </c>
      <c r="C12730" t="inlineStr">
        <is>
          <t>1432/11/05</t>
        </is>
      </c>
    </row>
    <row r="12731">
      <c r="A12731" t="n">
        <v>14321106</v>
      </c>
      <c r="B12731" t="n">
        <v>56274</v>
      </c>
      <c r="C12731" t="inlineStr">
        <is>
          <t>1432/11/06</t>
        </is>
      </c>
    </row>
    <row r="12732">
      <c r="A12732" t="n">
        <v>14321107</v>
      </c>
      <c r="B12732" t="n">
        <v>56275</v>
      </c>
      <c r="C12732" t="inlineStr">
        <is>
          <t>1432/11/07</t>
        </is>
      </c>
    </row>
    <row r="12733">
      <c r="A12733" t="n">
        <v>14321108</v>
      </c>
      <c r="B12733" t="n">
        <v>56276</v>
      </c>
      <c r="C12733" t="inlineStr">
        <is>
          <t>1432/11/08</t>
        </is>
      </c>
    </row>
    <row r="12734">
      <c r="A12734" t="n">
        <v>14321109</v>
      </c>
      <c r="B12734" t="n">
        <v>56277</v>
      </c>
      <c r="C12734" t="inlineStr">
        <is>
          <t>1432/11/09</t>
        </is>
      </c>
    </row>
    <row r="12735">
      <c r="A12735" t="n">
        <v>14321110</v>
      </c>
      <c r="B12735" t="n">
        <v>56278</v>
      </c>
      <c r="C12735" t="inlineStr">
        <is>
          <t>1432/11/10</t>
        </is>
      </c>
    </row>
    <row r="12736">
      <c r="A12736" t="n">
        <v>14321111</v>
      </c>
      <c r="B12736" t="n">
        <v>56279</v>
      </c>
      <c r="C12736" t="inlineStr">
        <is>
          <t>1432/11/11</t>
        </is>
      </c>
    </row>
    <row r="12737">
      <c r="A12737" t="n">
        <v>14321112</v>
      </c>
      <c r="B12737" t="n">
        <v>56280</v>
      </c>
      <c r="C12737" t="inlineStr">
        <is>
          <t>1432/11/12</t>
        </is>
      </c>
    </row>
    <row r="12738">
      <c r="A12738" t="n">
        <v>14321113</v>
      </c>
      <c r="B12738" t="n">
        <v>56281</v>
      </c>
      <c r="C12738" t="inlineStr">
        <is>
          <t>1432/11/13</t>
        </is>
      </c>
    </row>
    <row r="12739">
      <c r="A12739" t="n">
        <v>14321114</v>
      </c>
      <c r="B12739" t="n">
        <v>56282</v>
      </c>
      <c r="C12739" t="inlineStr">
        <is>
          <t>1432/11/14</t>
        </is>
      </c>
    </row>
    <row r="12740">
      <c r="A12740" t="n">
        <v>14321115</v>
      </c>
      <c r="B12740" t="n">
        <v>56283</v>
      </c>
      <c r="C12740" t="inlineStr">
        <is>
          <t>1432/11/15</t>
        </is>
      </c>
    </row>
    <row r="12741">
      <c r="A12741" t="n">
        <v>14321116</v>
      </c>
      <c r="B12741" t="n">
        <v>56284</v>
      </c>
      <c r="C12741" t="inlineStr">
        <is>
          <t>1432/11/16</t>
        </is>
      </c>
    </row>
    <row r="12742">
      <c r="A12742" t="n">
        <v>14321117</v>
      </c>
      <c r="B12742" t="n">
        <v>56285</v>
      </c>
      <c r="C12742" t="inlineStr">
        <is>
          <t>1432/11/17</t>
        </is>
      </c>
    </row>
    <row r="12743">
      <c r="A12743" t="n">
        <v>14321118</v>
      </c>
      <c r="B12743" t="n">
        <v>56286</v>
      </c>
      <c r="C12743" t="inlineStr">
        <is>
          <t>1432/11/18</t>
        </is>
      </c>
    </row>
    <row r="12744">
      <c r="A12744" t="n">
        <v>14321119</v>
      </c>
      <c r="B12744" t="n">
        <v>56287</v>
      </c>
      <c r="C12744" t="inlineStr">
        <is>
          <t>1432/11/19</t>
        </is>
      </c>
    </row>
    <row r="12745">
      <c r="A12745" t="n">
        <v>14321120</v>
      </c>
      <c r="B12745" t="n">
        <v>56288</v>
      </c>
      <c r="C12745" t="inlineStr">
        <is>
          <t>1432/11/20</t>
        </is>
      </c>
    </row>
    <row r="12746">
      <c r="A12746" t="n">
        <v>14321121</v>
      </c>
      <c r="B12746" t="n">
        <v>56289</v>
      </c>
      <c r="C12746" t="inlineStr">
        <is>
          <t>1432/11/21</t>
        </is>
      </c>
    </row>
    <row r="12747">
      <c r="A12747" t="n">
        <v>14321122</v>
      </c>
      <c r="B12747" t="n">
        <v>56290</v>
      </c>
      <c r="C12747" t="inlineStr">
        <is>
          <t>1432/11/22</t>
        </is>
      </c>
    </row>
    <row r="12748">
      <c r="A12748" t="n">
        <v>14321123</v>
      </c>
      <c r="B12748" t="n">
        <v>56291</v>
      </c>
      <c r="C12748" t="inlineStr">
        <is>
          <t>1432/11/23</t>
        </is>
      </c>
    </row>
    <row r="12749">
      <c r="A12749" t="n">
        <v>14321124</v>
      </c>
      <c r="B12749" t="n">
        <v>56292</v>
      </c>
      <c r="C12749" t="inlineStr">
        <is>
          <t>1432/11/24</t>
        </is>
      </c>
    </row>
    <row r="12750">
      <c r="A12750" t="n">
        <v>14321125</v>
      </c>
      <c r="B12750" t="n">
        <v>56293</v>
      </c>
      <c r="C12750" t="inlineStr">
        <is>
          <t>1432/11/25</t>
        </is>
      </c>
    </row>
    <row r="12751">
      <c r="A12751" t="n">
        <v>14321126</v>
      </c>
      <c r="B12751" t="n">
        <v>56294</v>
      </c>
      <c r="C12751" t="inlineStr">
        <is>
          <t>1432/11/26</t>
        </is>
      </c>
    </row>
    <row r="12752">
      <c r="A12752" t="n">
        <v>14321127</v>
      </c>
      <c r="B12752" t="n">
        <v>56295</v>
      </c>
      <c r="C12752" t="inlineStr">
        <is>
          <t>1432/11/27</t>
        </is>
      </c>
    </row>
    <row r="12753">
      <c r="A12753" t="n">
        <v>14321128</v>
      </c>
      <c r="B12753" t="n">
        <v>56296</v>
      </c>
      <c r="C12753" t="inlineStr">
        <is>
          <t>1432/11/28</t>
        </is>
      </c>
    </row>
    <row r="12754">
      <c r="A12754" t="n">
        <v>14321129</v>
      </c>
      <c r="B12754" t="n">
        <v>56297</v>
      </c>
      <c r="C12754" t="inlineStr">
        <is>
          <t>1432/11/29</t>
        </is>
      </c>
    </row>
    <row r="12755">
      <c r="A12755" t="n">
        <v>14321130</v>
      </c>
      <c r="B12755" t="n">
        <v>56298</v>
      </c>
      <c r="C12755" t="inlineStr">
        <is>
          <t>1432/11/30</t>
        </is>
      </c>
    </row>
    <row r="12756">
      <c r="A12756" t="n">
        <v>14321201</v>
      </c>
      <c r="B12756" t="n">
        <v>56299</v>
      </c>
      <c r="C12756" t="inlineStr">
        <is>
          <t>1432/12/01</t>
        </is>
      </c>
    </row>
    <row r="12757">
      <c r="A12757" t="n">
        <v>14321202</v>
      </c>
      <c r="B12757" t="n">
        <v>56300</v>
      </c>
      <c r="C12757" t="inlineStr">
        <is>
          <t>1432/12/02</t>
        </is>
      </c>
    </row>
    <row r="12758">
      <c r="A12758" t="n">
        <v>14321203</v>
      </c>
      <c r="B12758" t="n">
        <v>56301</v>
      </c>
      <c r="C12758" t="inlineStr">
        <is>
          <t>1432/12/03</t>
        </is>
      </c>
    </row>
    <row r="12759">
      <c r="A12759" t="n">
        <v>14321204</v>
      </c>
      <c r="B12759" t="n">
        <v>56302</v>
      </c>
      <c r="C12759" t="inlineStr">
        <is>
          <t>1432/12/04</t>
        </is>
      </c>
    </row>
    <row r="12760">
      <c r="A12760" t="n">
        <v>14321205</v>
      </c>
      <c r="B12760" t="n">
        <v>56303</v>
      </c>
      <c r="C12760" t="inlineStr">
        <is>
          <t>1432/12/05</t>
        </is>
      </c>
    </row>
    <row r="12761">
      <c r="A12761" t="n">
        <v>14321206</v>
      </c>
      <c r="B12761" t="n">
        <v>56304</v>
      </c>
      <c r="C12761" t="inlineStr">
        <is>
          <t>1432/12/06</t>
        </is>
      </c>
    </row>
    <row r="12762">
      <c r="A12762" t="n">
        <v>14321207</v>
      </c>
      <c r="B12762" t="n">
        <v>56305</v>
      </c>
      <c r="C12762" t="inlineStr">
        <is>
          <t>1432/12/07</t>
        </is>
      </c>
    </row>
    <row r="12763">
      <c r="A12763" t="n">
        <v>14321208</v>
      </c>
      <c r="B12763" t="n">
        <v>56306</v>
      </c>
      <c r="C12763" t="inlineStr">
        <is>
          <t>1432/12/08</t>
        </is>
      </c>
    </row>
    <row r="12764">
      <c r="A12764" t="n">
        <v>14321209</v>
      </c>
      <c r="B12764" t="n">
        <v>56307</v>
      </c>
      <c r="C12764" t="inlineStr">
        <is>
          <t>1432/12/09</t>
        </is>
      </c>
    </row>
    <row r="12765">
      <c r="A12765" t="n">
        <v>14321210</v>
      </c>
      <c r="B12765" t="n">
        <v>56308</v>
      </c>
      <c r="C12765" t="inlineStr">
        <is>
          <t>1432/12/10</t>
        </is>
      </c>
    </row>
    <row r="12766">
      <c r="A12766" t="n">
        <v>14321211</v>
      </c>
      <c r="B12766" t="n">
        <v>56309</v>
      </c>
      <c r="C12766" t="inlineStr">
        <is>
          <t>1432/12/11</t>
        </is>
      </c>
    </row>
    <row r="12767">
      <c r="A12767" t="n">
        <v>14321212</v>
      </c>
      <c r="B12767" t="n">
        <v>56310</v>
      </c>
      <c r="C12767" t="inlineStr">
        <is>
          <t>1432/12/12</t>
        </is>
      </c>
    </row>
    <row r="12768">
      <c r="A12768" t="n">
        <v>14321213</v>
      </c>
      <c r="B12768" t="n">
        <v>56311</v>
      </c>
      <c r="C12768" t="inlineStr">
        <is>
          <t>1432/12/13</t>
        </is>
      </c>
    </row>
    <row r="12769">
      <c r="A12769" t="n">
        <v>14321214</v>
      </c>
      <c r="B12769" t="n">
        <v>56312</v>
      </c>
      <c r="C12769" t="inlineStr">
        <is>
          <t>1432/12/14</t>
        </is>
      </c>
    </row>
    <row r="12770">
      <c r="A12770" t="n">
        <v>14321215</v>
      </c>
      <c r="B12770" t="n">
        <v>56313</v>
      </c>
      <c r="C12770" t="inlineStr">
        <is>
          <t>1432/12/15</t>
        </is>
      </c>
    </row>
    <row r="12771">
      <c r="A12771" t="n">
        <v>14321216</v>
      </c>
      <c r="B12771" t="n">
        <v>56314</v>
      </c>
      <c r="C12771" t="inlineStr">
        <is>
          <t>1432/12/16</t>
        </is>
      </c>
    </row>
    <row r="12772">
      <c r="A12772" t="n">
        <v>14321217</v>
      </c>
      <c r="B12772" t="n">
        <v>56315</v>
      </c>
      <c r="C12772" t="inlineStr">
        <is>
          <t>1432/12/17</t>
        </is>
      </c>
    </row>
    <row r="12773">
      <c r="A12773" t="n">
        <v>14321218</v>
      </c>
      <c r="B12773" t="n">
        <v>56316</v>
      </c>
      <c r="C12773" t="inlineStr">
        <is>
          <t>1432/12/18</t>
        </is>
      </c>
    </row>
    <row r="12774">
      <c r="A12774" t="n">
        <v>14321219</v>
      </c>
      <c r="B12774" t="n">
        <v>56317</v>
      </c>
      <c r="C12774" t="inlineStr">
        <is>
          <t>1432/12/19</t>
        </is>
      </c>
    </row>
    <row r="12775">
      <c r="A12775" t="n">
        <v>14321220</v>
      </c>
      <c r="B12775" t="n">
        <v>56318</v>
      </c>
      <c r="C12775" t="inlineStr">
        <is>
          <t>1432/12/20</t>
        </is>
      </c>
    </row>
    <row r="12776">
      <c r="A12776" t="n">
        <v>14321221</v>
      </c>
      <c r="B12776" t="n">
        <v>56319</v>
      </c>
      <c r="C12776" t="inlineStr">
        <is>
          <t>1432/12/21</t>
        </is>
      </c>
    </row>
    <row r="12777">
      <c r="A12777" t="n">
        <v>14321222</v>
      </c>
      <c r="B12777" t="n">
        <v>56320</v>
      </c>
      <c r="C12777" t="inlineStr">
        <is>
          <t>1432/12/22</t>
        </is>
      </c>
    </row>
    <row r="12778">
      <c r="A12778" t="n">
        <v>14321223</v>
      </c>
      <c r="B12778" t="n">
        <v>56321</v>
      </c>
      <c r="C12778" t="inlineStr">
        <is>
          <t>1432/12/23</t>
        </is>
      </c>
    </row>
    <row r="12779">
      <c r="A12779" t="n">
        <v>14321224</v>
      </c>
      <c r="B12779" t="n">
        <v>56322</v>
      </c>
      <c r="C12779" t="inlineStr">
        <is>
          <t>1432/12/24</t>
        </is>
      </c>
    </row>
    <row r="12780">
      <c r="A12780" t="n">
        <v>14321225</v>
      </c>
      <c r="B12780" t="n">
        <v>56323</v>
      </c>
      <c r="C12780" t="inlineStr">
        <is>
          <t>1432/12/25</t>
        </is>
      </c>
    </row>
    <row r="12781">
      <c r="A12781" t="n">
        <v>14321226</v>
      </c>
      <c r="B12781" t="n">
        <v>56324</v>
      </c>
      <c r="C12781" t="inlineStr">
        <is>
          <t>1432/12/26</t>
        </is>
      </c>
    </row>
    <row r="12782">
      <c r="A12782" t="n">
        <v>14321227</v>
      </c>
      <c r="B12782" t="n">
        <v>56325</v>
      </c>
      <c r="C12782" t="inlineStr">
        <is>
          <t>1432/12/27</t>
        </is>
      </c>
    </row>
    <row r="12783">
      <c r="A12783" t="n">
        <v>14321228</v>
      </c>
      <c r="B12783" t="n">
        <v>56326</v>
      </c>
      <c r="C12783" t="inlineStr">
        <is>
          <t>1432/12/28</t>
        </is>
      </c>
    </row>
    <row r="12784">
      <c r="A12784" t="n">
        <v>14321229</v>
      </c>
      <c r="B12784" t="n">
        <v>56327</v>
      </c>
      <c r="C12784" t="inlineStr">
        <is>
          <t>1432/12/29</t>
        </is>
      </c>
    </row>
    <row r="12785">
      <c r="A12785" t="n">
        <v>14321230</v>
      </c>
      <c r="B12785" t="n">
        <v>56328</v>
      </c>
      <c r="C12785" t="inlineStr">
        <is>
          <t>1432/12/30</t>
        </is>
      </c>
    </row>
    <row r="12786">
      <c r="A12786" t="n">
        <v>14330101</v>
      </c>
      <c r="B12786" t="n">
        <v>56329</v>
      </c>
      <c r="C12786" t="inlineStr">
        <is>
          <t>1433/01/01</t>
        </is>
      </c>
    </row>
    <row r="12787">
      <c r="A12787" t="n">
        <v>14330102</v>
      </c>
      <c r="B12787" t="n">
        <v>56330</v>
      </c>
      <c r="C12787" t="inlineStr">
        <is>
          <t>1433/01/02</t>
        </is>
      </c>
    </row>
    <row r="12788">
      <c r="A12788" t="n">
        <v>14330103</v>
      </c>
      <c r="B12788" t="n">
        <v>56331</v>
      </c>
      <c r="C12788" t="inlineStr">
        <is>
          <t>1433/01/03</t>
        </is>
      </c>
    </row>
    <row r="12789">
      <c r="A12789" t="n">
        <v>14330104</v>
      </c>
      <c r="B12789" t="n">
        <v>56332</v>
      </c>
      <c r="C12789" t="inlineStr">
        <is>
          <t>1433/01/04</t>
        </is>
      </c>
    </row>
    <row r="12790">
      <c r="A12790" t="n">
        <v>14330105</v>
      </c>
      <c r="B12790" t="n">
        <v>56333</v>
      </c>
      <c r="C12790" t="inlineStr">
        <is>
          <t>1433/01/05</t>
        </is>
      </c>
    </row>
    <row r="12791">
      <c r="A12791" t="n">
        <v>14330106</v>
      </c>
      <c r="B12791" t="n">
        <v>56334</v>
      </c>
      <c r="C12791" t="inlineStr">
        <is>
          <t>1433/01/06</t>
        </is>
      </c>
    </row>
    <row r="12792">
      <c r="A12792" t="n">
        <v>14330107</v>
      </c>
      <c r="B12792" t="n">
        <v>56335</v>
      </c>
      <c r="C12792" t="inlineStr">
        <is>
          <t>1433/01/07</t>
        </is>
      </c>
    </row>
    <row r="12793">
      <c r="A12793" t="n">
        <v>14330108</v>
      </c>
      <c r="B12793" t="n">
        <v>56336</v>
      </c>
      <c r="C12793" t="inlineStr">
        <is>
          <t>1433/01/08</t>
        </is>
      </c>
    </row>
    <row r="12794">
      <c r="A12794" t="n">
        <v>14330109</v>
      </c>
      <c r="B12794" t="n">
        <v>56337</v>
      </c>
      <c r="C12794" t="inlineStr">
        <is>
          <t>1433/01/09</t>
        </is>
      </c>
    </row>
    <row r="12795">
      <c r="A12795" t="n">
        <v>14330110</v>
      </c>
      <c r="B12795" t="n">
        <v>56338</v>
      </c>
      <c r="C12795" t="inlineStr">
        <is>
          <t>1433/01/10</t>
        </is>
      </c>
    </row>
    <row r="12796">
      <c r="A12796" t="n">
        <v>14330111</v>
      </c>
      <c r="B12796" t="n">
        <v>56339</v>
      </c>
      <c r="C12796" t="inlineStr">
        <is>
          <t>1433/01/11</t>
        </is>
      </c>
    </row>
    <row r="12797">
      <c r="A12797" t="n">
        <v>14330112</v>
      </c>
      <c r="B12797" t="n">
        <v>56340</v>
      </c>
      <c r="C12797" t="inlineStr">
        <is>
          <t>1433/01/12</t>
        </is>
      </c>
    </row>
    <row r="12798">
      <c r="A12798" t="n">
        <v>14330113</v>
      </c>
      <c r="B12798" t="n">
        <v>56341</v>
      </c>
      <c r="C12798" t="inlineStr">
        <is>
          <t>1433/01/13</t>
        </is>
      </c>
    </row>
    <row r="12799">
      <c r="A12799" t="n">
        <v>14330114</v>
      </c>
      <c r="B12799" t="n">
        <v>56342</v>
      </c>
      <c r="C12799" t="inlineStr">
        <is>
          <t>1433/01/14</t>
        </is>
      </c>
    </row>
    <row r="12800">
      <c r="A12800" t="n">
        <v>14330115</v>
      </c>
      <c r="B12800" t="n">
        <v>56343</v>
      </c>
      <c r="C12800" t="inlineStr">
        <is>
          <t>1433/01/15</t>
        </is>
      </c>
    </row>
    <row r="12801">
      <c r="A12801" t="n">
        <v>14330116</v>
      </c>
      <c r="B12801" t="n">
        <v>56344</v>
      </c>
      <c r="C12801" t="inlineStr">
        <is>
          <t>1433/01/16</t>
        </is>
      </c>
    </row>
    <row r="12802">
      <c r="A12802" t="n">
        <v>14330117</v>
      </c>
      <c r="B12802" t="n">
        <v>56345</v>
      </c>
      <c r="C12802" t="inlineStr">
        <is>
          <t>1433/01/17</t>
        </is>
      </c>
    </row>
    <row r="12803">
      <c r="A12803" t="n">
        <v>14330118</v>
      </c>
      <c r="B12803" t="n">
        <v>56346</v>
      </c>
      <c r="C12803" t="inlineStr">
        <is>
          <t>1433/01/18</t>
        </is>
      </c>
    </row>
    <row r="12804">
      <c r="A12804" t="n">
        <v>14330119</v>
      </c>
      <c r="B12804" t="n">
        <v>56347</v>
      </c>
      <c r="C12804" t="inlineStr">
        <is>
          <t>1433/01/19</t>
        </is>
      </c>
    </row>
    <row r="12805">
      <c r="A12805" t="n">
        <v>14330120</v>
      </c>
      <c r="B12805" t="n">
        <v>56348</v>
      </c>
      <c r="C12805" t="inlineStr">
        <is>
          <t>1433/01/20</t>
        </is>
      </c>
    </row>
    <row r="12806">
      <c r="A12806" t="n">
        <v>14330121</v>
      </c>
      <c r="B12806" t="n">
        <v>56349</v>
      </c>
      <c r="C12806" t="inlineStr">
        <is>
          <t>1433/01/21</t>
        </is>
      </c>
    </row>
    <row r="12807">
      <c r="A12807" t="n">
        <v>14330122</v>
      </c>
      <c r="B12807" t="n">
        <v>56350</v>
      </c>
      <c r="C12807" t="inlineStr">
        <is>
          <t>1433/01/22</t>
        </is>
      </c>
    </row>
    <row r="12808">
      <c r="A12808" t="n">
        <v>14330123</v>
      </c>
      <c r="B12808" t="n">
        <v>56351</v>
      </c>
      <c r="C12808" t="inlineStr">
        <is>
          <t>1433/01/23</t>
        </is>
      </c>
    </row>
    <row r="12809">
      <c r="A12809" t="n">
        <v>14330124</v>
      </c>
      <c r="B12809" t="n">
        <v>56352</v>
      </c>
      <c r="C12809" t="inlineStr">
        <is>
          <t>1433/01/24</t>
        </is>
      </c>
    </row>
    <row r="12810">
      <c r="A12810" t="n">
        <v>14330125</v>
      </c>
      <c r="B12810" t="n">
        <v>56353</v>
      </c>
      <c r="C12810" t="inlineStr">
        <is>
          <t>1433/01/25</t>
        </is>
      </c>
    </row>
    <row r="12811">
      <c r="A12811" t="n">
        <v>14330126</v>
      </c>
      <c r="B12811" t="n">
        <v>56354</v>
      </c>
      <c r="C12811" t="inlineStr">
        <is>
          <t>1433/01/26</t>
        </is>
      </c>
    </row>
    <row r="12812">
      <c r="A12812" t="n">
        <v>14330127</v>
      </c>
      <c r="B12812" t="n">
        <v>56355</v>
      </c>
      <c r="C12812" t="inlineStr">
        <is>
          <t>1433/01/27</t>
        </is>
      </c>
    </row>
    <row r="12813">
      <c r="A12813" t="n">
        <v>14330128</v>
      </c>
      <c r="B12813" t="n">
        <v>56356</v>
      </c>
      <c r="C12813" t="inlineStr">
        <is>
          <t>1433/01/28</t>
        </is>
      </c>
    </row>
    <row r="12814">
      <c r="A12814" t="n">
        <v>14330129</v>
      </c>
      <c r="B12814" t="n">
        <v>56357</v>
      </c>
      <c r="C12814" t="inlineStr">
        <is>
          <t>1433/01/29</t>
        </is>
      </c>
    </row>
    <row r="12815">
      <c r="A12815" t="n">
        <v>14330130</v>
      </c>
      <c r="B12815" t="n">
        <v>56358</v>
      </c>
      <c r="C12815" t="inlineStr">
        <is>
          <t>1433/01/30</t>
        </is>
      </c>
    </row>
    <row r="12816">
      <c r="A12816" t="n">
        <v>14330131</v>
      </c>
      <c r="B12816" t="n">
        <v>56359</v>
      </c>
      <c r="C12816" t="inlineStr">
        <is>
          <t>1433/01/31</t>
        </is>
      </c>
    </row>
    <row r="12817">
      <c r="A12817" t="n">
        <v>14330201</v>
      </c>
      <c r="B12817" t="n">
        <v>56360</v>
      </c>
      <c r="C12817" t="inlineStr">
        <is>
          <t>1433/02/01</t>
        </is>
      </c>
    </row>
    <row r="12818">
      <c r="A12818" t="n">
        <v>14330202</v>
      </c>
      <c r="B12818" t="n">
        <v>56361</v>
      </c>
      <c r="C12818" t="inlineStr">
        <is>
          <t>1433/02/02</t>
        </is>
      </c>
    </row>
    <row r="12819">
      <c r="A12819" t="n">
        <v>14330203</v>
      </c>
      <c r="B12819" t="n">
        <v>56362</v>
      </c>
      <c r="C12819" t="inlineStr">
        <is>
          <t>1433/02/03</t>
        </is>
      </c>
    </row>
    <row r="12820">
      <c r="A12820" t="n">
        <v>14330204</v>
      </c>
      <c r="B12820" t="n">
        <v>56363</v>
      </c>
      <c r="C12820" t="inlineStr">
        <is>
          <t>1433/02/04</t>
        </is>
      </c>
    </row>
    <row r="12821">
      <c r="A12821" t="n">
        <v>14330205</v>
      </c>
      <c r="B12821" t="n">
        <v>56364</v>
      </c>
      <c r="C12821" t="inlineStr">
        <is>
          <t>1433/02/05</t>
        </is>
      </c>
    </row>
    <row r="12822">
      <c r="A12822" t="n">
        <v>14330206</v>
      </c>
      <c r="B12822" t="n">
        <v>56365</v>
      </c>
      <c r="C12822" t="inlineStr">
        <is>
          <t>1433/02/06</t>
        </is>
      </c>
    </row>
    <row r="12823">
      <c r="A12823" t="n">
        <v>14330207</v>
      </c>
      <c r="B12823" t="n">
        <v>56366</v>
      </c>
      <c r="C12823" t="inlineStr">
        <is>
          <t>1433/02/07</t>
        </is>
      </c>
    </row>
    <row r="12824">
      <c r="A12824" t="n">
        <v>14330208</v>
      </c>
      <c r="B12824" t="n">
        <v>56367</v>
      </c>
      <c r="C12824" t="inlineStr">
        <is>
          <t>1433/02/08</t>
        </is>
      </c>
    </row>
    <row r="12825">
      <c r="A12825" t="n">
        <v>14330209</v>
      </c>
      <c r="B12825" t="n">
        <v>56368</v>
      </c>
      <c r="C12825" t="inlineStr">
        <is>
          <t>1433/02/09</t>
        </is>
      </c>
    </row>
    <row r="12826">
      <c r="A12826" t="n">
        <v>14330210</v>
      </c>
      <c r="B12826" t="n">
        <v>56369</v>
      </c>
      <c r="C12826" t="inlineStr">
        <is>
          <t>1433/02/10</t>
        </is>
      </c>
    </row>
    <row r="12827">
      <c r="A12827" t="n">
        <v>14330211</v>
      </c>
      <c r="B12827" t="n">
        <v>56370</v>
      </c>
      <c r="C12827" t="inlineStr">
        <is>
          <t>1433/02/11</t>
        </is>
      </c>
    </row>
    <row r="12828">
      <c r="A12828" t="n">
        <v>14330212</v>
      </c>
      <c r="B12828" t="n">
        <v>56371</v>
      </c>
      <c r="C12828" t="inlineStr">
        <is>
          <t>1433/02/12</t>
        </is>
      </c>
    </row>
    <row r="12829">
      <c r="A12829" t="n">
        <v>14330213</v>
      </c>
      <c r="B12829" t="n">
        <v>56372</v>
      </c>
      <c r="C12829" t="inlineStr">
        <is>
          <t>1433/02/13</t>
        </is>
      </c>
    </row>
    <row r="12830">
      <c r="A12830" t="n">
        <v>14330214</v>
      </c>
      <c r="B12830" t="n">
        <v>56373</v>
      </c>
      <c r="C12830" t="inlineStr">
        <is>
          <t>1433/02/14</t>
        </is>
      </c>
    </row>
    <row r="12831">
      <c r="A12831" t="n">
        <v>14330215</v>
      </c>
      <c r="B12831" t="n">
        <v>56374</v>
      </c>
      <c r="C12831" t="inlineStr">
        <is>
          <t>1433/02/15</t>
        </is>
      </c>
    </row>
    <row r="12832">
      <c r="A12832" t="n">
        <v>14330216</v>
      </c>
      <c r="B12832" t="n">
        <v>56375</v>
      </c>
      <c r="C12832" t="inlineStr">
        <is>
          <t>1433/02/16</t>
        </is>
      </c>
    </row>
    <row r="12833">
      <c r="A12833" t="n">
        <v>14330217</v>
      </c>
      <c r="B12833" t="n">
        <v>56376</v>
      </c>
      <c r="C12833" t="inlineStr">
        <is>
          <t>1433/02/17</t>
        </is>
      </c>
    </row>
    <row r="12834">
      <c r="A12834" t="n">
        <v>14330218</v>
      </c>
      <c r="B12834" t="n">
        <v>56377</v>
      </c>
      <c r="C12834" t="inlineStr">
        <is>
          <t>1433/02/18</t>
        </is>
      </c>
    </row>
    <row r="12835">
      <c r="A12835" t="n">
        <v>14330219</v>
      </c>
      <c r="B12835" t="n">
        <v>56378</v>
      </c>
      <c r="C12835" t="inlineStr">
        <is>
          <t>1433/02/19</t>
        </is>
      </c>
    </row>
    <row r="12836">
      <c r="A12836" t="n">
        <v>14330220</v>
      </c>
      <c r="B12836" t="n">
        <v>56379</v>
      </c>
      <c r="C12836" t="inlineStr">
        <is>
          <t>1433/02/20</t>
        </is>
      </c>
    </row>
    <row r="12837">
      <c r="A12837" t="n">
        <v>14330221</v>
      </c>
      <c r="B12837" t="n">
        <v>56380</v>
      </c>
      <c r="C12837" t="inlineStr">
        <is>
          <t>1433/02/21</t>
        </is>
      </c>
    </row>
    <row r="12838">
      <c r="A12838" t="n">
        <v>14330222</v>
      </c>
      <c r="B12838" t="n">
        <v>56381</v>
      </c>
      <c r="C12838" t="inlineStr">
        <is>
          <t>1433/02/22</t>
        </is>
      </c>
    </row>
    <row r="12839">
      <c r="A12839" t="n">
        <v>14330223</v>
      </c>
      <c r="B12839" t="n">
        <v>56382</v>
      </c>
      <c r="C12839" t="inlineStr">
        <is>
          <t>1433/02/23</t>
        </is>
      </c>
    </row>
    <row r="12840">
      <c r="A12840" t="n">
        <v>14330224</v>
      </c>
      <c r="B12840" t="n">
        <v>56383</v>
      </c>
      <c r="C12840" t="inlineStr">
        <is>
          <t>1433/02/24</t>
        </is>
      </c>
    </row>
    <row r="12841">
      <c r="A12841" t="n">
        <v>14330225</v>
      </c>
      <c r="B12841" t="n">
        <v>56384</v>
      </c>
      <c r="C12841" t="inlineStr">
        <is>
          <t>1433/02/25</t>
        </is>
      </c>
    </row>
    <row r="12842">
      <c r="A12842" t="n">
        <v>14330226</v>
      </c>
      <c r="B12842" t="n">
        <v>56385</v>
      </c>
      <c r="C12842" t="inlineStr">
        <is>
          <t>1433/02/26</t>
        </is>
      </c>
    </row>
    <row r="12843">
      <c r="A12843" t="n">
        <v>14330227</v>
      </c>
      <c r="B12843" t="n">
        <v>56386</v>
      </c>
      <c r="C12843" t="inlineStr">
        <is>
          <t>1433/02/27</t>
        </is>
      </c>
    </row>
    <row r="12844">
      <c r="A12844" t="n">
        <v>14330228</v>
      </c>
      <c r="B12844" t="n">
        <v>56387</v>
      </c>
      <c r="C12844" t="inlineStr">
        <is>
          <t>1433/02/28</t>
        </is>
      </c>
    </row>
    <row r="12845">
      <c r="A12845" t="n">
        <v>14330229</v>
      </c>
      <c r="B12845" t="n">
        <v>56388</v>
      </c>
      <c r="C12845" t="inlineStr">
        <is>
          <t>1433/02/29</t>
        </is>
      </c>
    </row>
    <row r="12846">
      <c r="A12846" t="n">
        <v>14330230</v>
      </c>
      <c r="B12846" t="n">
        <v>56389</v>
      </c>
      <c r="C12846" t="inlineStr">
        <is>
          <t>1433/02/30</t>
        </is>
      </c>
    </row>
    <row r="12847">
      <c r="A12847" t="n">
        <v>14330231</v>
      </c>
      <c r="B12847" t="n">
        <v>56390</v>
      </c>
      <c r="C12847" t="inlineStr">
        <is>
          <t>1433/02/31</t>
        </is>
      </c>
    </row>
    <row r="12848">
      <c r="A12848" t="n">
        <v>14330301</v>
      </c>
      <c r="B12848" t="n">
        <v>56391</v>
      </c>
      <c r="C12848" t="inlineStr">
        <is>
          <t>1433/03/01</t>
        </is>
      </c>
    </row>
    <row r="12849">
      <c r="A12849" t="n">
        <v>14330302</v>
      </c>
      <c r="B12849" t="n">
        <v>56392</v>
      </c>
      <c r="C12849" t="inlineStr">
        <is>
          <t>1433/03/02</t>
        </is>
      </c>
    </row>
    <row r="12850">
      <c r="A12850" t="n">
        <v>14330303</v>
      </c>
      <c r="B12850" t="n">
        <v>56393</v>
      </c>
      <c r="C12850" t="inlineStr">
        <is>
          <t>1433/03/03</t>
        </is>
      </c>
    </row>
    <row r="12851">
      <c r="A12851" t="n">
        <v>14330304</v>
      </c>
      <c r="B12851" t="n">
        <v>56394</v>
      </c>
      <c r="C12851" t="inlineStr">
        <is>
          <t>1433/03/04</t>
        </is>
      </c>
    </row>
    <row r="12852">
      <c r="A12852" t="n">
        <v>14330305</v>
      </c>
      <c r="B12852" t="n">
        <v>56395</v>
      </c>
      <c r="C12852" t="inlineStr">
        <is>
          <t>1433/03/05</t>
        </is>
      </c>
    </row>
    <row r="12853">
      <c r="A12853" t="n">
        <v>14330306</v>
      </c>
      <c r="B12853" t="n">
        <v>56396</v>
      </c>
      <c r="C12853" t="inlineStr">
        <is>
          <t>1433/03/06</t>
        </is>
      </c>
    </row>
    <row r="12854">
      <c r="A12854" t="n">
        <v>14330307</v>
      </c>
      <c r="B12854" t="n">
        <v>56397</v>
      </c>
      <c r="C12854" t="inlineStr">
        <is>
          <t>1433/03/07</t>
        </is>
      </c>
    </row>
    <row r="12855">
      <c r="A12855" t="n">
        <v>14330308</v>
      </c>
      <c r="B12855" t="n">
        <v>56398</v>
      </c>
      <c r="C12855" t="inlineStr">
        <is>
          <t>1433/03/08</t>
        </is>
      </c>
    </row>
    <row r="12856">
      <c r="A12856" t="n">
        <v>14330309</v>
      </c>
      <c r="B12856" t="n">
        <v>56399</v>
      </c>
      <c r="C12856" t="inlineStr">
        <is>
          <t>1433/03/09</t>
        </is>
      </c>
    </row>
    <row r="12857">
      <c r="A12857" t="n">
        <v>14330310</v>
      </c>
      <c r="B12857" t="n">
        <v>56400</v>
      </c>
      <c r="C12857" t="inlineStr">
        <is>
          <t>1433/03/10</t>
        </is>
      </c>
    </row>
    <row r="12858">
      <c r="A12858" t="n">
        <v>14330311</v>
      </c>
      <c r="B12858" t="n">
        <v>56401</v>
      </c>
      <c r="C12858" t="inlineStr">
        <is>
          <t>1433/03/11</t>
        </is>
      </c>
    </row>
    <row r="12859">
      <c r="A12859" t="n">
        <v>14330312</v>
      </c>
      <c r="B12859" t="n">
        <v>56402</v>
      </c>
      <c r="C12859" t="inlineStr">
        <is>
          <t>1433/03/12</t>
        </is>
      </c>
    </row>
    <row r="12860">
      <c r="A12860" t="n">
        <v>14330313</v>
      </c>
      <c r="B12860" t="n">
        <v>56403</v>
      </c>
      <c r="C12860" t="inlineStr">
        <is>
          <t>1433/03/13</t>
        </is>
      </c>
    </row>
    <row r="12861">
      <c r="A12861" t="n">
        <v>14330314</v>
      </c>
      <c r="B12861" t="n">
        <v>56404</v>
      </c>
      <c r="C12861" t="inlineStr">
        <is>
          <t>1433/03/14</t>
        </is>
      </c>
    </row>
    <row r="12862">
      <c r="A12862" t="n">
        <v>14330315</v>
      </c>
      <c r="B12862" t="n">
        <v>56405</v>
      </c>
      <c r="C12862" t="inlineStr">
        <is>
          <t>1433/03/15</t>
        </is>
      </c>
    </row>
    <row r="12863">
      <c r="A12863" t="n">
        <v>14330316</v>
      </c>
      <c r="B12863" t="n">
        <v>56406</v>
      </c>
      <c r="C12863" t="inlineStr">
        <is>
          <t>1433/03/16</t>
        </is>
      </c>
    </row>
    <row r="12864">
      <c r="A12864" t="n">
        <v>14330317</v>
      </c>
      <c r="B12864" t="n">
        <v>56407</v>
      </c>
      <c r="C12864" t="inlineStr">
        <is>
          <t>1433/03/17</t>
        </is>
      </c>
    </row>
    <row r="12865">
      <c r="A12865" t="n">
        <v>14330318</v>
      </c>
      <c r="B12865" t="n">
        <v>56408</v>
      </c>
      <c r="C12865" t="inlineStr">
        <is>
          <t>1433/03/18</t>
        </is>
      </c>
    </row>
    <row r="12866">
      <c r="A12866" t="n">
        <v>14330319</v>
      </c>
      <c r="B12866" t="n">
        <v>56409</v>
      </c>
      <c r="C12866" t="inlineStr">
        <is>
          <t>1433/03/19</t>
        </is>
      </c>
    </row>
    <row r="12867">
      <c r="A12867" t="n">
        <v>14330320</v>
      </c>
      <c r="B12867" t="n">
        <v>56410</v>
      </c>
      <c r="C12867" t="inlineStr">
        <is>
          <t>1433/03/20</t>
        </is>
      </c>
    </row>
    <row r="12868">
      <c r="A12868" t="n">
        <v>14330321</v>
      </c>
      <c r="B12868" t="n">
        <v>56411</v>
      </c>
      <c r="C12868" t="inlineStr">
        <is>
          <t>1433/03/21</t>
        </is>
      </c>
    </row>
    <row r="12869">
      <c r="A12869" t="n">
        <v>14330322</v>
      </c>
      <c r="B12869" t="n">
        <v>56412</v>
      </c>
      <c r="C12869" t="inlineStr">
        <is>
          <t>1433/03/22</t>
        </is>
      </c>
    </row>
    <row r="12870">
      <c r="A12870" t="n">
        <v>14330323</v>
      </c>
      <c r="B12870" t="n">
        <v>56413</v>
      </c>
      <c r="C12870" t="inlineStr">
        <is>
          <t>1433/03/23</t>
        </is>
      </c>
    </row>
    <row r="12871">
      <c r="A12871" t="n">
        <v>14330324</v>
      </c>
      <c r="B12871" t="n">
        <v>56414</v>
      </c>
      <c r="C12871" t="inlineStr">
        <is>
          <t>1433/03/24</t>
        </is>
      </c>
    </row>
    <row r="12872">
      <c r="A12872" t="n">
        <v>14330325</v>
      </c>
      <c r="B12872" t="n">
        <v>56415</v>
      </c>
      <c r="C12872" t="inlineStr">
        <is>
          <t>1433/03/25</t>
        </is>
      </c>
    </row>
    <row r="12873">
      <c r="A12873" t="n">
        <v>14330326</v>
      </c>
      <c r="B12873" t="n">
        <v>56416</v>
      </c>
      <c r="C12873" t="inlineStr">
        <is>
          <t>1433/03/26</t>
        </is>
      </c>
    </row>
    <row r="12874">
      <c r="A12874" t="n">
        <v>14330327</v>
      </c>
      <c r="B12874" t="n">
        <v>56417</v>
      </c>
      <c r="C12874" t="inlineStr">
        <is>
          <t>1433/03/27</t>
        </is>
      </c>
    </row>
    <row r="12875">
      <c r="A12875" t="n">
        <v>14330328</v>
      </c>
      <c r="B12875" t="n">
        <v>56418</v>
      </c>
      <c r="C12875" t="inlineStr">
        <is>
          <t>1433/03/28</t>
        </is>
      </c>
    </row>
    <row r="12876">
      <c r="A12876" t="n">
        <v>14330329</v>
      </c>
      <c r="B12876" t="n">
        <v>56419</v>
      </c>
      <c r="C12876" t="inlineStr">
        <is>
          <t>1433/03/29</t>
        </is>
      </c>
    </row>
    <row r="12877">
      <c r="A12877" t="n">
        <v>14330330</v>
      </c>
      <c r="B12877" t="n">
        <v>56420</v>
      </c>
      <c r="C12877" t="inlineStr">
        <is>
          <t>1433/03/30</t>
        </is>
      </c>
    </row>
    <row r="12878">
      <c r="A12878" t="n">
        <v>14330331</v>
      </c>
      <c r="B12878" t="n">
        <v>56421</v>
      </c>
      <c r="C12878" t="inlineStr">
        <is>
          <t>1433/03/31</t>
        </is>
      </c>
    </row>
    <row r="12879">
      <c r="A12879" t="n">
        <v>14330401</v>
      </c>
      <c r="B12879" t="n">
        <v>56422</v>
      </c>
      <c r="C12879" t="inlineStr">
        <is>
          <t>1433/04/01</t>
        </is>
      </c>
    </row>
    <row r="12880">
      <c r="A12880" t="n">
        <v>14330402</v>
      </c>
      <c r="B12880" t="n">
        <v>56423</v>
      </c>
      <c r="C12880" t="inlineStr">
        <is>
          <t>1433/04/02</t>
        </is>
      </c>
    </row>
    <row r="12881">
      <c r="A12881" t="n">
        <v>14330403</v>
      </c>
      <c r="B12881" t="n">
        <v>56424</v>
      </c>
      <c r="C12881" t="inlineStr">
        <is>
          <t>1433/04/03</t>
        </is>
      </c>
    </row>
    <row r="12882">
      <c r="A12882" t="n">
        <v>14330404</v>
      </c>
      <c r="B12882" t="n">
        <v>56425</v>
      </c>
      <c r="C12882" t="inlineStr">
        <is>
          <t>1433/04/04</t>
        </is>
      </c>
    </row>
    <row r="12883">
      <c r="A12883" t="n">
        <v>14330405</v>
      </c>
      <c r="B12883" t="n">
        <v>56426</v>
      </c>
      <c r="C12883" t="inlineStr">
        <is>
          <t>1433/04/05</t>
        </is>
      </c>
    </row>
    <row r="12884">
      <c r="A12884" t="n">
        <v>14330406</v>
      </c>
      <c r="B12884" t="n">
        <v>56427</v>
      </c>
      <c r="C12884" t="inlineStr">
        <is>
          <t>1433/04/06</t>
        </is>
      </c>
    </row>
    <row r="12885">
      <c r="A12885" t="n">
        <v>14330407</v>
      </c>
      <c r="B12885" t="n">
        <v>56428</v>
      </c>
      <c r="C12885" t="inlineStr">
        <is>
          <t>1433/04/07</t>
        </is>
      </c>
    </row>
    <row r="12886">
      <c r="A12886" t="n">
        <v>14330408</v>
      </c>
      <c r="B12886" t="n">
        <v>56429</v>
      </c>
      <c r="C12886" t="inlineStr">
        <is>
          <t>1433/04/08</t>
        </is>
      </c>
    </row>
    <row r="12887">
      <c r="A12887" t="n">
        <v>14330409</v>
      </c>
      <c r="B12887" t="n">
        <v>56430</v>
      </c>
      <c r="C12887" t="inlineStr">
        <is>
          <t>1433/04/09</t>
        </is>
      </c>
    </row>
    <row r="12888">
      <c r="A12888" t="n">
        <v>14330410</v>
      </c>
      <c r="B12888" t="n">
        <v>56431</v>
      </c>
      <c r="C12888" t="inlineStr">
        <is>
          <t>1433/04/10</t>
        </is>
      </c>
    </row>
    <row r="12889">
      <c r="A12889" t="n">
        <v>14330411</v>
      </c>
      <c r="B12889" t="n">
        <v>56432</v>
      </c>
      <c r="C12889" t="inlineStr">
        <is>
          <t>1433/04/11</t>
        </is>
      </c>
    </row>
    <row r="12890">
      <c r="A12890" t="n">
        <v>14330412</v>
      </c>
      <c r="B12890" t="n">
        <v>56433</v>
      </c>
      <c r="C12890" t="inlineStr">
        <is>
          <t>1433/04/12</t>
        </is>
      </c>
    </row>
    <row r="12891">
      <c r="A12891" t="n">
        <v>14330413</v>
      </c>
      <c r="B12891" t="n">
        <v>56434</v>
      </c>
      <c r="C12891" t="inlineStr">
        <is>
          <t>1433/04/13</t>
        </is>
      </c>
    </row>
    <row r="12892">
      <c r="A12892" t="n">
        <v>14330414</v>
      </c>
      <c r="B12892" t="n">
        <v>56435</v>
      </c>
      <c r="C12892" t="inlineStr">
        <is>
          <t>1433/04/14</t>
        </is>
      </c>
    </row>
    <row r="12893">
      <c r="A12893" t="n">
        <v>14330415</v>
      </c>
      <c r="B12893" t="n">
        <v>56436</v>
      </c>
      <c r="C12893" t="inlineStr">
        <is>
          <t>1433/04/15</t>
        </is>
      </c>
    </row>
    <row r="12894">
      <c r="A12894" t="n">
        <v>14330416</v>
      </c>
      <c r="B12894" t="n">
        <v>56437</v>
      </c>
      <c r="C12894" t="inlineStr">
        <is>
          <t>1433/04/16</t>
        </is>
      </c>
    </row>
    <row r="12895">
      <c r="A12895" t="n">
        <v>14330417</v>
      </c>
      <c r="B12895" t="n">
        <v>56438</v>
      </c>
      <c r="C12895" t="inlineStr">
        <is>
          <t>1433/04/17</t>
        </is>
      </c>
    </row>
    <row r="12896">
      <c r="A12896" t="n">
        <v>14330418</v>
      </c>
      <c r="B12896" t="n">
        <v>56439</v>
      </c>
      <c r="C12896" t="inlineStr">
        <is>
          <t>1433/04/18</t>
        </is>
      </c>
    </row>
    <row r="12897">
      <c r="A12897" t="n">
        <v>14330419</v>
      </c>
      <c r="B12897" t="n">
        <v>56440</v>
      </c>
      <c r="C12897" t="inlineStr">
        <is>
          <t>1433/04/19</t>
        </is>
      </c>
    </row>
    <row r="12898">
      <c r="A12898" t="n">
        <v>14330420</v>
      </c>
      <c r="B12898" t="n">
        <v>56441</v>
      </c>
      <c r="C12898" t="inlineStr">
        <is>
          <t>1433/04/20</t>
        </is>
      </c>
    </row>
    <row r="12899">
      <c r="A12899" t="n">
        <v>14330421</v>
      </c>
      <c r="B12899" t="n">
        <v>56442</v>
      </c>
      <c r="C12899" t="inlineStr">
        <is>
          <t>1433/04/21</t>
        </is>
      </c>
    </row>
    <row r="12900">
      <c r="A12900" t="n">
        <v>14330422</v>
      </c>
      <c r="B12900" t="n">
        <v>56443</v>
      </c>
      <c r="C12900" t="inlineStr">
        <is>
          <t>1433/04/22</t>
        </is>
      </c>
    </row>
    <row r="12901">
      <c r="A12901" t="n">
        <v>14330423</v>
      </c>
      <c r="B12901" t="n">
        <v>56444</v>
      </c>
      <c r="C12901" t="inlineStr">
        <is>
          <t>1433/04/23</t>
        </is>
      </c>
    </row>
    <row r="12902">
      <c r="A12902" t="n">
        <v>14330424</v>
      </c>
      <c r="B12902" t="n">
        <v>56445</v>
      </c>
      <c r="C12902" t="inlineStr">
        <is>
          <t>1433/04/24</t>
        </is>
      </c>
    </row>
    <row r="12903">
      <c r="A12903" t="n">
        <v>14330425</v>
      </c>
      <c r="B12903" t="n">
        <v>56446</v>
      </c>
      <c r="C12903" t="inlineStr">
        <is>
          <t>1433/04/25</t>
        </is>
      </c>
    </row>
    <row r="12904">
      <c r="A12904" t="n">
        <v>14330426</v>
      </c>
      <c r="B12904" t="n">
        <v>56447</v>
      </c>
      <c r="C12904" t="inlineStr">
        <is>
          <t>1433/04/26</t>
        </is>
      </c>
    </row>
    <row r="12905">
      <c r="A12905" t="n">
        <v>14330427</v>
      </c>
      <c r="B12905" t="n">
        <v>56448</v>
      </c>
      <c r="C12905" t="inlineStr">
        <is>
          <t>1433/04/27</t>
        </is>
      </c>
    </row>
    <row r="12906">
      <c r="A12906" t="n">
        <v>14330428</v>
      </c>
      <c r="B12906" t="n">
        <v>56449</v>
      </c>
      <c r="C12906" t="inlineStr">
        <is>
          <t>1433/04/28</t>
        </is>
      </c>
    </row>
    <row r="12907">
      <c r="A12907" t="n">
        <v>14330429</v>
      </c>
      <c r="B12907" t="n">
        <v>56450</v>
      </c>
      <c r="C12907" t="inlineStr">
        <is>
          <t>1433/04/29</t>
        </is>
      </c>
    </row>
    <row r="12908">
      <c r="A12908" t="n">
        <v>14330430</v>
      </c>
      <c r="B12908" t="n">
        <v>56451</v>
      </c>
      <c r="C12908" t="inlineStr">
        <is>
          <t>1433/04/30</t>
        </is>
      </c>
    </row>
    <row r="12909">
      <c r="A12909" t="n">
        <v>14330431</v>
      </c>
      <c r="B12909" t="n">
        <v>56452</v>
      </c>
      <c r="C12909" t="inlineStr">
        <is>
          <t>1433/04/31</t>
        </is>
      </c>
    </row>
    <row r="12910">
      <c r="A12910" t="n">
        <v>14330501</v>
      </c>
      <c r="B12910" t="n">
        <v>56453</v>
      </c>
      <c r="C12910" t="inlineStr">
        <is>
          <t>1433/05/01</t>
        </is>
      </c>
    </row>
    <row r="12911">
      <c r="A12911" t="n">
        <v>14330502</v>
      </c>
      <c r="B12911" t="n">
        <v>56454</v>
      </c>
      <c r="C12911" t="inlineStr">
        <is>
          <t>1433/05/02</t>
        </is>
      </c>
    </row>
    <row r="12912">
      <c r="A12912" t="n">
        <v>14330503</v>
      </c>
      <c r="B12912" t="n">
        <v>56455</v>
      </c>
      <c r="C12912" t="inlineStr">
        <is>
          <t>1433/05/03</t>
        </is>
      </c>
    </row>
    <row r="12913">
      <c r="A12913" t="n">
        <v>14330504</v>
      </c>
      <c r="B12913" t="n">
        <v>56456</v>
      </c>
      <c r="C12913" t="inlineStr">
        <is>
          <t>1433/05/04</t>
        </is>
      </c>
    </row>
    <row r="12914">
      <c r="A12914" t="n">
        <v>14330505</v>
      </c>
      <c r="B12914" t="n">
        <v>56457</v>
      </c>
      <c r="C12914" t="inlineStr">
        <is>
          <t>1433/05/05</t>
        </is>
      </c>
    </row>
    <row r="12915">
      <c r="A12915" t="n">
        <v>14330506</v>
      </c>
      <c r="B12915" t="n">
        <v>56458</v>
      </c>
      <c r="C12915" t="inlineStr">
        <is>
          <t>1433/05/06</t>
        </is>
      </c>
    </row>
    <row r="12916">
      <c r="A12916" t="n">
        <v>14330507</v>
      </c>
      <c r="B12916" t="n">
        <v>56459</v>
      </c>
      <c r="C12916" t="inlineStr">
        <is>
          <t>1433/05/07</t>
        </is>
      </c>
    </row>
    <row r="12917">
      <c r="A12917" t="n">
        <v>14330508</v>
      </c>
      <c r="B12917" t="n">
        <v>56460</v>
      </c>
      <c r="C12917" t="inlineStr">
        <is>
          <t>1433/05/08</t>
        </is>
      </c>
    </row>
    <row r="12918">
      <c r="A12918" t="n">
        <v>14330509</v>
      </c>
      <c r="B12918" t="n">
        <v>56461</v>
      </c>
      <c r="C12918" t="inlineStr">
        <is>
          <t>1433/05/09</t>
        </is>
      </c>
    </row>
    <row r="12919">
      <c r="A12919" t="n">
        <v>14330510</v>
      </c>
      <c r="B12919" t="n">
        <v>56462</v>
      </c>
      <c r="C12919" t="inlineStr">
        <is>
          <t>1433/05/10</t>
        </is>
      </c>
    </row>
    <row r="12920">
      <c r="A12920" t="n">
        <v>14330511</v>
      </c>
      <c r="B12920" t="n">
        <v>56463</v>
      </c>
      <c r="C12920" t="inlineStr">
        <is>
          <t>1433/05/11</t>
        </is>
      </c>
    </row>
    <row r="12921">
      <c r="A12921" t="n">
        <v>14330512</v>
      </c>
      <c r="B12921" t="n">
        <v>56464</v>
      </c>
      <c r="C12921" t="inlineStr">
        <is>
          <t>1433/05/12</t>
        </is>
      </c>
    </row>
    <row r="12922">
      <c r="A12922" t="n">
        <v>14330513</v>
      </c>
      <c r="B12922" t="n">
        <v>56465</v>
      </c>
      <c r="C12922" t="inlineStr">
        <is>
          <t>1433/05/13</t>
        </is>
      </c>
    </row>
    <row r="12923">
      <c r="A12923" t="n">
        <v>14330514</v>
      </c>
      <c r="B12923" t="n">
        <v>56466</v>
      </c>
      <c r="C12923" t="inlineStr">
        <is>
          <t>1433/05/14</t>
        </is>
      </c>
    </row>
    <row r="12924">
      <c r="A12924" t="n">
        <v>14330515</v>
      </c>
      <c r="B12924" t="n">
        <v>56467</v>
      </c>
      <c r="C12924" t="inlineStr">
        <is>
          <t>1433/05/15</t>
        </is>
      </c>
    </row>
    <row r="12925">
      <c r="A12925" t="n">
        <v>14330516</v>
      </c>
      <c r="B12925" t="n">
        <v>56468</v>
      </c>
      <c r="C12925" t="inlineStr">
        <is>
          <t>1433/05/16</t>
        </is>
      </c>
    </row>
    <row r="12926">
      <c r="A12926" t="n">
        <v>14330517</v>
      </c>
      <c r="B12926" t="n">
        <v>56469</v>
      </c>
      <c r="C12926" t="inlineStr">
        <is>
          <t>1433/05/17</t>
        </is>
      </c>
    </row>
    <row r="12927">
      <c r="A12927" t="n">
        <v>14330518</v>
      </c>
      <c r="B12927" t="n">
        <v>56470</v>
      </c>
      <c r="C12927" t="inlineStr">
        <is>
          <t>1433/05/18</t>
        </is>
      </c>
    </row>
    <row r="12928">
      <c r="A12928" t="n">
        <v>14330519</v>
      </c>
      <c r="B12928" t="n">
        <v>56471</v>
      </c>
      <c r="C12928" t="inlineStr">
        <is>
          <t>1433/05/19</t>
        </is>
      </c>
    </row>
    <row r="12929">
      <c r="A12929" t="n">
        <v>14330520</v>
      </c>
      <c r="B12929" t="n">
        <v>56472</v>
      </c>
      <c r="C12929" t="inlineStr">
        <is>
          <t>1433/05/20</t>
        </is>
      </c>
    </row>
    <row r="12930">
      <c r="A12930" t="n">
        <v>14330521</v>
      </c>
      <c r="B12930" t="n">
        <v>56473</v>
      </c>
      <c r="C12930" t="inlineStr">
        <is>
          <t>1433/05/21</t>
        </is>
      </c>
    </row>
    <row r="12931">
      <c r="A12931" t="n">
        <v>14330522</v>
      </c>
      <c r="B12931" t="n">
        <v>56474</v>
      </c>
      <c r="C12931" t="inlineStr">
        <is>
          <t>1433/05/22</t>
        </is>
      </c>
    </row>
    <row r="12932">
      <c r="A12932" t="n">
        <v>14330523</v>
      </c>
      <c r="B12932" t="n">
        <v>56475</v>
      </c>
      <c r="C12932" t="inlineStr">
        <is>
          <t>1433/05/23</t>
        </is>
      </c>
    </row>
    <row r="12933">
      <c r="A12933" t="n">
        <v>14330524</v>
      </c>
      <c r="B12933" t="n">
        <v>56476</v>
      </c>
      <c r="C12933" t="inlineStr">
        <is>
          <t>1433/05/24</t>
        </is>
      </c>
    </row>
    <row r="12934">
      <c r="A12934" t="n">
        <v>14330525</v>
      </c>
      <c r="B12934" t="n">
        <v>56477</v>
      </c>
      <c r="C12934" t="inlineStr">
        <is>
          <t>1433/05/25</t>
        </is>
      </c>
    </row>
    <row r="12935">
      <c r="A12935" t="n">
        <v>14330526</v>
      </c>
      <c r="B12935" t="n">
        <v>56478</v>
      </c>
      <c r="C12935" t="inlineStr">
        <is>
          <t>1433/05/26</t>
        </is>
      </c>
    </row>
    <row r="12936">
      <c r="A12936" t="n">
        <v>14330527</v>
      </c>
      <c r="B12936" t="n">
        <v>56479</v>
      </c>
      <c r="C12936" t="inlineStr">
        <is>
          <t>1433/05/27</t>
        </is>
      </c>
    </row>
    <row r="12937">
      <c r="A12937" t="n">
        <v>14330528</v>
      </c>
      <c r="B12937" t="n">
        <v>56480</v>
      </c>
      <c r="C12937" t="inlineStr">
        <is>
          <t>1433/05/28</t>
        </is>
      </c>
    </row>
    <row r="12938">
      <c r="A12938" t="n">
        <v>14330529</v>
      </c>
      <c r="B12938" t="n">
        <v>56481</v>
      </c>
      <c r="C12938" t="inlineStr">
        <is>
          <t>1433/05/29</t>
        </is>
      </c>
    </row>
    <row r="12939">
      <c r="A12939" t="n">
        <v>14330530</v>
      </c>
      <c r="B12939" t="n">
        <v>56482</v>
      </c>
      <c r="C12939" t="inlineStr">
        <is>
          <t>1433/05/30</t>
        </is>
      </c>
    </row>
    <row r="12940">
      <c r="A12940" t="n">
        <v>14330531</v>
      </c>
      <c r="B12940" t="n">
        <v>56483</v>
      </c>
      <c r="C12940" t="inlineStr">
        <is>
          <t>1433/05/31</t>
        </is>
      </c>
    </row>
    <row r="12941">
      <c r="A12941" t="n">
        <v>14330601</v>
      </c>
      <c r="B12941" t="n">
        <v>56484</v>
      </c>
      <c r="C12941" t="inlineStr">
        <is>
          <t>1433/06/01</t>
        </is>
      </c>
    </row>
    <row r="12942">
      <c r="A12942" t="n">
        <v>14330602</v>
      </c>
      <c r="B12942" t="n">
        <v>56485</v>
      </c>
      <c r="C12942" t="inlineStr">
        <is>
          <t>1433/06/02</t>
        </is>
      </c>
    </row>
    <row r="12943">
      <c r="A12943" t="n">
        <v>14330603</v>
      </c>
      <c r="B12943" t="n">
        <v>56486</v>
      </c>
      <c r="C12943" t="inlineStr">
        <is>
          <t>1433/06/03</t>
        </is>
      </c>
    </row>
    <row r="12944">
      <c r="A12944" t="n">
        <v>14330604</v>
      </c>
      <c r="B12944" t="n">
        <v>56487</v>
      </c>
      <c r="C12944" t="inlineStr">
        <is>
          <t>1433/06/04</t>
        </is>
      </c>
    </row>
    <row r="12945">
      <c r="A12945" t="n">
        <v>14330605</v>
      </c>
      <c r="B12945" t="n">
        <v>56488</v>
      </c>
      <c r="C12945" t="inlineStr">
        <is>
          <t>1433/06/05</t>
        </is>
      </c>
    </row>
    <row r="12946">
      <c r="A12946" t="n">
        <v>14330606</v>
      </c>
      <c r="B12946" t="n">
        <v>56489</v>
      </c>
      <c r="C12946" t="inlineStr">
        <is>
          <t>1433/06/06</t>
        </is>
      </c>
    </row>
    <row r="12947">
      <c r="A12947" t="n">
        <v>14330607</v>
      </c>
      <c r="B12947" t="n">
        <v>56490</v>
      </c>
      <c r="C12947" t="inlineStr">
        <is>
          <t>1433/06/07</t>
        </is>
      </c>
    </row>
    <row r="12948">
      <c r="A12948" t="n">
        <v>14330608</v>
      </c>
      <c r="B12948" t="n">
        <v>56491</v>
      </c>
      <c r="C12948" t="inlineStr">
        <is>
          <t>1433/06/08</t>
        </is>
      </c>
    </row>
    <row r="12949">
      <c r="A12949" t="n">
        <v>14330609</v>
      </c>
      <c r="B12949" t="n">
        <v>56492</v>
      </c>
      <c r="C12949" t="inlineStr">
        <is>
          <t>1433/06/09</t>
        </is>
      </c>
    </row>
    <row r="12950">
      <c r="A12950" t="n">
        <v>14330610</v>
      </c>
      <c r="B12950" t="n">
        <v>56493</v>
      </c>
      <c r="C12950" t="inlineStr">
        <is>
          <t>1433/06/10</t>
        </is>
      </c>
    </row>
    <row r="12951">
      <c r="A12951" t="n">
        <v>14330611</v>
      </c>
      <c r="B12951" t="n">
        <v>56494</v>
      </c>
      <c r="C12951" t="inlineStr">
        <is>
          <t>1433/06/11</t>
        </is>
      </c>
    </row>
    <row r="12952">
      <c r="A12952" t="n">
        <v>14330612</v>
      </c>
      <c r="B12952" t="n">
        <v>56495</v>
      </c>
      <c r="C12952" t="inlineStr">
        <is>
          <t>1433/06/12</t>
        </is>
      </c>
    </row>
    <row r="12953">
      <c r="A12953" t="n">
        <v>14330613</v>
      </c>
      <c r="B12953" t="n">
        <v>56496</v>
      </c>
      <c r="C12953" t="inlineStr">
        <is>
          <t>1433/06/13</t>
        </is>
      </c>
    </row>
    <row r="12954">
      <c r="A12954" t="n">
        <v>14330614</v>
      </c>
      <c r="B12954" t="n">
        <v>56497</v>
      </c>
      <c r="C12954" t="inlineStr">
        <is>
          <t>1433/06/14</t>
        </is>
      </c>
    </row>
    <row r="12955">
      <c r="A12955" t="n">
        <v>14330615</v>
      </c>
      <c r="B12955" t="n">
        <v>56498</v>
      </c>
      <c r="C12955" t="inlineStr">
        <is>
          <t>1433/06/15</t>
        </is>
      </c>
    </row>
    <row r="12956">
      <c r="A12956" t="n">
        <v>14330616</v>
      </c>
      <c r="B12956" t="n">
        <v>56499</v>
      </c>
      <c r="C12956" t="inlineStr">
        <is>
          <t>1433/06/16</t>
        </is>
      </c>
    </row>
    <row r="12957">
      <c r="A12957" t="n">
        <v>14330617</v>
      </c>
      <c r="B12957" t="n">
        <v>56500</v>
      </c>
      <c r="C12957" t="inlineStr">
        <is>
          <t>1433/06/17</t>
        </is>
      </c>
    </row>
    <row r="12958">
      <c r="A12958" t="n">
        <v>14330618</v>
      </c>
      <c r="B12958" t="n">
        <v>56501</v>
      </c>
      <c r="C12958" t="inlineStr">
        <is>
          <t>1433/06/18</t>
        </is>
      </c>
    </row>
    <row r="12959">
      <c r="A12959" t="n">
        <v>14330619</v>
      </c>
      <c r="B12959" t="n">
        <v>56502</v>
      </c>
      <c r="C12959" t="inlineStr">
        <is>
          <t>1433/06/19</t>
        </is>
      </c>
    </row>
    <row r="12960">
      <c r="A12960" t="n">
        <v>14330620</v>
      </c>
      <c r="B12960" t="n">
        <v>56503</v>
      </c>
      <c r="C12960" t="inlineStr">
        <is>
          <t>1433/06/20</t>
        </is>
      </c>
    </row>
    <row r="12961">
      <c r="A12961" t="n">
        <v>14330621</v>
      </c>
      <c r="B12961" t="n">
        <v>56504</v>
      </c>
      <c r="C12961" t="inlineStr">
        <is>
          <t>1433/06/21</t>
        </is>
      </c>
    </row>
    <row r="12962">
      <c r="A12962" t="n">
        <v>14330622</v>
      </c>
      <c r="B12962" t="n">
        <v>56505</v>
      </c>
      <c r="C12962" t="inlineStr">
        <is>
          <t>1433/06/22</t>
        </is>
      </c>
    </row>
    <row r="12963">
      <c r="A12963" t="n">
        <v>14330623</v>
      </c>
      <c r="B12963" t="n">
        <v>56506</v>
      </c>
      <c r="C12963" t="inlineStr">
        <is>
          <t>1433/06/23</t>
        </is>
      </c>
    </row>
    <row r="12964">
      <c r="A12964" t="n">
        <v>14330624</v>
      </c>
      <c r="B12964" t="n">
        <v>56507</v>
      </c>
      <c r="C12964" t="inlineStr">
        <is>
          <t>1433/06/24</t>
        </is>
      </c>
    </row>
    <row r="12965">
      <c r="A12965" t="n">
        <v>14330625</v>
      </c>
      <c r="B12965" t="n">
        <v>56508</v>
      </c>
      <c r="C12965" t="inlineStr">
        <is>
          <t>1433/06/25</t>
        </is>
      </c>
    </row>
    <row r="12966">
      <c r="A12966" t="n">
        <v>14330626</v>
      </c>
      <c r="B12966" t="n">
        <v>56509</v>
      </c>
      <c r="C12966" t="inlineStr">
        <is>
          <t>1433/06/26</t>
        </is>
      </c>
    </row>
    <row r="12967">
      <c r="A12967" t="n">
        <v>14330627</v>
      </c>
      <c r="B12967" t="n">
        <v>56510</v>
      </c>
      <c r="C12967" t="inlineStr">
        <is>
          <t>1433/06/27</t>
        </is>
      </c>
    </row>
    <row r="12968">
      <c r="A12968" t="n">
        <v>14330628</v>
      </c>
      <c r="B12968" t="n">
        <v>56511</v>
      </c>
      <c r="C12968" t="inlineStr">
        <is>
          <t>1433/06/28</t>
        </is>
      </c>
    </row>
    <row r="12969">
      <c r="A12969" t="n">
        <v>14330629</v>
      </c>
      <c r="B12969" t="n">
        <v>56512</v>
      </c>
      <c r="C12969" t="inlineStr">
        <is>
          <t>1433/06/29</t>
        </is>
      </c>
    </row>
    <row r="12970">
      <c r="A12970" t="n">
        <v>14330630</v>
      </c>
      <c r="B12970" t="n">
        <v>56513</v>
      </c>
      <c r="C12970" t="inlineStr">
        <is>
          <t>1433/06/30</t>
        </is>
      </c>
    </row>
    <row r="12971">
      <c r="A12971" t="n">
        <v>14330631</v>
      </c>
      <c r="B12971" t="n">
        <v>56514</v>
      </c>
      <c r="C12971" t="inlineStr">
        <is>
          <t>1433/06/31</t>
        </is>
      </c>
    </row>
    <row r="12972">
      <c r="A12972" t="n">
        <v>14330701</v>
      </c>
      <c r="B12972" t="n">
        <v>56515</v>
      </c>
      <c r="C12972" t="inlineStr">
        <is>
          <t>1433/07/01</t>
        </is>
      </c>
    </row>
    <row r="12973">
      <c r="A12973" t="n">
        <v>14330702</v>
      </c>
      <c r="B12973" t="n">
        <v>56516</v>
      </c>
      <c r="C12973" t="inlineStr">
        <is>
          <t>1433/07/02</t>
        </is>
      </c>
    </row>
    <row r="12974">
      <c r="A12974" t="n">
        <v>14330703</v>
      </c>
      <c r="B12974" t="n">
        <v>56517</v>
      </c>
      <c r="C12974" t="inlineStr">
        <is>
          <t>1433/07/03</t>
        </is>
      </c>
    </row>
    <row r="12975">
      <c r="A12975" t="n">
        <v>14330704</v>
      </c>
      <c r="B12975" t="n">
        <v>56518</v>
      </c>
      <c r="C12975" t="inlineStr">
        <is>
          <t>1433/07/04</t>
        </is>
      </c>
    </row>
    <row r="12976">
      <c r="A12976" t="n">
        <v>14330705</v>
      </c>
      <c r="B12976" t="n">
        <v>56519</v>
      </c>
      <c r="C12976" t="inlineStr">
        <is>
          <t>1433/07/05</t>
        </is>
      </c>
    </row>
    <row r="12977">
      <c r="A12977" t="n">
        <v>14330706</v>
      </c>
      <c r="B12977" t="n">
        <v>56520</v>
      </c>
      <c r="C12977" t="inlineStr">
        <is>
          <t>1433/07/06</t>
        </is>
      </c>
    </row>
    <row r="12978">
      <c r="A12978" t="n">
        <v>14330707</v>
      </c>
      <c r="B12978" t="n">
        <v>56521</v>
      </c>
      <c r="C12978" t="inlineStr">
        <is>
          <t>1433/07/07</t>
        </is>
      </c>
    </row>
    <row r="12979">
      <c r="A12979" t="n">
        <v>14330708</v>
      </c>
      <c r="B12979" t="n">
        <v>56522</v>
      </c>
      <c r="C12979" t="inlineStr">
        <is>
          <t>1433/07/08</t>
        </is>
      </c>
    </row>
    <row r="12980">
      <c r="A12980" t="n">
        <v>14330709</v>
      </c>
      <c r="B12980" t="n">
        <v>56523</v>
      </c>
      <c r="C12980" t="inlineStr">
        <is>
          <t>1433/07/09</t>
        </is>
      </c>
    </row>
    <row r="12981">
      <c r="A12981" t="n">
        <v>14330710</v>
      </c>
      <c r="B12981" t="n">
        <v>56524</v>
      </c>
      <c r="C12981" t="inlineStr">
        <is>
          <t>1433/07/10</t>
        </is>
      </c>
    </row>
    <row r="12982">
      <c r="A12982" t="n">
        <v>14330711</v>
      </c>
      <c r="B12982" t="n">
        <v>56525</v>
      </c>
      <c r="C12982" t="inlineStr">
        <is>
          <t>1433/07/11</t>
        </is>
      </c>
    </row>
    <row r="12983">
      <c r="A12983" t="n">
        <v>14330712</v>
      </c>
      <c r="B12983" t="n">
        <v>56526</v>
      </c>
      <c r="C12983" t="inlineStr">
        <is>
          <t>1433/07/12</t>
        </is>
      </c>
    </row>
    <row r="12984">
      <c r="A12984" t="n">
        <v>14330713</v>
      </c>
      <c r="B12984" t="n">
        <v>56527</v>
      </c>
      <c r="C12984" t="inlineStr">
        <is>
          <t>1433/07/13</t>
        </is>
      </c>
    </row>
    <row r="12985">
      <c r="A12985" t="n">
        <v>14330714</v>
      </c>
      <c r="B12985" t="n">
        <v>56528</v>
      </c>
      <c r="C12985" t="inlineStr">
        <is>
          <t>1433/07/14</t>
        </is>
      </c>
    </row>
    <row r="12986">
      <c r="A12986" t="n">
        <v>14330715</v>
      </c>
      <c r="B12986" t="n">
        <v>56529</v>
      </c>
      <c r="C12986" t="inlineStr">
        <is>
          <t>1433/07/15</t>
        </is>
      </c>
    </row>
    <row r="12987">
      <c r="A12987" t="n">
        <v>14330716</v>
      </c>
      <c r="B12987" t="n">
        <v>56530</v>
      </c>
      <c r="C12987" t="inlineStr">
        <is>
          <t>1433/07/16</t>
        </is>
      </c>
    </row>
    <row r="12988">
      <c r="A12988" t="n">
        <v>14330717</v>
      </c>
      <c r="B12988" t="n">
        <v>56531</v>
      </c>
      <c r="C12988" t="inlineStr">
        <is>
          <t>1433/07/17</t>
        </is>
      </c>
    </row>
    <row r="12989">
      <c r="A12989" t="n">
        <v>14330718</v>
      </c>
      <c r="B12989" t="n">
        <v>56532</v>
      </c>
      <c r="C12989" t="inlineStr">
        <is>
          <t>1433/07/18</t>
        </is>
      </c>
    </row>
    <row r="12990">
      <c r="A12990" t="n">
        <v>14330719</v>
      </c>
      <c r="B12990" t="n">
        <v>56533</v>
      </c>
      <c r="C12990" t="inlineStr">
        <is>
          <t>1433/07/19</t>
        </is>
      </c>
    </row>
    <row r="12991">
      <c r="A12991" t="n">
        <v>14330720</v>
      </c>
      <c r="B12991" t="n">
        <v>56534</v>
      </c>
      <c r="C12991" t="inlineStr">
        <is>
          <t>1433/07/20</t>
        </is>
      </c>
    </row>
    <row r="12992">
      <c r="A12992" t="n">
        <v>14330721</v>
      </c>
      <c r="B12992" t="n">
        <v>56535</v>
      </c>
      <c r="C12992" t="inlineStr">
        <is>
          <t>1433/07/21</t>
        </is>
      </c>
    </row>
    <row r="12993">
      <c r="A12993" t="n">
        <v>14330722</v>
      </c>
      <c r="B12993" t="n">
        <v>56536</v>
      </c>
      <c r="C12993" t="inlineStr">
        <is>
          <t>1433/07/22</t>
        </is>
      </c>
    </row>
    <row r="12994">
      <c r="A12994" t="n">
        <v>14330723</v>
      </c>
      <c r="B12994" t="n">
        <v>56537</v>
      </c>
      <c r="C12994" t="inlineStr">
        <is>
          <t>1433/07/23</t>
        </is>
      </c>
    </row>
    <row r="12995">
      <c r="A12995" t="n">
        <v>14330724</v>
      </c>
      <c r="B12995" t="n">
        <v>56538</v>
      </c>
      <c r="C12995" t="inlineStr">
        <is>
          <t>1433/07/24</t>
        </is>
      </c>
    </row>
    <row r="12996">
      <c r="A12996" t="n">
        <v>14330725</v>
      </c>
      <c r="B12996" t="n">
        <v>56539</v>
      </c>
      <c r="C12996" t="inlineStr">
        <is>
          <t>1433/07/25</t>
        </is>
      </c>
    </row>
    <row r="12997">
      <c r="A12997" t="n">
        <v>14330726</v>
      </c>
      <c r="B12997" t="n">
        <v>56540</v>
      </c>
      <c r="C12997" t="inlineStr">
        <is>
          <t>1433/07/26</t>
        </is>
      </c>
    </row>
    <row r="12998">
      <c r="A12998" t="n">
        <v>14330727</v>
      </c>
      <c r="B12998" t="n">
        <v>56541</v>
      </c>
      <c r="C12998" t="inlineStr">
        <is>
          <t>1433/07/27</t>
        </is>
      </c>
    </row>
    <row r="12999">
      <c r="A12999" t="n">
        <v>14330728</v>
      </c>
      <c r="B12999" t="n">
        <v>56542</v>
      </c>
      <c r="C12999" t="inlineStr">
        <is>
          <t>1433/07/28</t>
        </is>
      </c>
    </row>
    <row r="13000">
      <c r="A13000" t="n">
        <v>14330729</v>
      </c>
      <c r="B13000" t="n">
        <v>56543</v>
      </c>
      <c r="C13000" t="inlineStr">
        <is>
          <t>1433/07/29</t>
        </is>
      </c>
    </row>
    <row r="13001">
      <c r="A13001" t="n">
        <v>14330730</v>
      </c>
      <c r="B13001" t="n">
        <v>56544</v>
      </c>
      <c r="C13001" t="inlineStr">
        <is>
          <t>1433/07/30</t>
        </is>
      </c>
    </row>
    <row r="13002">
      <c r="A13002" t="n">
        <v>14330801</v>
      </c>
      <c r="B13002" t="n">
        <v>56545</v>
      </c>
      <c r="C13002" t="inlineStr">
        <is>
          <t>1433/08/01</t>
        </is>
      </c>
    </row>
    <row r="13003">
      <c r="A13003" t="n">
        <v>14330802</v>
      </c>
      <c r="B13003" t="n">
        <v>56546</v>
      </c>
      <c r="C13003" t="inlineStr">
        <is>
          <t>1433/08/02</t>
        </is>
      </c>
    </row>
    <row r="13004">
      <c r="A13004" t="n">
        <v>14330803</v>
      </c>
      <c r="B13004" t="n">
        <v>56547</v>
      </c>
      <c r="C13004" t="inlineStr">
        <is>
          <t>1433/08/03</t>
        </is>
      </c>
    </row>
    <row r="13005">
      <c r="A13005" t="n">
        <v>14330804</v>
      </c>
      <c r="B13005" t="n">
        <v>56548</v>
      </c>
      <c r="C13005" t="inlineStr">
        <is>
          <t>1433/08/04</t>
        </is>
      </c>
    </row>
    <row r="13006">
      <c r="A13006" t="n">
        <v>14330805</v>
      </c>
      <c r="B13006" t="n">
        <v>56549</v>
      </c>
      <c r="C13006" t="inlineStr">
        <is>
          <t>1433/08/05</t>
        </is>
      </c>
    </row>
    <row r="13007">
      <c r="A13007" t="n">
        <v>14330806</v>
      </c>
      <c r="B13007" t="n">
        <v>56550</v>
      </c>
      <c r="C13007" t="inlineStr">
        <is>
          <t>1433/08/06</t>
        </is>
      </c>
    </row>
    <row r="13008">
      <c r="A13008" t="n">
        <v>14330807</v>
      </c>
      <c r="B13008" t="n">
        <v>56551</v>
      </c>
      <c r="C13008" t="inlineStr">
        <is>
          <t>1433/08/07</t>
        </is>
      </c>
    </row>
    <row r="13009">
      <c r="A13009" t="n">
        <v>14330808</v>
      </c>
      <c r="B13009" t="n">
        <v>56552</v>
      </c>
      <c r="C13009" t="inlineStr">
        <is>
          <t>1433/08/08</t>
        </is>
      </c>
    </row>
    <row r="13010">
      <c r="A13010" t="n">
        <v>14330809</v>
      </c>
      <c r="B13010" t="n">
        <v>56553</v>
      </c>
      <c r="C13010" t="inlineStr">
        <is>
          <t>1433/08/09</t>
        </is>
      </c>
    </row>
    <row r="13011">
      <c r="A13011" t="n">
        <v>14330810</v>
      </c>
      <c r="B13011" t="n">
        <v>56554</v>
      </c>
      <c r="C13011" t="inlineStr">
        <is>
          <t>1433/08/10</t>
        </is>
      </c>
    </row>
    <row r="13012">
      <c r="A13012" t="n">
        <v>14330811</v>
      </c>
      <c r="B13012" t="n">
        <v>56555</v>
      </c>
      <c r="C13012" t="inlineStr">
        <is>
          <t>1433/08/11</t>
        </is>
      </c>
    </row>
    <row r="13013">
      <c r="A13013" t="n">
        <v>14330812</v>
      </c>
      <c r="B13013" t="n">
        <v>56556</v>
      </c>
      <c r="C13013" t="inlineStr">
        <is>
          <t>1433/08/12</t>
        </is>
      </c>
    </row>
    <row r="13014">
      <c r="A13014" t="n">
        <v>14330813</v>
      </c>
      <c r="B13014" t="n">
        <v>56557</v>
      </c>
      <c r="C13014" t="inlineStr">
        <is>
          <t>1433/08/13</t>
        </is>
      </c>
    </row>
    <row r="13015">
      <c r="A13015" t="n">
        <v>14330814</v>
      </c>
      <c r="B13015" t="n">
        <v>56558</v>
      </c>
      <c r="C13015" t="inlineStr">
        <is>
          <t>1433/08/14</t>
        </is>
      </c>
    </row>
    <row r="13016">
      <c r="A13016" t="n">
        <v>14330815</v>
      </c>
      <c r="B13016" t="n">
        <v>56559</v>
      </c>
      <c r="C13016" t="inlineStr">
        <is>
          <t>1433/08/15</t>
        </is>
      </c>
    </row>
    <row r="13017">
      <c r="A13017" t="n">
        <v>14330816</v>
      </c>
      <c r="B13017" t="n">
        <v>56560</v>
      </c>
      <c r="C13017" t="inlineStr">
        <is>
          <t>1433/08/16</t>
        </is>
      </c>
    </row>
    <row r="13018">
      <c r="A13018" t="n">
        <v>14330817</v>
      </c>
      <c r="B13018" t="n">
        <v>56561</v>
      </c>
      <c r="C13018" t="inlineStr">
        <is>
          <t>1433/08/17</t>
        </is>
      </c>
    </row>
    <row r="13019">
      <c r="A13019" t="n">
        <v>14330818</v>
      </c>
      <c r="B13019" t="n">
        <v>56562</v>
      </c>
      <c r="C13019" t="inlineStr">
        <is>
          <t>1433/08/18</t>
        </is>
      </c>
    </row>
    <row r="13020">
      <c r="A13020" t="n">
        <v>14330819</v>
      </c>
      <c r="B13020" t="n">
        <v>56563</v>
      </c>
      <c r="C13020" t="inlineStr">
        <is>
          <t>1433/08/19</t>
        </is>
      </c>
    </row>
    <row r="13021">
      <c r="A13021" t="n">
        <v>14330820</v>
      </c>
      <c r="B13021" t="n">
        <v>56564</v>
      </c>
      <c r="C13021" t="inlineStr">
        <is>
          <t>1433/08/20</t>
        </is>
      </c>
    </row>
    <row r="13022">
      <c r="A13022" t="n">
        <v>14330821</v>
      </c>
      <c r="B13022" t="n">
        <v>56565</v>
      </c>
      <c r="C13022" t="inlineStr">
        <is>
          <t>1433/08/21</t>
        </is>
      </c>
    </row>
    <row r="13023">
      <c r="A13023" t="n">
        <v>14330822</v>
      </c>
      <c r="B13023" t="n">
        <v>56566</v>
      </c>
      <c r="C13023" t="inlineStr">
        <is>
          <t>1433/08/22</t>
        </is>
      </c>
    </row>
    <row r="13024">
      <c r="A13024" t="n">
        <v>14330823</v>
      </c>
      <c r="B13024" t="n">
        <v>56567</v>
      </c>
      <c r="C13024" t="inlineStr">
        <is>
          <t>1433/08/23</t>
        </is>
      </c>
    </row>
    <row r="13025">
      <c r="A13025" t="n">
        <v>14330824</v>
      </c>
      <c r="B13025" t="n">
        <v>56568</v>
      </c>
      <c r="C13025" t="inlineStr">
        <is>
          <t>1433/08/24</t>
        </is>
      </c>
    </row>
    <row r="13026">
      <c r="A13026" t="n">
        <v>14330825</v>
      </c>
      <c r="B13026" t="n">
        <v>56569</v>
      </c>
      <c r="C13026" t="inlineStr">
        <is>
          <t>1433/08/25</t>
        </is>
      </c>
    </row>
    <row r="13027">
      <c r="A13027" t="n">
        <v>14330826</v>
      </c>
      <c r="B13027" t="n">
        <v>56570</v>
      </c>
      <c r="C13027" t="inlineStr">
        <is>
          <t>1433/08/26</t>
        </is>
      </c>
    </row>
    <row r="13028">
      <c r="A13028" t="n">
        <v>14330827</v>
      </c>
      <c r="B13028" t="n">
        <v>56571</v>
      </c>
      <c r="C13028" t="inlineStr">
        <is>
          <t>1433/08/27</t>
        </is>
      </c>
    </row>
    <row r="13029">
      <c r="A13029" t="n">
        <v>14330828</v>
      </c>
      <c r="B13029" t="n">
        <v>56572</v>
      </c>
      <c r="C13029" t="inlineStr">
        <is>
          <t>1433/08/28</t>
        </is>
      </c>
    </row>
    <row r="13030">
      <c r="A13030" t="n">
        <v>14330829</v>
      </c>
      <c r="B13030" t="n">
        <v>56573</v>
      </c>
      <c r="C13030" t="inlineStr">
        <is>
          <t>1433/08/29</t>
        </is>
      </c>
    </row>
    <row r="13031">
      <c r="A13031" t="n">
        <v>14330830</v>
      </c>
      <c r="B13031" t="n">
        <v>56574</v>
      </c>
      <c r="C13031" t="inlineStr">
        <is>
          <t>1433/08/30</t>
        </is>
      </c>
    </row>
    <row r="13032">
      <c r="A13032" t="n">
        <v>14330901</v>
      </c>
      <c r="B13032" t="n">
        <v>56575</v>
      </c>
      <c r="C13032" t="inlineStr">
        <is>
          <t>1433/09/01</t>
        </is>
      </c>
    </row>
    <row r="13033">
      <c r="A13033" t="n">
        <v>14330902</v>
      </c>
      <c r="B13033" t="n">
        <v>56576</v>
      </c>
      <c r="C13033" t="inlineStr">
        <is>
          <t>1433/09/02</t>
        </is>
      </c>
    </row>
    <row r="13034">
      <c r="A13034" t="n">
        <v>14330903</v>
      </c>
      <c r="B13034" t="n">
        <v>56577</v>
      </c>
      <c r="C13034" t="inlineStr">
        <is>
          <t>1433/09/03</t>
        </is>
      </c>
    </row>
    <row r="13035">
      <c r="A13035" t="n">
        <v>14330904</v>
      </c>
      <c r="B13035" t="n">
        <v>56578</v>
      </c>
      <c r="C13035" t="inlineStr">
        <is>
          <t>1433/09/04</t>
        </is>
      </c>
    </row>
    <row r="13036">
      <c r="A13036" t="n">
        <v>14330905</v>
      </c>
      <c r="B13036" t="n">
        <v>56579</v>
      </c>
      <c r="C13036" t="inlineStr">
        <is>
          <t>1433/09/05</t>
        </is>
      </c>
    </row>
    <row r="13037">
      <c r="A13037" t="n">
        <v>14330906</v>
      </c>
      <c r="B13037" t="n">
        <v>56580</v>
      </c>
      <c r="C13037" t="inlineStr">
        <is>
          <t>1433/09/06</t>
        </is>
      </c>
    </row>
    <row r="13038">
      <c r="A13038" t="n">
        <v>14330907</v>
      </c>
      <c r="B13038" t="n">
        <v>56581</v>
      </c>
      <c r="C13038" t="inlineStr">
        <is>
          <t>1433/09/07</t>
        </is>
      </c>
    </row>
    <row r="13039">
      <c r="A13039" t="n">
        <v>14330908</v>
      </c>
      <c r="B13039" t="n">
        <v>56582</v>
      </c>
      <c r="C13039" t="inlineStr">
        <is>
          <t>1433/09/08</t>
        </is>
      </c>
    </row>
    <row r="13040">
      <c r="A13040" t="n">
        <v>14330909</v>
      </c>
      <c r="B13040" t="n">
        <v>56583</v>
      </c>
      <c r="C13040" t="inlineStr">
        <is>
          <t>1433/09/09</t>
        </is>
      </c>
    </row>
    <row r="13041">
      <c r="A13041" t="n">
        <v>14330910</v>
      </c>
      <c r="B13041" t="n">
        <v>56584</v>
      </c>
      <c r="C13041" t="inlineStr">
        <is>
          <t>1433/09/10</t>
        </is>
      </c>
    </row>
    <row r="13042">
      <c r="A13042" t="n">
        <v>14330911</v>
      </c>
      <c r="B13042" t="n">
        <v>56585</v>
      </c>
      <c r="C13042" t="inlineStr">
        <is>
          <t>1433/09/11</t>
        </is>
      </c>
    </row>
    <row r="13043">
      <c r="A13043" t="n">
        <v>14330912</v>
      </c>
      <c r="B13043" t="n">
        <v>56586</v>
      </c>
      <c r="C13043" t="inlineStr">
        <is>
          <t>1433/09/12</t>
        </is>
      </c>
    </row>
    <row r="13044">
      <c r="A13044" t="n">
        <v>14330913</v>
      </c>
      <c r="B13044" t="n">
        <v>56587</v>
      </c>
      <c r="C13044" t="inlineStr">
        <is>
          <t>1433/09/13</t>
        </is>
      </c>
    </row>
    <row r="13045">
      <c r="A13045" t="n">
        <v>14330914</v>
      </c>
      <c r="B13045" t="n">
        <v>56588</v>
      </c>
      <c r="C13045" t="inlineStr">
        <is>
          <t>1433/09/14</t>
        </is>
      </c>
    </row>
    <row r="13046">
      <c r="A13046" t="n">
        <v>14330915</v>
      </c>
      <c r="B13046" t="n">
        <v>56589</v>
      </c>
      <c r="C13046" t="inlineStr">
        <is>
          <t>1433/09/15</t>
        </is>
      </c>
    </row>
    <row r="13047">
      <c r="A13047" t="n">
        <v>14330916</v>
      </c>
      <c r="B13047" t="n">
        <v>56590</v>
      </c>
      <c r="C13047" t="inlineStr">
        <is>
          <t>1433/09/16</t>
        </is>
      </c>
    </row>
    <row r="13048">
      <c r="A13048" t="n">
        <v>14330917</v>
      </c>
      <c r="B13048" t="n">
        <v>56591</v>
      </c>
      <c r="C13048" t="inlineStr">
        <is>
          <t>1433/09/17</t>
        </is>
      </c>
    </row>
    <row r="13049">
      <c r="A13049" t="n">
        <v>14330918</v>
      </c>
      <c r="B13049" t="n">
        <v>56592</v>
      </c>
      <c r="C13049" t="inlineStr">
        <is>
          <t>1433/09/18</t>
        </is>
      </c>
    </row>
    <row r="13050">
      <c r="A13050" t="n">
        <v>14330919</v>
      </c>
      <c r="B13050" t="n">
        <v>56593</v>
      </c>
      <c r="C13050" t="inlineStr">
        <is>
          <t>1433/09/19</t>
        </is>
      </c>
    </row>
    <row r="13051">
      <c r="A13051" t="n">
        <v>14330920</v>
      </c>
      <c r="B13051" t="n">
        <v>56594</v>
      </c>
      <c r="C13051" t="inlineStr">
        <is>
          <t>1433/09/20</t>
        </is>
      </c>
    </row>
    <row r="13052">
      <c r="A13052" t="n">
        <v>14330921</v>
      </c>
      <c r="B13052" t="n">
        <v>56595</v>
      </c>
      <c r="C13052" t="inlineStr">
        <is>
          <t>1433/09/21</t>
        </is>
      </c>
    </row>
    <row r="13053">
      <c r="A13053" t="n">
        <v>14330922</v>
      </c>
      <c r="B13053" t="n">
        <v>56596</v>
      </c>
      <c r="C13053" t="inlineStr">
        <is>
          <t>1433/09/22</t>
        </is>
      </c>
    </row>
    <row r="13054">
      <c r="A13054" t="n">
        <v>14330923</v>
      </c>
      <c r="B13054" t="n">
        <v>56597</v>
      </c>
      <c r="C13054" t="inlineStr">
        <is>
          <t>1433/09/23</t>
        </is>
      </c>
    </row>
    <row r="13055">
      <c r="A13055" t="n">
        <v>14330924</v>
      </c>
      <c r="B13055" t="n">
        <v>56598</v>
      </c>
      <c r="C13055" t="inlineStr">
        <is>
          <t>1433/09/24</t>
        </is>
      </c>
    </row>
    <row r="13056">
      <c r="A13056" t="n">
        <v>14330925</v>
      </c>
      <c r="B13056" t="n">
        <v>56599</v>
      </c>
      <c r="C13056" t="inlineStr">
        <is>
          <t>1433/09/25</t>
        </is>
      </c>
    </row>
    <row r="13057">
      <c r="A13057" t="n">
        <v>14330926</v>
      </c>
      <c r="B13057" t="n">
        <v>56600</v>
      </c>
      <c r="C13057" t="inlineStr">
        <is>
          <t>1433/09/26</t>
        </is>
      </c>
    </row>
    <row r="13058">
      <c r="A13058" t="n">
        <v>14330927</v>
      </c>
      <c r="B13058" t="n">
        <v>56601</v>
      </c>
      <c r="C13058" t="inlineStr">
        <is>
          <t>1433/09/27</t>
        </is>
      </c>
    </row>
    <row r="13059">
      <c r="A13059" t="n">
        <v>14330928</v>
      </c>
      <c r="B13059" t="n">
        <v>56602</v>
      </c>
      <c r="C13059" t="inlineStr">
        <is>
          <t>1433/09/28</t>
        </is>
      </c>
    </row>
    <row r="13060">
      <c r="A13060" t="n">
        <v>14330929</v>
      </c>
      <c r="B13060" t="n">
        <v>56603</v>
      </c>
      <c r="C13060" t="inlineStr">
        <is>
          <t>1433/09/29</t>
        </is>
      </c>
    </row>
    <row r="13061">
      <c r="A13061" t="n">
        <v>14330930</v>
      </c>
      <c r="B13061" t="n">
        <v>56604</v>
      </c>
      <c r="C13061" t="inlineStr">
        <is>
          <t>1433/09/30</t>
        </is>
      </c>
    </row>
    <row r="13062">
      <c r="A13062" t="n">
        <v>14331001</v>
      </c>
      <c r="B13062" t="n">
        <v>56605</v>
      </c>
      <c r="C13062" t="inlineStr">
        <is>
          <t>1433/10/01</t>
        </is>
      </c>
    </row>
    <row r="13063">
      <c r="A13063" t="n">
        <v>14331002</v>
      </c>
      <c r="B13063" t="n">
        <v>56606</v>
      </c>
      <c r="C13063" t="inlineStr">
        <is>
          <t>1433/10/02</t>
        </is>
      </c>
    </row>
    <row r="13064">
      <c r="A13064" t="n">
        <v>14331003</v>
      </c>
      <c r="B13064" t="n">
        <v>56607</v>
      </c>
      <c r="C13064" t="inlineStr">
        <is>
          <t>1433/10/03</t>
        </is>
      </c>
    </row>
    <row r="13065">
      <c r="A13065" t="n">
        <v>14331004</v>
      </c>
      <c r="B13065" t="n">
        <v>56608</v>
      </c>
      <c r="C13065" t="inlineStr">
        <is>
          <t>1433/10/04</t>
        </is>
      </c>
    </row>
    <row r="13066">
      <c r="A13066" t="n">
        <v>14331005</v>
      </c>
      <c r="B13066" t="n">
        <v>56609</v>
      </c>
      <c r="C13066" t="inlineStr">
        <is>
          <t>1433/10/05</t>
        </is>
      </c>
    </row>
    <row r="13067">
      <c r="A13067" t="n">
        <v>14331006</v>
      </c>
      <c r="B13067" t="n">
        <v>56610</v>
      </c>
      <c r="C13067" t="inlineStr">
        <is>
          <t>1433/10/06</t>
        </is>
      </c>
    </row>
    <row r="13068">
      <c r="A13068" t="n">
        <v>14331007</v>
      </c>
      <c r="B13068" t="n">
        <v>56611</v>
      </c>
      <c r="C13068" t="inlineStr">
        <is>
          <t>1433/10/07</t>
        </is>
      </c>
    </row>
    <row r="13069">
      <c r="A13069" t="n">
        <v>14331008</v>
      </c>
      <c r="B13069" t="n">
        <v>56612</v>
      </c>
      <c r="C13069" t="inlineStr">
        <is>
          <t>1433/10/08</t>
        </is>
      </c>
    </row>
    <row r="13070">
      <c r="A13070" t="n">
        <v>14331009</v>
      </c>
      <c r="B13070" t="n">
        <v>56613</v>
      </c>
      <c r="C13070" t="inlineStr">
        <is>
          <t>1433/10/09</t>
        </is>
      </c>
    </row>
    <row r="13071">
      <c r="A13071" t="n">
        <v>14331010</v>
      </c>
      <c r="B13071" t="n">
        <v>56614</v>
      </c>
      <c r="C13071" t="inlineStr">
        <is>
          <t>1433/10/10</t>
        </is>
      </c>
    </row>
    <row r="13072">
      <c r="A13072" t="n">
        <v>14331011</v>
      </c>
      <c r="B13072" t="n">
        <v>56615</v>
      </c>
      <c r="C13072" t="inlineStr">
        <is>
          <t>1433/10/11</t>
        </is>
      </c>
    </row>
    <row r="13073">
      <c r="A13073" t="n">
        <v>14331012</v>
      </c>
      <c r="B13073" t="n">
        <v>56616</v>
      </c>
      <c r="C13073" t="inlineStr">
        <is>
          <t>1433/10/12</t>
        </is>
      </c>
    </row>
    <row r="13074">
      <c r="A13074" t="n">
        <v>14331013</v>
      </c>
      <c r="B13074" t="n">
        <v>56617</v>
      </c>
      <c r="C13074" t="inlineStr">
        <is>
          <t>1433/10/13</t>
        </is>
      </c>
    </row>
    <row r="13075">
      <c r="A13075" t="n">
        <v>14331014</v>
      </c>
      <c r="B13075" t="n">
        <v>56618</v>
      </c>
      <c r="C13075" t="inlineStr">
        <is>
          <t>1433/10/14</t>
        </is>
      </c>
    </row>
    <row r="13076">
      <c r="A13076" t="n">
        <v>14331015</v>
      </c>
      <c r="B13076" t="n">
        <v>56619</v>
      </c>
      <c r="C13076" t="inlineStr">
        <is>
          <t>1433/10/15</t>
        </is>
      </c>
    </row>
    <row r="13077">
      <c r="A13077" t="n">
        <v>14331016</v>
      </c>
      <c r="B13077" t="n">
        <v>56620</v>
      </c>
      <c r="C13077" t="inlineStr">
        <is>
          <t>1433/10/16</t>
        </is>
      </c>
    </row>
    <row r="13078">
      <c r="A13078" t="n">
        <v>14331017</v>
      </c>
      <c r="B13078" t="n">
        <v>56621</v>
      </c>
      <c r="C13078" t="inlineStr">
        <is>
          <t>1433/10/17</t>
        </is>
      </c>
    </row>
    <row r="13079">
      <c r="A13079" t="n">
        <v>14331018</v>
      </c>
      <c r="B13079" t="n">
        <v>56622</v>
      </c>
      <c r="C13079" t="inlineStr">
        <is>
          <t>1433/10/18</t>
        </is>
      </c>
    </row>
    <row r="13080">
      <c r="A13080" t="n">
        <v>14331019</v>
      </c>
      <c r="B13080" t="n">
        <v>56623</v>
      </c>
      <c r="C13080" t="inlineStr">
        <is>
          <t>1433/10/19</t>
        </is>
      </c>
    </row>
    <row r="13081">
      <c r="A13081" t="n">
        <v>14331020</v>
      </c>
      <c r="B13081" t="n">
        <v>56624</v>
      </c>
      <c r="C13081" t="inlineStr">
        <is>
          <t>1433/10/20</t>
        </is>
      </c>
    </row>
    <row r="13082">
      <c r="A13082" t="n">
        <v>14331021</v>
      </c>
      <c r="B13082" t="n">
        <v>56625</v>
      </c>
      <c r="C13082" t="inlineStr">
        <is>
          <t>1433/10/21</t>
        </is>
      </c>
    </row>
    <row r="13083">
      <c r="A13083" t="n">
        <v>14331022</v>
      </c>
      <c r="B13083" t="n">
        <v>56626</v>
      </c>
      <c r="C13083" t="inlineStr">
        <is>
          <t>1433/10/22</t>
        </is>
      </c>
    </row>
    <row r="13084">
      <c r="A13084" t="n">
        <v>14331023</v>
      </c>
      <c r="B13084" t="n">
        <v>56627</v>
      </c>
      <c r="C13084" t="inlineStr">
        <is>
          <t>1433/10/23</t>
        </is>
      </c>
    </row>
    <row r="13085">
      <c r="A13085" t="n">
        <v>14331024</v>
      </c>
      <c r="B13085" t="n">
        <v>56628</v>
      </c>
      <c r="C13085" t="inlineStr">
        <is>
          <t>1433/10/24</t>
        </is>
      </c>
    </row>
    <row r="13086">
      <c r="A13086" t="n">
        <v>14331025</v>
      </c>
      <c r="B13086" t="n">
        <v>56629</v>
      </c>
      <c r="C13086" t="inlineStr">
        <is>
          <t>1433/10/25</t>
        </is>
      </c>
    </row>
    <row r="13087">
      <c r="A13087" t="n">
        <v>14331026</v>
      </c>
      <c r="B13087" t="n">
        <v>56630</v>
      </c>
      <c r="C13087" t="inlineStr">
        <is>
          <t>1433/10/26</t>
        </is>
      </c>
    </row>
    <row r="13088">
      <c r="A13088" t="n">
        <v>14331027</v>
      </c>
      <c r="B13088" t="n">
        <v>56631</v>
      </c>
      <c r="C13088" t="inlineStr">
        <is>
          <t>1433/10/27</t>
        </is>
      </c>
    </row>
    <row r="13089">
      <c r="A13089" t="n">
        <v>14331028</v>
      </c>
      <c r="B13089" t="n">
        <v>56632</v>
      </c>
      <c r="C13089" t="inlineStr">
        <is>
          <t>1433/10/28</t>
        </is>
      </c>
    </row>
    <row r="13090">
      <c r="A13090" t="n">
        <v>14331029</v>
      </c>
      <c r="B13090" t="n">
        <v>56633</v>
      </c>
      <c r="C13090" t="inlineStr">
        <is>
          <t>1433/10/29</t>
        </is>
      </c>
    </row>
    <row r="13091">
      <c r="A13091" t="n">
        <v>14331030</v>
      </c>
      <c r="B13091" t="n">
        <v>56634</v>
      </c>
      <c r="C13091" t="inlineStr">
        <is>
          <t>1433/10/30</t>
        </is>
      </c>
    </row>
    <row r="13092">
      <c r="A13092" t="n">
        <v>14331101</v>
      </c>
      <c r="B13092" t="n">
        <v>56635</v>
      </c>
      <c r="C13092" t="inlineStr">
        <is>
          <t>1433/11/01</t>
        </is>
      </c>
    </row>
    <row r="13093">
      <c r="A13093" t="n">
        <v>14331102</v>
      </c>
      <c r="B13093" t="n">
        <v>56636</v>
      </c>
      <c r="C13093" t="inlineStr">
        <is>
          <t>1433/11/02</t>
        </is>
      </c>
    </row>
    <row r="13094">
      <c r="A13094" t="n">
        <v>14331103</v>
      </c>
      <c r="B13094" t="n">
        <v>56637</v>
      </c>
      <c r="C13094" t="inlineStr">
        <is>
          <t>1433/11/03</t>
        </is>
      </c>
    </row>
    <row r="13095">
      <c r="A13095" t="n">
        <v>14331104</v>
      </c>
      <c r="B13095" t="n">
        <v>56638</v>
      </c>
      <c r="C13095" t="inlineStr">
        <is>
          <t>1433/11/04</t>
        </is>
      </c>
    </row>
    <row r="13096">
      <c r="A13096" t="n">
        <v>14331105</v>
      </c>
      <c r="B13096" t="n">
        <v>56639</v>
      </c>
      <c r="C13096" t="inlineStr">
        <is>
          <t>1433/11/05</t>
        </is>
      </c>
    </row>
    <row r="13097">
      <c r="A13097" t="n">
        <v>14331106</v>
      </c>
      <c r="B13097" t="n">
        <v>56640</v>
      </c>
      <c r="C13097" t="inlineStr">
        <is>
          <t>1433/11/06</t>
        </is>
      </c>
    </row>
    <row r="13098">
      <c r="A13098" t="n">
        <v>14331107</v>
      </c>
      <c r="B13098" t="n">
        <v>56641</v>
      </c>
      <c r="C13098" t="inlineStr">
        <is>
          <t>1433/11/07</t>
        </is>
      </c>
    </row>
    <row r="13099">
      <c r="A13099" t="n">
        <v>14331108</v>
      </c>
      <c r="B13099" t="n">
        <v>56642</v>
      </c>
      <c r="C13099" t="inlineStr">
        <is>
          <t>1433/11/08</t>
        </is>
      </c>
    </row>
    <row r="13100">
      <c r="A13100" t="n">
        <v>14331109</v>
      </c>
      <c r="B13100" t="n">
        <v>56643</v>
      </c>
      <c r="C13100" t="inlineStr">
        <is>
          <t>1433/11/09</t>
        </is>
      </c>
    </row>
    <row r="13101">
      <c r="A13101" t="n">
        <v>14331110</v>
      </c>
      <c r="B13101" t="n">
        <v>56644</v>
      </c>
      <c r="C13101" t="inlineStr">
        <is>
          <t>1433/11/10</t>
        </is>
      </c>
    </row>
    <row r="13102">
      <c r="A13102" t="n">
        <v>14331111</v>
      </c>
      <c r="B13102" t="n">
        <v>56645</v>
      </c>
      <c r="C13102" t="inlineStr">
        <is>
          <t>1433/11/11</t>
        </is>
      </c>
    </row>
    <row r="13103">
      <c r="A13103" t="n">
        <v>14331112</v>
      </c>
      <c r="B13103" t="n">
        <v>56646</v>
      </c>
      <c r="C13103" t="inlineStr">
        <is>
          <t>1433/11/12</t>
        </is>
      </c>
    </row>
    <row r="13104">
      <c r="A13104" t="n">
        <v>14331113</v>
      </c>
      <c r="B13104" t="n">
        <v>56647</v>
      </c>
      <c r="C13104" t="inlineStr">
        <is>
          <t>1433/11/13</t>
        </is>
      </c>
    </row>
    <row r="13105">
      <c r="A13105" t="n">
        <v>14331114</v>
      </c>
      <c r="B13105" t="n">
        <v>56648</v>
      </c>
      <c r="C13105" t="inlineStr">
        <is>
          <t>1433/11/14</t>
        </is>
      </c>
    </row>
    <row r="13106">
      <c r="A13106" t="n">
        <v>14331115</v>
      </c>
      <c r="B13106" t="n">
        <v>56649</v>
      </c>
      <c r="C13106" t="inlineStr">
        <is>
          <t>1433/11/15</t>
        </is>
      </c>
    </row>
    <row r="13107">
      <c r="A13107" t="n">
        <v>14331116</v>
      </c>
      <c r="B13107" t="n">
        <v>56650</v>
      </c>
      <c r="C13107" t="inlineStr">
        <is>
          <t>1433/11/16</t>
        </is>
      </c>
    </row>
    <row r="13108">
      <c r="A13108" t="n">
        <v>14331117</v>
      </c>
      <c r="B13108" t="n">
        <v>56651</v>
      </c>
      <c r="C13108" t="inlineStr">
        <is>
          <t>1433/11/17</t>
        </is>
      </c>
    </row>
    <row r="13109">
      <c r="A13109" t="n">
        <v>14331118</v>
      </c>
      <c r="B13109" t="n">
        <v>56652</v>
      </c>
      <c r="C13109" t="inlineStr">
        <is>
          <t>1433/11/18</t>
        </is>
      </c>
    </row>
    <row r="13110">
      <c r="A13110" t="n">
        <v>14331119</v>
      </c>
      <c r="B13110" t="n">
        <v>56653</v>
      </c>
      <c r="C13110" t="inlineStr">
        <is>
          <t>1433/11/19</t>
        </is>
      </c>
    </row>
    <row r="13111">
      <c r="A13111" t="n">
        <v>14331120</v>
      </c>
      <c r="B13111" t="n">
        <v>56654</v>
      </c>
      <c r="C13111" t="inlineStr">
        <is>
          <t>1433/11/20</t>
        </is>
      </c>
    </row>
    <row r="13112">
      <c r="A13112" t="n">
        <v>14331121</v>
      </c>
      <c r="B13112" t="n">
        <v>56655</v>
      </c>
      <c r="C13112" t="inlineStr">
        <is>
          <t>1433/11/21</t>
        </is>
      </c>
    </row>
    <row r="13113">
      <c r="A13113" t="n">
        <v>14331122</v>
      </c>
      <c r="B13113" t="n">
        <v>56656</v>
      </c>
      <c r="C13113" t="inlineStr">
        <is>
          <t>1433/11/22</t>
        </is>
      </c>
    </row>
    <row r="13114">
      <c r="A13114" t="n">
        <v>14331123</v>
      </c>
      <c r="B13114" t="n">
        <v>56657</v>
      </c>
      <c r="C13114" t="inlineStr">
        <is>
          <t>1433/11/23</t>
        </is>
      </c>
    </row>
    <row r="13115">
      <c r="A13115" t="n">
        <v>14331124</v>
      </c>
      <c r="B13115" t="n">
        <v>56658</v>
      </c>
      <c r="C13115" t="inlineStr">
        <is>
          <t>1433/11/24</t>
        </is>
      </c>
    </row>
    <row r="13116">
      <c r="A13116" t="n">
        <v>14331125</v>
      </c>
      <c r="B13116" t="n">
        <v>56659</v>
      </c>
      <c r="C13116" t="inlineStr">
        <is>
          <t>1433/11/25</t>
        </is>
      </c>
    </row>
    <row r="13117">
      <c r="A13117" t="n">
        <v>14331126</v>
      </c>
      <c r="B13117" t="n">
        <v>56660</v>
      </c>
      <c r="C13117" t="inlineStr">
        <is>
          <t>1433/11/26</t>
        </is>
      </c>
    </row>
    <row r="13118">
      <c r="A13118" t="n">
        <v>14331127</v>
      </c>
      <c r="B13118" t="n">
        <v>56661</v>
      </c>
      <c r="C13118" t="inlineStr">
        <is>
          <t>1433/11/27</t>
        </is>
      </c>
    </row>
    <row r="13119">
      <c r="A13119" t="n">
        <v>14331128</v>
      </c>
      <c r="B13119" t="n">
        <v>56662</v>
      </c>
      <c r="C13119" t="inlineStr">
        <is>
          <t>1433/11/28</t>
        </is>
      </c>
    </row>
    <row r="13120">
      <c r="A13120" t="n">
        <v>14331129</v>
      </c>
      <c r="B13120" t="n">
        <v>56663</v>
      </c>
      <c r="C13120" t="inlineStr">
        <is>
          <t>1433/11/29</t>
        </is>
      </c>
    </row>
    <row r="13121">
      <c r="A13121" t="n">
        <v>14331130</v>
      </c>
      <c r="B13121" t="n">
        <v>56664</v>
      </c>
      <c r="C13121" t="inlineStr">
        <is>
          <t>1433/11/30</t>
        </is>
      </c>
    </row>
    <row r="13122">
      <c r="A13122" t="n">
        <v>14331201</v>
      </c>
      <c r="B13122" t="n">
        <v>56665</v>
      </c>
      <c r="C13122" t="inlineStr">
        <is>
          <t>1433/12/01</t>
        </is>
      </c>
    </row>
    <row r="13123">
      <c r="A13123" t="n">
        <v>14331202</v>
      </c>
      <c r="B13123" t="n">
        <v>56666</v>
      </c>
      <c r="C13123" t="inlineStr">
        <is>
          <t>1433/12/02</t>
        </is>
      </c>
    </row>
    <row r="13124">
      <c r="A13124" t="n">
        <v>14331203</v>
      </c>
      <c r="B13124" t="n">
        <v>56667</v>
      </c>
      <c r="C13124" t="inlineStr">
        <is>
          <t>1433/12/03</t>
        </is>
      </c>
    </row>
    <row r="13125">
      <c r="A13125" t="n">
        <v>14331204</v>
      </c>
      <c r="B13125" t="n">
        <v>56668</v>
      </c>
      <c r="C13125" t="inlineStr">
        <is>
          <t>1433/12/04</t>
        </is>
      </c>
    </row>
    <row r="13126">
      <c r="A13126" t="n">
        <v>14331205</v>
      </c>
      <c r="B13126" t="n">
        <v>56669</v>
      </c>
      <c r="C13126" t="inlineStr">
        <is>
          <t>1433/12/05</t>
        </is>
      </c>
    </row>
    <row r="13127">
      <c r="A13127" t="n">
        <v>14331206</v>
      </c>
      <c r="B13127" t="n">
        <v>56670</v>
      </c>
      <c r="C13127" t="inlineStr">
        <is>
          <t>1433/12/06</t>
        </is>
      </c>
    </row>
    <row r="13128">
      <c r="A13128" t="n">
        <v>14331207</v>
      </c>
      <c r="B13128" t="n">
        <v>56671</v>
      </c>
      <c r="C13128" t="inlineStr">
        <is>
          <t>1433/12/07</t>
        </is>
      </c>
    </row>
    <row r="13129">
      <c r="A13129" t="n">
        <v>14331208</v>
      </c>
      <c r="B13129" t="n">
        <v>56672</v>
      </c>
      <c r="C13129" t="inlineStr">
        <is>
          <t>1433/12/08</t>
        </is>
      </c>
    </row>
    <row r="13130">
      <c r="A13130" t="n">
        <v>14331209</v>
      </c>
      <c r="B13130" t="n">
        <v>56673</v>
      </c>
      <c r="C13130" t="inlineStr">
        <is>
          <t>1433/12/09</t>
        </is>
      </c>
    </row>
    <row r="13131">
      <c r="A13131" t="n">
        <v>14331210</v>
      </c>
      <c r="B13131" t="n">
        <v>56674</v>
      </c>
      <c r="C13131" t="inlineStr">
        <is>
          <t>1433/12/10</t>
        </is>
      </c>
    </row>
    <row r="13132">
      <c r="A13132" t="n">
        <v>14331211</v>
      </c>
      <c r="B13132" t="n">
        <v>56675</v>
      </c>
      <c r="C13132" t="inlineStr">
        <is>
          <t>1433/12/11</t>
        </is>
      </c>
    </row>
    <row r="13133">
      <c r="A13133" t="n">
        <v>14331212</v>
      </c>
      <c r="B13133" t="n">
        <v>56676</v>
      </c>
      <c r="C13133" t="inlineStr">
        <is>
          <t>1433/12/12</t>
        </is>
      </c>
    </row>
    <row r="13134">
      <c r="A13134" t="n">
        <v>14331213</v>
      </c>
      <c r="B13134" t="n">
        <v>56677</v>
      </c>
      <c r="C13134" t="inlineStr">
        <is>
          <t>1433/12/13</t>
        </is>
      </c>
    </row>
    <row r="13135">
      <c r="A13135" t="n">
        <v>14331214</v>
      </c>
      <c r="B13135" t="n">
        <v>56678</v>
      </c>
      <c r="C13135" t="inlineStr">
        <is>
          <t>1433/12/14</t>
        </is>
      </c>
    </row>
    <row r="13136">
      <c r="A13136" t="n">
        <v>14331215</v>
      </c>
      <c r="B13136" t="n">
        <v>56679</v>
      </c>
      <c r="C13136" t="inlineStr">
        <is>
          <t>1433/12/15</t>
        </is>
      </c>
    </row>
    <row r="13137">
      <c r="A13137" t="n">
        <v>14331216</v>
      </c>
      <c r="B13137" t="n">
        <v>56680</v>
      </c>
      <c r="C13137" t="inlineStr">
        <is>
          <t>1433/12/16</t>
        </is>
      </c>
    </row>
    <row r="13138">
      <c r="A13138" t="n">
        <v>14331217</v>
      </c>
      <c r="B13138" t="n">
        <v>56681</v>
      </c>
      <c r="C13138" t="inlineStr">
        <is>
          <t>1433/12/17</t>
        </is>
      </c>
    </row>
    <row r="13139">
      <c r="A13139" t="n">
        <v>14331218</v>
      </c>
      <c r="B13139" t="n">
        <v>56682</v>
      </c>
      <c r="C13139" t="inlineStr">
        <is>
          <t>1433/12/18</t>
        </is>
      </c>
    </row>
    <row r="13140">
      <c r="A13140" t="n">
        <v>14331219</v>
      </c>
      <c r="B13140" t="n">
        <v>56683</v>
      </c>
      <c r="C13140" t="inlineStr">
        <is>
          <t>1433/12/19</t>
        </is>
      </c>
    </row>
    <row r="13141">
      <c r="A13141" t="n">
        <v>14331220</v>
      </c>
      <c r="B13141" t="n">
        <v>56684</v>
      </c>
      <c r="C13141" t="inlineStr">
        <is>
          <t>1433/12/20</t>
        </is>
      </c>
    </row>
    <row r="13142">
      <c r="A13142" t="n">
        <v>14331221</v>
      </c>
      <c r="B13142" t="n">
        <v>56685</v>
      </c>
      <c r="C13142" t="inlineStr">
        <is>
          <t>1433/12/21</t>
        </is>
      </c>
    </row>
    <row r="13143">
      <c r="A13143" t="n">
        <v>14331222</v>
      </c>
      <c r="B13143" t="n">
        <v>56686</v>
      </c>
      <c r="C13143" t="inlineStr">
        <is>
          <t>1433/12/22</t>
        </is>
      </c>
    </row>
    <row r="13144">
      <c r="A13144" t="n">
        <v>14331223</v>
      </c>
      <c r="B13144" t="n">
        <v>56687</v>
      </c>
      <c r="C13144" t="inlineStr">
        <is>
          <t>1433/12/23</t>
        </is>
      </c>
    </row>
    <row r="13145">
      <c r="A13145" t="n">
        <v>14331224</v>
      </c>
      <c r="B13145" t="n">
        <v>56688</v>
      </c>
      <c r="C13145" t="inlineStr">
        <is>
          <t>1433/12/24</t>
        </is>
      </c>
    </row>
    <row r="13146">
      <c r="A13146" t="n">
        <v>14331225</v>
      </c>
      <c r="B13146" t="n">
        <v>56689</v>
      </c>
      <c r="C13146" t="inlineStr">
        <is>
          <t>1433/12/25</t>
        </is>
      </c>
    </row>
    <row r="13147">
      <c r="A13147" t="n">
        <v>14331226</v>
      </c>
      <c r="B13147" t="n">
        <v>56690</v>
      </c>
      <c r="C13147" t="inlineStr">
        <is>
          <t>1433/12/26</t>
        </is>
      </c>
    </row>
    <row r="13148">
      <c r="A13148" t="n">
        <v>14331227</v>
      </c>
      <c r="B13148" t="n">
        <v>56691</v>
      </c>
      <c r="C13148" t="inlineStr">
        <is>
          <t>1433/12/27</t>
        </is>
      </c>
    </row>
    <row r="13149">
      <c r="A13149" t="n">
        <v>14331228</v>
      </c>
      <c r="B13149" t="n">
        <v>56692</v>
      </c>
      <c r="C13149" t="inlineStr">
        <is>
          <t>1433/12/28</t>
        </is>
      </c>
    </row>
    <row r="13150">
      <c r="A13150" t="n">
        <v>14331229</v>
      </c>
      <c r="B13150" t="n">
        <v>56693</v>
      </c>
      <c r="C13150" t="inlineStr">
        <is>
          <t>1433/12/29</t>
        </is>
      </c>
    </row>
    <row r="13151">
      <c r="A13151" t="n">
        <v>14340101</v>
      </c>
      <c r="B13151" t="n">
        <v>56694</v>
      </c>
      <c r="C13151" t="inlineStr">
        <is>
          <t>1434/01/01</t>
        </is>
      </c>
    </row>
    <row r="13152">
      <c r="A13152" t="n">
        <v>14340102</v>
      </c>
      <c r="B13152" t="n">
        <v>56695</v>
      </c>
      <c r="C13152" t="inlineStr">
        <is>
          <t>1434/01/02</t>
        </is>
      </c>
    </row>
    <row r="13153">
      <c r="A13153" t="n">
        <v>14340103</v>
      </c>
      <c r="B13153" t="n">
        <v>56696</v>
      </c>
      <c r="C13153" t="inlineStr">
        <is>
          <t>1434/01/03</t>
        </is>
      </c>
    </row>
    <row r="13154">
      <c r="A13154" t="n">
        <v>14340104</v>
      </c>
      <c r="B13154" t="n">
        <v>56697</v>
      </c>
      <c r="C13154" t="inlineStr">
        <is>
          <t>1434/01/04</t>
        </is>
      </c>
    </row>
    <row r="13155">
      <c r="A13155" t="n">
        <v>14340105</v>
      </c>
      <c r="B13155" t="n">
        <v>56698</v>
      </c>
      <c r="C13155" t="inlineStr">
        <is>
          <t>1434/01/05</t>
        </is>
      </c>
    </row>
    <row r="13156">
      <c r="A13156" t="n">
        <v>14340106</v>
      </c>
      <c r="B13156" t="n">
        <v>56699</v>
      </c>
      <c r="C13156" t="inlineStr">
        <is>
          <t>1434/01/06</t>
        </is>
      </c>
    </row>
    <row r="13157">
      <c r="A13157" t="n">
        <v>14340107</v>
      </c>
      <c r="B13157" t="n">
        <v>56700</v>
      </c>
      <c r="C13157" t="inlineStr">
        <is>
          <t>1434/01/07</t>
        </is>
      </c>
    </row>
    <row r="13158">
      <c r="A13158" t="n">
        <v>14340108</v>
      </c>
      <c r="B13158" t="n">
        <v>56701</v>
      </c>
      <c r="C13158" t="inlineStr">
        <is>
          <t>1434/01/08</t>
        </is>
      </c>
    </row>
    <row r="13159">
      <c r="A13159" t="n">
        <v>14340109</v>
      </c>
      <c r="B13159" t="n">
        <v>56702</v>
      </c>
      <c r="C13159" t="inlineStr">
        <is>
          <t>1434/01/09</t>
        </is>
      </c>
    </row>
    <row r="13160">
      <c r="A13160" t="n">
        <v>14340110</v>
      </c>
      <c r="B13160" t="n">
        <v>56703</v>
      </c>
      <c r="C13160" t="inlineStr">
        <is>
          <t>1434/01/10</t>
        </is>
      </c>
    </row>
    <row r="13161">
      <c r="A13161" t="n">
        <v>14340111</v>
      </c>
      <c r="B13161" t="n">
        <v>56704</v>
      </c>
      <c r="C13161" t="inlineStr">
        <is>
          <t>1434/01/11</t>
        </is>
      </c>
    </row>
    <row r="13162">
      <c r="A13162" t="n">
        <v>14340112</v>
      </c>
      <c r="B13162" t="n">
        <v>56705</v>
      </c>
      <c r="C13162" t="inlineStr">
        <is>
          <t>1434/01/12</t>
        </is>
      </c>
    </row>
    <row r="13163">
      <c r="A13163" t="n">
        <v>14340113</v>
      </c>
      <c r="B13163" t="n">
        <v>56706</v>
      </c>
      <c r="C13163" t="inlineStr">
        <is>
          <t>1434/01/13</t>
        </is>
      </c>
    </row>
    <row r="13164">
      <c r="A13164" t="n">
        <v>14340114</v>
      </c>
      <c r="B13164" t="n">
        <v>56707</v>
      </c>
      <c r="C13164" t="inlineStr">
        <is>
          <t>1434/01/14</t>
        </is>
      </c>
    </row>
    <row r="13165">
      <c r="A13165" t="n">
        <v>14340115</v>
      </c>
      <c r="B13165" t="n">
        <v>56708</v>
      </c>
      <c r="C13165" t="inlineStr">
        <is>
          <t>1434/01/15</t>
        </is>
      </c>
    </row>
    <row r="13166">
      <c r="A13166" t="n">
        <v>14340116</v>
      </c>
      <c r="B13166" t="n">
        <v>56709</v>
      </c>
      <c r="C13166" t="inlineStr">
        <is>
          <t>1434/01/16</t>
        </is>
      </c>
    </row>
    <row r="13167">
      <c r="A13167" t="n">
        <v>14340117</v>
      </c>
      <c r="B13167" t="n">
        <v>56710</v>
      </c>
      <c r="C13167" t="inlineStr">
        <is>
          <t>1434/01/17</t>
        </is>
      </c>
    </row>
    <row r="13168">
      <c r="A13168" t="n">
        <v>14340118</v>
      </c>
      <c r="B13168" t="n">
        <v>56711</v>
      </c>
      <c r="C13168" t="inlineStr">
        <is>
          <t>1434/01/18</t>
        </is>
      </c>
    </row>
    <row r="13169">
      <c r="A13169" t="n">
        <v>14340119</v>
      </c>
      <c r="B13169" t="n">
        <v>56712</v>
      </c>
      <c r="C13169" t="inlineStr">
        <is>
          <t>1434/01/19</t>
        </is>
      </c>
    </row>
    <row r="13170">
      <c r="A13170" t="n">
        <v>14340120</v>
      </c>
      <c r="B13170" t="n">
        <v>56713</v>
      </c>
      <c r="C13170" t="inlineStr">
        <is>
          <t>1434/01/20</t>
        </is>
      </c>
    </row>
    <row r="13171">
      <c r="A13171" t="n">
        <v>14340121</v>
      </c>
      <c r="B13171" t="n">
        <v>56714</v>
      </c>
      <c r="C13171" t="inlineStr">
        <is>
          <t>1434/01/21</t>
        </is>
      </c>
    </row>
    <row r="13172">
      <c r="A13172" t="n">
        <v>14340122</v>
      </c>
      <c r="B13172" t="n">
        <v>56715</v>
      </c>
      <c r="C13172" t="inlineStr">
        <is>
          <t>1434/01/22</t>
        </is>
      </c>
    </row>
    <row r="13173">
      <c r="A13173" t="n">
        <v>14340123</v>
      </c>
      <c r="B13173" t="n">
        <v>56716</v>
      </c>
      <c r="C13173" t="inlineStr">
        <is>
          <t>1434/01/23</t>
        </is>
      </c>
    </row>
    <row r="13174">
      <c r="A13174" t="n">
        <v>14340124</v>
      </c>
      <c r="B13174" t="n">
        <v>56717</v>
      </c>
      <c r="C13174" t="inlineStr">
        <is>
          <t>1434/01/24</t>
        </is>
      </c>
    </row>
    <row r="13175">
      <c r="A13175" t="n">
        <v>14340125</v>
      </c>
      <c r="B13175" t="n">
        <v>56718</v>
      </c>
      <c r="C13175" t="inlineStr">
        <is>
          <t>1434/01/25</t>
        </is>
      </c>
    </row>
    <row r="13176">
      <c r="A13176" t="n">
        <v>14340126</v>
      </c>
      <c r="B13176" t="n">
        <v>56719</v>
      </c>
      <c r="C13176" t="inlineStr">
        <is>
          <t>1434/01/26</t>
        </is>
      </c>
    </row>
    <row r="13177">
      <c r="A13177" t="n">
        <v>14340127</v>
      </c>
      <c r="B13177" t="n">
        <v>56720</v>
      </c>
      <c r="C13177" t="inlineStr">
        <is>
          <t>1434/01/27</t>
        </is>
      </c>
    </row>
    <row r="13178">
      <c r="A13178" t="n">
        <v>14340128</v>
      </c>
      <c r="B13178" t="n">
        <v>56721</v>
      </c>
      <c r="C13178" t="inlineStr">
        <is>
          <t>1434/01/28</t>
        </is>
      </c>
    </row>
    <row r="13179">
      <c r="A13179" t="n">
        <v>14340129</v>
      </c>
      <c r="B13179" t="n">
        <v>56722</v>
      </c>
      <c r="C13179" t="inlineStr">
        <is>
          <t>1434/01/29</t>
        </is>
      </c>
    </row>
    <row r="13180">
      <c r="A13180" t="n">
        <v>14340130</v>
      </c>
      <c r="B13180" t="n">
        <v>56723</v>
      </c>
      <c r="C13180" t="inlineStr">
        <is>
          <t>1434/01/30</t>
        </is>
      </c>
    </row>
    <row r="13181">
      <c r="A13181" t="n">
        <v>14340131</v>
      </c>
      <c r="B13181" t="n">
        <v>56724</v>
      </c>
      <c r="C13181" t="inlineStr">
        <is>
          <t>1434/01/31</t>
        </is>
      </c>
    </row>
    <row r="13182">
      <c r="A13182" t="n">
        <v>14340201</v>
      </c>
      <c r="B13182" t="n">
        <v>56725</v>
      </c>
      <c r="C13182" t="inlineStr">
        <is>
          <t>1434/02/01</t>
        </is>
      </c>
    </row>
    <row r="13183">
      <c r="A13183" t="n">
        <v>14340202</v>
      </c>
      <c r="B13183" t="n">
        <v>56726</v>
      </c>
      <c r="C13183" t="inlineStr">
        <is>
          <t>1434/02/02</t>
        </is>
      </c>
    </row>
    <row r="13184">
      <c r="A13184" t="n">
        <v>14340203</v>
      </c>
      <c r="B13184" t="n">
        <v>56727</v>
      </c>
      <c r="C13184" t="inlineStr">
        <is>
          <t>1434/02/03</t>
        </is>
      </c>
    </row>
    <row r="13185">
      <c r="A13185" t="n">
        <v>14340204</v>
      </c>
      <c r="B13185" t="n">
        <v>56728</v>
      </c>
      <c r="C13185" t="inlineStr">
        <is>
          <t>1434/02/04</t>
        </is>
      </c>
    </row>
    <row r="13186">
      <c r="A13186" t="n">
        <v>14340205</v>
      </c>
      <c r="B13186" t="n">
        <v>56729</v>
      </c>
      <c r="C13186" t="inlineStr">
        <is>
          <t>1434/02/05</t>
        </is>
      </c>
    </row>
    <row r="13187">
      <c r="A13187" t="n">
        <v>14340206</v>
      </c>
      <c r="B13187" t="n">
        <v>56730</v>
      </c>
      <c r="C13187" t="inlineStr">
        <is>
          <t>1434/02/06</t>
        </is>
      </c>
    </row>
    <row r="13188">
      <c r="A13188" t="n">
        <v>14340207</v>
      </c>
      <c r="B13188" t="n">
        <v>56731</v>
      </c>
      <c r="C13188" t="inlineStr">
        <is>
          <t>1434/02/07</t>
        </is>
      </c>
    </row>
    <row r="13189">
      <c r="A13189" t="n">
        <v>14340208</v>
      </c>
      <c r="B13189" t="n">
        <v>56732</v>
      </c>
      <c r="C13189" t="inlineStr">
        <is>
          <t>1434/02/08</t>
        </is>
      </c>
    </row>
    <row r="13190">
      <c r="A13190" t="n">
        <v>14340209</v>
      </c>
      <c r="B13190" t="n">
        <v>56733</v>
      </c>
      <c r="C13190" t="inlineStr">
        <is>
          <t>1434/02/09</t>
        </is>
      </c>
    </row>
    <row r="13191">
      <c r="A13191" t="n">
        <v>14340210</v>
      </c>
      <c r="B13191" t="n">
        <v>56734</v>
      </c>
      <c r="C13191" t="inlineStr">
        <is>
          <t>1434/02/10</t>
        </is>
      </c>
    </row>
    <row r="13192">
      <c r="A13192" t="n">
        <v>14340211</v>
      </c>
      <c r="B13192" t="n">
        <v>56735</v>
      </c>
      <c r="C13192" t="inlineStr">
        <is>
          <t>1434/02/11</t>
        </is>
      </c>
    </row>
    <row r="13193">
      <c r="A13193" t="n">
        <v>14340212</v>
      </c>
      <c r="B13193" t="n">
        <v>56736</v>
      </c>
      <c r="C13193" t="inlineStr">
        <is>
          <t>1434/02/12</t>
        </is>
      </c>
    </row>
    <row r="13194">
      <c r="A13194" t="n">
        <v>14340213</v>
      </c>
      <c r="B13194" t="n">
        <v>56737</v>
      </c>
      <c r="C13194" t="inlineStr">
        <is>
          <t>1434/02/13</t>
        </is>
      </c>
    </row>
    <row r="13195">
      <c r="A13195" t="n">
        <v>14340214</v>
      </c>
      <c r="B13195" t="n">
        <v>56738</v>
      </c>
      <c r="C13195" t="inlineStr">
        <is>
          <t>1434/02/14</t>
        </is>
      </c>
    </row>
    <row r="13196">
      <c r="A13196" t="n">
        <v>14340215</v>
      </c>
      <c r="B13196" t="n">
        <v>56739</v>
      </c>
      <c r="C13196" t="inlineStr">
        <is>
          <t>1434/02/15</t>
        </is>
      </c>
    </row>
    <row r="13197">
      <c r="A13197" t="n">
        <v>14340216</v>
      </c>
      <c r="B13197" t="n">
        <v>56740</v>
      </c>
      <c r="C13197" t="inlineStr">
        <is>
          <t>1434/02/16</t>
        </is>
      </c>
    </row>
    <row r="13198">
      <c r="A13198" t="n">
        <v>14340217</v>
      </c>
      <c r="B13198" t="n">
        <v>56741</v>
      </c>
      <c r="C13198" t="inlineStr">
        <is>
          <t>1434/02/17</t>
        </is>
      </c>
    </row>
    <row r="13199">
      <c r="A13199" t="n">
        <v>14340218</v>
      </c>
      <c r="B13199" t="n">
        <v>56742</v>
      </c>
      <c r="C13199" t="inlineStr">
        <is>
          <t>1434/02/18</t>
        </is>
      </c>
    </row>
    <row r="13200">
      <c r="A13200" t="n">
        <v>14340219</v>
      </c>
      <c r="B13200" t="n">
        <v>56743</v>
      </c>
      <c r="C13200" t="inlineStr">
        <is>
          <t>1434/02/19</t>
        </is>
      </c>
    </row>
    <row r="13201">
      <c r="A13201" t="n">
        <v>14340220</v>
      </c>
      <c r="B13201" t="n">
        <v>56744</v>
      </c>
      <c r="C13201" t="inlineStr">
        <is>
          <t>1434/02/20</t>
        </is>
      </c>
    </row>
    <row r="13202">
      <c r="A13202" t="n">
        <v>14340221</v>
      </c>
      <c r="B13202" t="n">
        <v>56745</v>
      </c>
      <c r="C13202" t="inlineStr">
        <is>
          <t>1434/02/21</t>
        </is>
      </c>
    </row>
    <row r="13203">
      <c r="A13203" t="n">
        <v>14340222</v>
      </c>
      <c r="B13203" t="n">
        <v>56746</v>
      </c>
      <c r="C13203" t="inlineStr">
        <is>
          <t>1434/02/22</t>
        </is>
      </c>
    </row>
    <row r="13204">
      <c r="A13204" t="n">
        <v>14340223</v>
      </c>
      <c r="B13204" t="n">
        <v>56747</v>
      </c>
      <c r="C13204" t="inlineStr">
        <is>
          <t>1434/02/23</t>
        </is>
      </c>
    </row>
    <row r="13205">
      <c r="A13205" t="n">
        <v>14340224</v>
      </c>
      <c r="B13205" t="n">
        <v>56748</v>
      </c>
      <c r="C13205" t="inlineStr">
        <is>
          <t>1434/02/24</t>
        </is>
      </c>
    </row>
    <row r="13206">
      <c r="A13206" t="n">
        <v>14340225</v>
      </c>
      <c r="B13206" t="n">
        <v>56749</v>
      </c>
      <c r="C13206" t="inlineStr">
        <is>
          <t>1434/02/25</t>
        </is>
      </c>
    </row>
    <row r="13207">
      <c r="A13207" t="n">
        <v>14340226</v>
      </c>
      <c r="B13207" t="n">
        <v>56750</v>
      </c>
      <c r="C13207" t="inlineStr">
        <is>
          <t>1434/02/26</t>
        </is>
      </c>
    </row>
    <row r="13208">
      <c r="A13208" t="n">
        <v>14340227</v>
      </c>
      <c r="B13208" t="n">
        <v>56751</v>
      </c>
      <c r="C13208" t="inlineStr">
        <is>
          <t>1434/02/27</t>
        </is>
      </c>
    </row>
    <row r="13209">
      <c r="A13209" t="n">
        <v>14340228</v>
      </c>
      <c r="B13209" t="n">
        <v>56752</v>
      </c>
      <c r="C13209" t="inlineStr">
        <is>
          <t>1434/02/28</t>
        </is>
      </c>
    </row>
    <row r="13210">
      <c r="A13210" t="n">
        <v>14340229</v>
      </c>
      <c r="B13210" t="n">
        <v>56753</v>
      </c>
      <c r="C13210" t="inlineStr">
        <is>
          <t>1434/02/29</t>
        </is>
      </c>
    </row>
    <row r="13211">
      <c r="A13211" t="n">
        <v>14340230</v>
      </c>
      <c r="B13211" t="n">
        <v>56754</v>
      </c>
      <c r="C13211" t="inlineStr">
        <is>
          <t>1434/02/30</t>
        </is>
      </c>
    </row>
    <row r="13212">
      <c r="A13212" t="n">
        <v>14340231</v>
      </c>
      <c r="B13212" t="n">
        <v>56755</v>
      </c>
      <c r="C13212" t="inlineStr">
        <is>
          <t>1434/02/31</t>
        </is>
      </c>
    </row>
    <row r="13213">
      <c r="A13213" t="n">
        <v>14340301</v>
      </c>
      <c r="B13213" t="n">
        <v>56756</v>
      </c>
      <c r="C13213" t="inlineStr">
        <is>
          <t>1434/03/01</t>
        </is>
      </c>
    </row>
    <row r="13214">
      <c r="A13214" t="n">
        <v>14340302</v>
      </c>
      <c r="B13214" t="n">
        <v>56757</v>
      </c>
      <c r="C13214" t="inlineStr">
        <is>
          <t>1434/03/02</t>
        </is>
      </c>
    </row>
    <row r="13215">
      <c r="A13215" t="n">
        <v>14340303</v>
      </c>
      <c r="B13215" t="n">
        <v>56758</v>
      </c>
      <c r="C13215" t="inlineStr">
        <is>
          <t>1434/03/03</t>
        </is>
      </c>
    </row>
    <row r="13216">
      <c r="A13216" t="n">
        <v>14340304</v>
      </c>
      <c r="B13216" t="n">
        <v>56759</v>
      </c>
      <c r="C13216" t="inlineStr">
        <is>
          <t>1434/03/04</t>
        </is>
      </c>
    </row>
    <row r="13217">
      <c r="A13217" t="n">
        <v>14340305</v>
      </c>
      <c r="B13217" t="n">
        <v>56760</v>
      </c>
      <c r="C13217" t="inlineStr">
        <is>
          <t>1434/03/05</t>
        </is>
      </c>
    </row>
    <row r="13218">
      <c r="A13218" t="n">
        <v>14340306</v>
      </c>
      <c r="B13218" t="n">
        <v>56761</v>
      </c>
      <c r="C13218" t="inlineStr">
        <is>
          <t>1434/03/06</t>
        </is>
      </c>
    </row>
    <row r="13219">
      <c r="A13219" t="n">
        <v>14340307</v>
      </c>
      <c r="B13219" t="n">
        <v>56762</v>
      </c>
      <c r="C13219" t="inlineStr">
        <is>
          <t>1434/03/07</t>
        </is>
      </c>
    </row>
    <row r="13220">
      <c r="A13220" t="n">
        <v>14340308</v>
      </c>
      <c r="B13220" t="n">
        <v>56763</v>
      </c>
      <c r="C13220" t="inlineStr">
        <is>
          <t>1434/03/08</t>
        </is>
      </c>
    </row>
    <row r="13221">
      <c r="A13221" t="n">
        <v>14340309</v>
      </c>
      <c r="B13221" t="n">
        <v>56764</v>
      </c>
      <c r="C13221" t="inlineStr">
        <is>
          <t>1434/03/09</t>
        </is>
      </c>
    </row>
    <row r="13222">
      <c r="A13222" t="n">
        <v>14340310</v>
      </c>
      <c r="B13222" t="n">
        <v>56765</v>
      </c>
      <c r="C13222" t="inlineStr">
        <is>
          <t>1434/03/10</t>
        </is>
      </c>
    </row>
    <row r="13223">
      <c r="A13223" t="n">
        <v>14340311</v>
      </c>
      <c r="B13223" t="n">
        <v>56766</v>
      </c>
      <c r="C13223" t="inlineStr">
        <is>
          <t>1434/03/11</t>
        </is>
      </c>
    </row>
    <row r="13224">
      <c r="A13224" t="n">
        <v>14340312</v>
      </c>
      <c r="B13224" t="n">
        <v>56767</v>
      </c>
      <c r="C13224" t="inlineStr">
        <is>
          <t>1434/03/12</t>
        </is>
      </c>
    </row>
    <row r="13225">
      <c r="A13225" t="n">
        <v>14340313</v>
      </c>
      <c r="B13225" t="n">
        <v>56768</v>
      </c>
      <c r="C13225" t="inlineStr">
        <is>
          <t>1434/03/13</t>
        </is>
      </c>
    </row>
    <row r="13226">
      <c r="A13226" t="n">
        <v>14340314</v>
      </c>
      <c r="B13226" t="n">
        <v>56769</v>
      </c>
      <c r="C13226" t="inlineStr">
        <is>
          <t>1434/03/14</t>
        </is>
      </c>
    </row>
    <row r="13227">
      <c r="A13227" t="n">
        <v>14340315</v>
      </c>
      <c r="B13227" t="n">
        <v>56770</v>
      </c>
      <c r="C13227" t="inlineStr">
        <is>
          <t>1434/03/15</t>
        </is>
      </c>
    </row>
    <row r="13228">
      <c r="A13228" t="n">
        <v>14340316</v>
      </c>
      <c r="B13228" t="n">
        <v>56771</v>
      </c>
      <c r="C13228" t="inlineStr">
        <is>
          <t>1434/03/16</t>
        </is>
      </c>
    </row>
    <row r="13229">
      <c r="A13229" t="n">
        <v>14340317</v>
      </c>
      <c r="B13229" t="n">
        <v>56772</v>
      </c>
      <c r="C13229" t="inlineStr">
        <is>
          <t>1434/03/17</t>
        </is>
      </c>
    </row>
    <row r="13230">
      <c r="A13230" t="n">
        <v>14340318</v>
      </c>
      <c r="B13230" t="n">
        <v>56773</v>
      </c>
      <c r="C13230" t="inlineStr">
        <is>
          <t>1434/03/18</t>
        </is>
      </c>
    </row>
    <row r="13231">
      <c r="A13231" t="n">
        <v>14340319</v>
      </c>
      <c r="B13231" t="n">
        <v>56774</v>
      </c>
      <c r="C13231" t="inlineStr">
        <is>
          <t>1434/03/19</t>
        </is>
      </c>
    </row>
    <row r="13232">
      <c r="A13232" t="n">
        <v>14340320</v>
      </c>
      <c r="B13232" t="n">
        <v>56775</v>
      </c>
      <c r="C13232" t="inlineStr">
        <is>
          <t>1434/03/20</t>
        </is>
      </c>
    </row>
    <row r="13233">
      <c r="A13233" t="n">
        <v>14340321</v>
      </c>
      <c r="B13233" t="n">
        <v>56776</v>
      </c>
      <c r="C13233" t="inlineStr">
        <is>
          <t>1434/03/21</t>
        </is>
      </c>
    </row>
    <row r="13234">
      <c r="A13234" t="n">
        <v>14340322</v>
      </c>
      <c r="B13234" t="n">
        <v>56777</v>
      </c>
      <c r="C13234" t="inlineStr">
        <is>
          <t>1434/03/22</t>
        </is>
      </c>
    </row>
    <row r="13235">
      <c r="A13235" t="n">
        <v>14340323</v>
      </c>
      <c r="B13235" t="n">
        <v>56778</v>
      </c>
      <c r="C13235" t="inlineStr">
        <is>
          <t>1434/03/23</t>
        </is>
      </c>
    </row>
    <row r="13236">
      <c r="A13236" t="n">
        <v>14340324</v>
      </c>
      <c r="B13236" t="n">
        <v>56779</v>
      </c>
      <c r="C13236" t="inlineStr">
        <is>
          <t>1434/03/24</t>
        </is>
      </c>
    </row>
    <row r="13237">
      <c r="A13237" t="n">
        <v>14340325</v>
      </c>
      <c r="B13237" t="n">
        <v>56780</v>
      </c>
      <c r="C13237" t="inlineStr">
        <is>
          <t>1434/03/25</t>
        </is>
      </c>
    </row>
    <row r="13238">
      <c r="A13238" t="n">
        <v>14340326</v>
      </c>
      <c r="B13238" t="n">
        <v>56781</v>
      </c>
      <c r="C13238" t="inlineStr">
        <is>
          <t>1434/03/26</t>
        </is>
      </c>
    </row>
    <row r="13239">
      <c r="A13239" t="n">
        <v>14340327</v>
      </c>
      <c r="B13239" t="n">
        <v>56782</v>
      </c>
      <c r="C13239" t="inlineStr">
        <is>
          <t>1434/03/27</t>
        </is>
      </c>
    </row>
    <row r="13240">
      <c r="A13240" t="n">
        <v>14340328</v>
      </c>
      <c r="B13240" t="n">
        <v>56783</v>
      </c>
      <c r="C13240" t="inlineStr">
        <is>
          <t>1434/03/28</t>
        </is>
      </c>
    </row>
    <row r="13241">
      <c r="A13241" t="n">
        <v>14340329</v>
      </c>
      <c r="B13241" t="n">
        <v>56784</v>
      </c>
      <c r="C13241" t="inlineStr">
        <is>
          <t>1434/03/29</t>
        </is>
      </c>
    </row>
    <row r="13242">
      <c r="A13242" t="n">
        <v>14340330</v>
      </c>
      <c r="B13242" t="n">
        <v>56785</v>
      </c>
      <c r="C13242" t="inlineStr">
        <is>
          <t>1434/03/30</t>
        </is>
      </c>
    </row>
    <row r="13243">
      <c r="A13243" t="n">
        <v>14340331</v>
      </c>
      <c r="B13243" t="n">
        <v>56786</v>
      </c>
      <c r="C13243" t="inlineStr">
        <is>
          <t>1434/03/31</t>
        </is>
      </c>
    </row>
    <row r="13244">
      <c r="A13244" t="n">
        <v>14340401</v>
      </c>
      <c r="B13244" t="n">
        <v>56787</v>
      </c>
      <c r="C13244" t="inlineStr">
        <is>
          <t>1434/04/01</t>
        </is>
      </c>
    </row>
    <row r="13245">
      <c r="A13245" t="n">
        <v>14340402</v>
      </c>
      <c r="B13245" t="n">
        <v>56788</v>
      </c>
      <c r="C13245" t="inlineStr">
        <is>
          <t>1434/04/02</t>
        </is>
      </c>
    </row>
    <row r="13246">
      <c r="A13246" t="n">
        <v>14340403</v>
      </c>
      <c r="B13246" t="n">
        <v>56789</v>
      </c>
      <c r="C13246" t="inlineStr">
        <is>
          <t>1434/04/03</t>
        </is>
      </c>
    </row>
    <row r="13247">
      <c r="A13247" t="n">
        <v>14340404</v>
      </c>
      <c r="B13247" t="n">
        <v>56790</v>
      </c>
      <c r="C13247" t="inlineStr">
        <is>
          <t>1434/04/04</t>
        </is>
      </c>
    </row>
    <row r="13248">
      <c r="A13248" t="n">
        <v>14340405</v>
      </c>
      <c r="B13248" t="n">
        <v>56791</v>
      </c>
      <c r="C13248" t="inlineStr">
        <is>
          <t>1434/04/05</t>
        </is>
      </c>
    </row>
    <row r="13249">
      <c r="A13249" t="n">
        <v>14340406</v>
      </c>
      <c r="B13249" t="n">
        <v>56792</v>
      </c>
      <c r="C13249" t="inlineStr">
        <is>
          <t>1434/04/06</t>
        </is>
      </c>
    </row>
    <row r="13250">
      <c r="A13250" t="n">
        <v>14340407</v>
      </c>
      <c r="B13250" t="n">
        <v>56793</v>
      </c>
      <c r="C13250" t="inlineStr">
        <is>
          <t>1434/04/07</t>
        </is>
      </c>
    </row>
    <row r="13251">
      <c r="A13251" t="n">
        <v>14340408</v>
      </c>
      <c r="B13251" t="n">
        <v>56794</v>
      </c>
      <c r="C13251" t="inlineStr">
        <is>
          <t>1434/04/08</t>
        </is>
      </c>
    </row>
    <row r="13252">
      <c r="A13252" t="n">
        <v>14340409</v>
      </c>
      <c r="B13252" t="n">
        <v>56795</v>
      </c>
      <c r="C13252" t="inlineStr">
        <is>
          <t>1434/04/09</t>
        </is>
      </c>
    </row>
    <row r="13253">
      <c r="A13253" t="n">
        <v>14340410</v>
      </c>
      <c r="B13253" t="n">
        <v>56796</v>
      </c>
      <c r="C13253" t="inlineStr">
        <is>
          <t>1434/04/10</t>
        </is>
      </c>
    </row>
    <row r="13254">
      <c r="A13254" t="n">
        <v>14340411</v>
      </c>
      <c r="B13254" t="n">
        <v>56797</v>
      </c>
      <c r="C13254" t="inlineStr">
        <is>
          <t>1434/04/11</t>
        </is>
      </c>
    </row>
    <row r="13255">
      <c r="A13255" t="n">
        <v>14340412</v>
      </c>
      <c r="B13255" t="n">
        <v>56798</v>
      </c>
      <c r="C13255" t="inlineStr">
        <is>
          <t>1434/04/12</t>
        </is>
      </c>
    </row>
    <row r="13256">
      <c r="A13256" t="n">
        <v>14340413</v>
      </c>
      <c r="B13256" t="n">
        <v>56799</v>
      </c>
      <c r="C13256" t="inlineStr">
        <is>
          <t>1434/04/13</t>
        </is>
      </c>
    </row>
    <row r="13257">
      <c r="A13257" t="n">
        <v>14340414</v>
      </c>
      <c r="B13257" t="n">
        <v>56800</v>
      </c>
      <c r="C13257" t="inlineStr">
        <is>
          <t>1434/04/14</t>
        </is>
      </c>
    </row>
    <row r="13258">
      <c r="A13258" t="n">
        <v>14340415</v>
      </c>
      <c r="B13258" t="n">
        <v>56801</v>
      </c>
      <c r="C13258" t="inlineStr">
        <is>
          <t>1434/04/15</t>
        </is>
      </c>
    </row>
    <row r="13259">
      <c r="A13259" t="n">
        <v>14340416</v>
      </c>
      <c r="B13259" t="n">
        <v>56802</v>
      </c>
      <c r="C13259" t="inlineStr">
        <is>
          <t>1434/04/16</t>
        </is>
      </c>
    </row>
    <row r="13260">
      <c r="A13260" t="n">
        <v>14340417</v>
      </c>
      <c r="B13260" t="n">
        <v>56803</v>
      </c>
      <c r="C13260" t="inlineStr">
        <is>
          <t>1434/04/17</t>
        </is>
      </c>
    </row>
    <row r="13261">
      <c r="A13261" t="n">
        <v>14340418</v>
      </c>
      <c r="B13261" t="n">
        <v>56804</v>
      </c>
      <c r="C13261" t="inlineStr">
        <is>
          <t>1434/04/18</t>
        </is>
      </c>
    </row>
    <row r="13262">
      <c r="A13262" t="n">
        <v>14340419</v>
      </c>
      <c r="B13262" t="n">
        <v>56805</v>
      </c>
      <c r="C13262" t="inlineStr">
        <is>
          <t>1434/04/19</t>
        </is>
      </c>
    </row>
    <row r="13263">
      <c r="A13263" t="n">
        <v>14340420</v>
      </c>
      <c r="B13263" t="n">
        <v>56806</v>
      </c>
      <c r="C13263" t="inlineStr">
        <is>
          <t>1434/04/20</t>
        </is>
      </c>
    </row>
    <row r="13264">
      <c r="A13264" t="n">
        <v>14340421</v>
      </c>
      <c r="B13264" t="n">
        <v>56807</v>
      </c>
      <c r="C13264" t="inlineStr">
        <is>
          <t>1434/04/21</t>
        </is>
      </c>
    </row>
    <row r="13265">
      <c r="A13265" t="n">
        <v>14340422</v>
      </c>
      <c r="B13265" t="n">
        <v>56808</v>
      </c>
      <c r="C13265" t="inlineStr">
        <is>
          <t>1434/04/22</t>
        </is>
      </c>
    </row>
    <row r="13266">
      <c r="A13266" t="n">
        <v>14340423</v>
      </c>
      <c r="B13266" t="n">
        <v>56809</v>
      </c>
      <c r="C13266" t="inlineStr">
        <is>
          <t>1434/04/23</t>
        </is>
      </c>
    </row>
    <row r="13267">
      <c r="A13267" t="n">
        <v>14340424</v>
      </c>
      <c r="B13267" t="n">
        <v>56810</v>
      </c>
      <c r="C13267" t="inlineStr">
        <is>
          <t>1434/04/24</t>
        </is>
      </c>
    </row>
    <row r="13268">
      <c r="A13268" t="n">
        <v>14340425</v>
      </c>
      <c r="B13268" t="n">
        <v>56811</v>
      </c>
      <c r="C13268" t="inlineStr">
        <is>
          <t>1434/04/25</t>
        </is>
      </c>
    </row>
    <row r="13269">
      <c r="A13269" t="n">
        <v>14340426</v>
      </c>
      <c r="B13269" t="n">
        <v>56812</v>
      </c>
      <c r="C13269" t="inlineStr">
        <is>
          <t>1434/04/26</t>
        </is>
      </c>
    </row>
    <row r="13270">
      <c r="A13270" t="n">
        <v>14340427</v>
      </c>
      <c r="B13270" t="n">
        <v>56813</v>
      </c>
      <c r="C13270" t="inlineStr">
        <is>
          <t>1434/04/27</t>
        </is>
      </c>
    </row>
    <row r="13271">
      <c r="A13271" t="n">
        <v>14340428</v>
      </c>
      <c r="B13271" t="n">
        <v>56814</v>
      </c>
      <c r="C13271" t="inlineStr">
        <is>
          <t>1434/04/28</t>
        </is>
      </c>
    </row>
    <row r="13272">
      <c r="A13272" t="n">
        <v>14340429</v>
      </c>
      <c r="B13272" t="n">
        <v>56815</v>
      </c>
      <c r="C13272" t="inlineStr">
        <is>
          <t>1434/04/29</t>
        </is>
      </c>
    </row>
    <row r="13273">
      <c r="A13273" t="n">
        <v>14340430</v>
      </c>
      <c r="B13273" t="n">
        <v>56816</v>
      </c>
      <c r="C13273" t="inlineStr">
        <is>
          <t>1434/04/30</t>
        </is>
      </c>
    </row>
    <row r="13274">
      <c r="A13274" t="n">
        <v>14340431</v>
      </c>
      <c r="B13274" t="n">
        <v>56817</v>
      </c>
      <c r="C13274" t="inlineStr">
        <is>
          <t>1434/04/31</t>
        </is>
      </c>
    </row>
    <row r="13275">
      <c r="A13275" t="n">
        <v>14340501</v>
      </c>
      <c r="B13275" t="n">
        <v>56818</v>
      </c>
      <c r="C13275" t="inlineStr">
        <is>
          <t>1434/05/01</t>
        </is>
      </c>
    </row>
    <row r="13276">
      <c r="A13276" t="n">
        <v>14340502</v>
      </c>
      <c r="B13276" t="n">
        <v>56819</v>
      </c>
      <c r="C13276" t="inlineStr">
        <is>
          <t>1434/05/02</t>
        </is>
      </c>
    </row>
    <row r="13277">
      <c r="A13277" t="n">
        <v>14340503</v>
      </c>
      <c r="B13277" t="n">
        <v>56820</v>
      </c>
      <c r="C13277" t="inlineStr">
        <is>
          <t>1434/05/03</t>
        </is>
      </c>
    </row>
    <row r="13278">
      <c r="A13278" t="n">
        <v>14340504</v>
      </c>
      <c r="B13278" t="n">
        <v>56821</v>
      </c>
      <c r="C13278" t="inlineStr">
        <is>
          <t>1434/05/04</t>
        </is>
      </c>
    </row>
    <row r="13279">
      <c r="A13279" t="n">
        <v>14340505</v>
      </c>
      <c r="B13279" t="n">
        <v>56822</v>
      </c>
      <c r="C13279" t="inlineStr">
        <is>
          <t>1434/05/05</t>
        </is>
      </c>
    </row>
    <row r="13280">
      <c r="A13280" t="n">
        <v>14340506</v>
      </c>
      <c r="B13280" t="n">
        <v>56823</v>
      </c>
      <c r="C13280" t="inlineStr">
        <is>
          <t>1434/05/06</t>
        </is>
      </c>
    </row>
    <row r="13281">
      <c r="A13281" t="n">
        <v>14340507</v>
      </c>
      <c r="B13281" t="n">
        <v>56824</v>
      </c>
      <c r="C13281" t="inlineStr">
        <is>
          <t>1434/05/07</t>
        </is>
      </c>
    </row>
    <row r="13282">
      <c r="A13282" t="n">
        <v>14340508</v>
      </c>
      <c r="B13282" t="n">
        <v>56825</v>
      </c>
      <c r="C13282" t="inlineStr">
        <is>
          <t>1434/05/08</t>
        </is>
      </c>
    </row>
    <row r="13283">
      <c r="A13283" t="n">
        <v>14340509</v>
      </c>
      <c r="B13283" t="n">
        <v>56826</v>
      </c>
      <c r="C13283" t="inlineStr">
        <is>
          <t>1434/05/09</t>
        </is>
      </c>
    </row>
    <row r="13284">
      <c r="A13284" t="n">
        <v>14340510</v>
      </c>
      <c r="B13284" t="n">
        <v>56827</v>
      </c>
      <c r="C13284" t="inlineStr">
        <is>
          <t>1434/05/10</t>
        </is>
      </c>
    </row>
    <row r="13285">
      <c r="A13285" t="n">
        <v>14340511</v>
      </c>
      <c r="B13285" t="n">
        <v>56828</v>
      </c>
      <c r="C13285" t="inlineStr">
        <is>
          <t>1434/05/11</t>
        </is>
      </c>
    </row>
    <row r="13286">
      <c r="A13286" t="n">
        <v>14340512</v>
      </c>
      <c r="B13286" t="n">
        <v>56829</v>
      </c>
      <c r="C13286" t="inlineStr">
        <is>
          <t>1434/05/12</t>
        </is>
      </c>
    </row>
    <row r="13287">
      <c r="A13287" t="n">
        <v>14340513</v>
      </c>
      <c r="B13287" t="n">
        <v>56830</v>
      </c>
      <c r="C13287" t="inlineStr">
        <is>
          <t>1434/05/13</t>
        </is>
      </c>
    </row>
    <row r="13288">
      <c r="A13288" t="n">
        <v>14340514</v>
      </c>
      <c r="B13288" t="n">
        <v>56831</v>
      </c>
      <c r="C13288" t="inlineStr">
        <is>
          <t>1434/05/14</t>
        </is>
      </c>
    </row>
    <row r="13289">
      <c r="A13289" t="n">
        <v>14340515</v>
      </c>
      <c r="B13289" t="n">
        <v>56832</v>
      </c>
      <c r="C13289" t="inlineStr">
        <is>
          <t>1434/05/15</t>
        </is>
      </c>
    </row>
    <row r="13290">
      <c r="A13290" t="n">
        <v>14340516</v>
      </c>
      <c r="B13290" t="n">
        <v>56833</v>
      </c>
      <c r="C13290" t="inlineStr">
        <is>
          <t>1434/05/16</t>
        </is>
      </c>
    </row>
    <row r="13291">
      <c r="A13291" t="n">
        <v>14340517</v>
      </c>
      <c r="B13291" t="n">
        <v>56834</v>
      </c>
      <c r="C13291" t="inlineStr">
        <is>
          <t>1434/05/17</t>
        </is>
      </c>
    </row>
    <row r="13292">
      <c r="A13292" t="n">
        <v>14340518</v>
      </c>
      <c r="B13292" t="n">
        <v>56835</v>
      </c>
      <c r="C13292" t="inlineStr">
        <is>
          <t>1434/05/18</t>
        </is>
      </c>
    </row>
    <row r="13293">
      <c r="A13293" t="n">
        <v>14340519</v>
      </c>
      <c r="B13293" t="n">
        <v>56836</v>
      </c>
      <c r="C13293" t="inlineStr">
        <is>
          <t>1434/05/19</t>
        </is>
      </c>
    </row>
    <row r="13294">
      <c r="A13294" t="n">
        <v>14340520</v>
      </c>
      <c r="B13294" t="n">
        <v>56837</v>
      </c>
      <c r="C13294" t="inlineStr">
        <is>
          <t>1434/05/20</t>
        </is>
      </c>
    </row>
    <row r="13295">
      <c r="A13295" t="n">
        <v>14340521</v>
      </c>
      <c r="B13295" t="n">
        <v>56838</v>
      </c>
      <c r="C13295" t="inlineStr">
        <is>
          <t>1434/05/21</t>
        </is>
      </c>
    </row>
    <row r="13296">
      <c r="A13296" t="n">
        <v>14340522</v>
      </c>
      <c r="B13296" t="n">
        <v>56839</v>
      </c>
      <c r="C13296" t="inlineStr">
        <is>
          <t>1434/05/22</t>
        </is>
      </c>
    </row>
    <row r="13297">
      <c r="A13297" t="n">
        <v>14340523</v>
      </c>
      <c r="B13297" t="n">
        <v>56840</v>
      </c>
      <c r="C13297" t="inlineStr">
        <is>
          <t>1434/05/23</t>
        </is>
      </c>
    </row>
    <row r="13298">
      <c r="A13298" t="n">
        <v>14340524</v>
      </c>
      <c r="B13298" t="n">
        <v>56841</v>
      </c>
      <c r="C13298" t="inlineStr">
        <is>
          <t>1434/05/24</t>
        </is>
      </c>
    </row>
    <row r="13299">
      <c r="A13299" t="n">
        <v>14340525</v>
      </c>
      <c r="B13299" t="n">
        <v>56842</v>
      </c>
      <c r="C13299" t="inlineStr">
        <is>
          <t>1434/05/25</t>
        </is>
      </c>
    </row>
    <row r="13300">
      <c r="A13300" t="n">
        <v>14340526</v>
      </c>
      <c r="B13300" t="n">
        <v>56843</v>
      </c>
      <c r="C13300" t="inlineStr">
        <is>
          <t>1434/05/26</t>
        </is>
      </c>
    </row>
    <row r="13301">
      <c r="A13301" t="n">
        <v>14340527</v>
      </c>
      <c r="B13301" t="n">
        <v>56844</v>
      </c>
      <c r="C13301" t="inlineStr">
        <is>
          <t>1434/05/27</t>
        </is>
      </c>
    </row>
    <row r="13302">
      <c r="A13302" t="n">
        <v>14340528</v>
      </c>
      <c r="B13302" t="n">
        <v>56845</v>
      </c>
      <c r="C13302" t="inlineStr">
        <is>
          <t>1434/05/28</t>
        </is>
      </c>
    </row>
    <row r="13303">
      <c r="A13303" t="n">
        <v>14340529</v>
      </c>
      <c r="B13303" t="n">
        <v>56846</v>
      </c>
      <c r="C13303" t="inlineStr">
        <is>
          <t>1434/05/29</t>
        </is>
      </c>
    </row>
    <row r="13304">
      <c r="A13304" t="n">
        <v>14340530</v>
      </c>
      <c r="B13304" t="n">
        <v>56847</v>
      </c>
      <c r="C13304" t="inlineStr">
        <is>
          <t>1434/05/30</t>
        </is>
      </c>
    </row>
    <row r="13305">
      <c r="A13305" t="n">
        <v>14340531</v>
      </c>
      <c r="B13305" t="n">
        <v>56848</v>
      </c>
      <c r="C13305" t="inlineStr">
        <is>
          <t>1434/05/31</t>
        </is>
      </c>
    </row>
    <row r="13306">
      <c r="A13306" t="n">
        <v>14340601</v>
      </c>
      <c r="B13306" t="n">
        <v>56849</v>
      </c>
      <c r="C13306" t="inlineStr">
        <is>
          <t>1434/06/01</t>
        </is>
      </c>
    </row>
    <row r="13307">
      <c r="A13307" t="n">
        <v>14340602</v>
      </c>
      <c r="B13307" t="n">
        <v>56850</v>
      </c>
      <c r="C13307" t="inlineStr">
        <is>
          <t>1434/06/02</t>
        </is>
      </c>
    </row>
    <row r="13308">
      <c r="A13308" t="n">
        <v>14340603</v>
      </c>
      <c r="B13308" t="n">
        <v>56851</v>
      </c>
      <c r="C13308" t="inlineStr">
        <is>
          <t>1434/06/03</t>
        </is>
      </c>
    </row>
    <row r="13309">
      <c r="A13309" t="n">
        <v>14340604</v>
      </c>
      <c r="B13309" t="n">
        <v>56852</v>
      </c>
      <c r="C13309" t="inlineStr">
        <is>
          <t>1434/06/04</t>
        </is>
      </c>
    </row>
    <row r="13310">
      <c r="A13310" t="n">
        <v>14340605</v>
      </c>
      <c r="B13310" t="n">
        <v>56853</v>
      </c>
      <c r="C13310" t="inlineStr">
        <is>
          <t>1434/06/05</t>
        </is>
      </c>
    </row>
    <row r="13311">
      <c r="A13311" t="n">
        <v>14340606</v>
      </c>
      <c r="B13311" t="n">
        <v>56854</v>
      </c>
      <c r="C13311" t="inlineStr">
        <is>
          <t>1434/06/06</t>
        </is>
      </c>
    </row>
    <row r="13312">
      <c r="A13312" t="n">
        <v>14340607</v>
      </c>
      <c r="B13312" t="n">
        <v>56855</v>
      </c>
      <c r="C13312" t="inlineStr">
        <is>
          <t>1434/06/07</t>
        </is>
      </c>
    </row>
    <row r="13313">
      <c r="A13313" t="n">
        <v>14340608</v>
      </c>
      <c r="B13313" t="n">
        <v>56856</v>
      </c>
      <c r="C13313" t="inlineStr">
        <is>
          <t>1434/06/08</t>
        </is>
      </c>
    </row>
    <row r="13314">
      <c r="A13314" t="n">
        <v>14340609</v>
      </c>
      <c r="B13314" t="n">
        <v>56857</v>
      </c>
      <c r="C13314" t="inlineStr">
        <is>
          <t>1434/06/09</t>
        </is>
      </c>
    </row>
    <row r="13315">
      <c r="A13315" t="n">
        <v>14340610</v>
      </c>
      <c r="B13315" t="n">
        <v>56858</v>
      </c>
      <c r="C13315" t="inlineStr">
        <is>
          <t>1434/06/10</t>
        </is>
      </c>
    </row>
    <row r="13316">
      <c r="A13316" t="n">
        <v>14340611</v>
      </c>
      <c r="B13316" t="n">
        <v>56859</v>
      </c>
      <c r="C13316" t="inlineStr">
        <is>
          <t>1434/06/11</t>
        </is>
      </c>
    </row>
    <row r="13317">
      <c r="A13317" t="n">
        <v>14340612</v>
      </c>
      <c r="B13317" t="n">
        <v>56860</v>
      </c>
      <c r="C13317" t="inlineStr">
        <is>
          <t>1434/06/12</t>
        </is>
      </c>
    </row>
    <row r="13318">
      <c r="A13318" t="n">
        <v>14340613</v>
      </c>
      <c r="B13318" t="n">
        <v>56861</v>
      </c>
      <c r="C13318" t="inlineStr">
        <is>
          <t>1434/06/13</t>
        </is>
      </c>
    </row>
    <row r="13319">
      <c r="A13319" t="n">
        <v>14340614</v>
      </c>
      <c r="B13319" t="n">
        <v>56862</v>
      </c>
      <c r="C13319" t="inlineStr">
        <is>
          <t>1434/06/14</t>
        </is>
      </c>
    </row>
    <row r="13320">
      <c r="A13320" t="n">
        <v>14340615</v>
      </c>
      <c r="B13320" t="n">
        <v>56863</v>
      </c>
      <c r="C13320" t="inlineStr">
        <is>
          <t>1434/06/15</t>
        </is>
      </c>
    </row>
    <row r="13321">
      <c r="A13321" t="n">
        <v>14340616</v>
      </c>
      <c r="B13321" t="n">
        <v>56864</v>
      </c>
      <c r="C13321" t="inlineStr">
        <is>
          <t>1434/06/16</t>
        </is>
      </c>
    </row>
    <row r="13322">
      <c r="A13322" t="n">
        <v>14340617</v>
      </c>
      <c r="B13322" t="n">
        <v>56865</v>
      </c>
      <c r="C13322" t="inlineStr">
        <is>
          <t>1434/06/17</t>
        </is>
      </c>
    </row>
    <row r="13323">
      <c r="A13323" t="n">
        <v>14340618</v>
      </c>
      <c r="B13323" t="n">
        <v>56866</v>
      </c>
      <c r="C13323" t="inlineStr">
        <is>
          <t>1434/06/18</t>
        </is>
      </c>
    </row>
    <row r="13324">
      <c r="A13324" t="n">
        <v>14340619</v>
      </c>
      <c r="B13324" t="n">
        <v>56867</v>
      </c>
      <c r="C13324" t="inlineStr">
        <is>
          <t>1434/06/19</t>
        </is>
      </c>
    </row>
    <row r="13325">
      <c r="A13325" t="n">
        <v>14340620</v>
      </c>
      <c r="B13325" t="n">
        <v>56868</v>
      </c>
      <c r="C13325" t="inlineStr">
        <is>
          <t>1434/06/20</t>
        </is>
      </c>
    </row>
    <row r="13326">
      <c r="A13326" t="n">
        <v>14340621</v>
      </c>
      <c r="B13326" t="n">
        <v>56869</v>
      </c>
      <c r="C13326" t="inlineStr">
        <is>
          <t>1434/06/21</t>
        </is>
      </c>
    </row>
    <row r="13327">
      <c r="A13327" t="n">
        <v>14340622</v>
      </c>
      <c r="B13327" t="n">
        <v>56870</v>
      </c>
      <c r="C13327" t="inlineStr">
        <is>
          <t>1434/06/22</t>
        </is>
      </c>
    </row>
    <row r="13328">
      <c r="A13328" t="n">
        <v>14340623</v>
      </c>
      <c r="B13328" t="n">
        <v>56871</v>
      </c>
      <c r="C13328" t="inlineStr">
        <is>
          <t>1434/06/23</t>
        </is>
      </c>
    </row>
    <row r="13329">
      <c r="A13329" t="n">
        <v>14340624</v>
      </c>
      <c r="B13329" t="n">
        <v>56872</v>
      </c>
      <c r="C13329" t="inlineStr">
        <is>
          <t>1434/06/24</t>
        </is>
      </c>
    </row>
    <row r="13330">
      <c r="A13330" t="n">
        <v>14340625</v>
      </c>
      <c r="B13330" t="n">
        <v>56873</v>
      </c>
      <c r="C13330" t="inlineStr">
        <is>
          <t>1434/06/25</t>
        </is>
      </c>
    </row>
    <row r="13331">
      <c r="A13331" t="n">
        <v>14340626</v>
      </c>
      <c r="B13331" t="n">
        <v>56874</v>
      </c>
      <c r="C13331" t="inlineStr">
        <is>
          <t>1434/06/26</t>
        </is>
      </c>
    </row>
    <row r="13332">
      <c r="A13332" t="n">
        <v>14340627</v>
      </c>
      <c r="B13332" t="n">
        <v>56875</v>
      </c>
      <c r="C13332" t="inlineStr">
        <is>
          <t>1434/06/27</t>
        </is>
      </c>
    </row>
    <row r="13333">
      <c r="A13333" t="n">
        <v>14340628</v>
      </c>
      <c r="B13333" t="n">
        <v>56876</v>
      </c>
      <c r="C13333" t="inlineStr">
        <is>
          <t>1434/06/28</t>
        </is>
      </c>
    </row>
    <row r="13334">
      <c r="A13334" t="n">
        <v>14340629</v>
      </c>
      <c r="B13334" t="n">
        <v>56877</v>
      </c>
      <c r="C13334" t="inlineStr">
        <is>
          <t>1434/06/29</t>
        </is>
      </c>
    </row>
    <row r="13335">
      <c r="A13335" t="n">
        <v>14340630</v>
      </c>
      <c r="B13335" t="n">
        <v>56878</v>
      </c>
      <c r="C13335" t="inlineStr">
        <is>
          <t>1434/06/30</t>
        </is>
      </c>
    </row>
    <row r="13336">
      <c r="A13336" t="n">
        <v>14340631</v>
      </c>
      <c r="B13336" t="n">
        <v>56879</v>
      </c>
      <c r="C13336" t="inlineStr">
        <is>
          <t>1434/06/31</t>
        </is>
      </c>
    </row>
    <row r="13337">
      <c r="A13337" t="n">
        <v>14340701</v>
      </c>
      <c r="B13337" t="n">
        <v>56880</v>
      </c>
      <c r="C13337" t="inlineStr">
        <is>
          <t>1434/07/01</t>
        </is>
      </c>
    </row>
    <row r="13338">
      <c r="A13338" t="n">
        <v>14340702</v>
      </c>
      <c r="B13338" t="n">
        <v>56881</v>
      </c>
      <c r="C13338" t="inlineStr">
        <is>
          <t>1434/07/02</t>
        </is>
      </c>
    </row>
    <row r="13339">
      <c r="A13339" t="n">
        <v>14340703</v>
      </c>
      <c r="B13339" t="n">
        <v>56882</v>
      </c>
      <c r="C13339" t="inlineStr">
        <is>
          <t>1434/07/03</t>
        </is>
      </c>
    </row>
    <row r="13340">
      <c r="A13340" t="n">
        <v>14340704</v>
      </c>
      <c r="B13340" t="n">
        <v>56883</v>
      </c>
      <c r="C13340" t="inlineStr">
        <is>
          <t>1434/07/04</t>
        </is>
      </c>
    </row>
    <row r="13341">
      <c r="A13341" t="n">
        <v>14340705</v>
      </c>
      <c r="B13341" t="n">
        <v>56884</v>
      </c>
      <c r="C13341" t="inlineStr">
        <is>
          <t>1434/07/05</t>
        </is>
      </c>
    </row>
    <row r="13342">
      <c r="A13342" t="n">
        <v>14340706</v>
      </c>
      <c r="B13342" t="n">
        <v>56885</v>
      </c>
      <c r="C13342" t="inlineStr">
        <is>
          <t>1434/07/06</t>
        </is>
      </c>
    </row>
    <row r="13343">
      <c r="A13343" t="n">
        <v>14340707</v>
      </c>
      <c r="B13343" t="n">
        <v>56886</v>
      </c>
      <c r="C13343" t="inlineStr">
        <is>
          <t>1434/07/07</t>
        </is>
      </c>
    </row>
    <row r="13344">
      <c r="A13344" t="n">
        <v>14340708</v>
      </c>
      <c r="B13344" t="n">
        <v>56887</v>
      </c>
      <c r="C13344" t="inlineStr">
        <is>
          <t>1434/07/08</t>
        </is>
      </c>
    </row>
    <row r="13345">
      <c r="A13345" t="n">
        <v>14340709</v>
      </c>
      <c r="B13345" t="n">
        <v>56888</v>
      </c>
      <c r="C13345" t="inlineStr">
        <is>
          <t>1434/07/09</t>
        </is>
      </c>
    </row>
    <row r="13346">
      <c r="A13346" t="n">
        <v>14340710</v>
      </c>
      <c r="B13346" t="n">
        <v>56889</v>
      </c>
      <c r="C13346" t="inlineStr">
        <is>
          <t>1434/07/10</t>
        </is>
      </c>
    </row>
    <row r="13347">
      <c r="A13347" t="n">
        <v>14340711</v>
      </c>
      <c r="B13347" t="n">
        <v>56890</v>
      </c>
      <c r="C13347" t="inlineStr">
        <is>
          <t>1434/07/11</t>
        </is>
      </c>
    </row>
    <row r="13348">
      <c r="A13348" t="n">
        <v>14340712</v>
      </c>
      <c r="B13348" t="n">
        <v>56891</v>
      </c>
      <c r="C13348" t="inlineStr">
        <is>
          <t>1434/07/12</t>
        </is>
      </c>
    </row>
    <row r="13349">
      <c r="A13349" t="n">
        <v>14340713</v>
      </c>
      <c r="B13349" t="n">
        <v>56892</v>
      </c>
      <c r="C13349" t="inlineStr">
        <is>
          <t>1434/07/13</t>
        </is>
      </c>
    </row>
    <row r="13350">
      <c r="A13350" t="n">
        <v>14340714</v>
      </c>
      <c r="B13350" t="n">
        <v>56893</v>
      </c>
      <c r="C13350" t="inlineStr">
        <is>
          <t>1434/07/14</t>
        </is>
      </c>
    </row>
    <row r="13351">
      <c r="A13351" t="n">
        <v>14340715</v>
      </c>
      <c r="B13351" t="n">
        <v>56894</v>
      </c>
      <c r="C13351" t="inlineStr">
        <is>
          <t>1434/07/15</t>
        </is>
      </c>
    </row>
    <row r="13352">
      <c r="A13352" t="n">
        <v>14340716</v>
      </c>
      <c r="B13352" t="n">
        <v>56895</v>
      </c>
      <c r="C13352" t="inlineStr">
        <is>
          <t>1434/07/16</t>
        </is>
      </c>
    </row>
    <row r="13353">
      <c r="A13353" t="n">
        <v>14340717</v>
      </c>
      <c r="B13353" t="n">
        <v>56896</v>
      </c>
      <c r="C13353" t="inlineStr">
        <is>
          <t>1434/07/17</t>
        </is>
      </c>
    </row>
    <row r="13354">
      <c r="A13354" t="n">
        <v>14340718</v>
      </c>
      <c r="B13354" t="n">
        <v>56897</v>
      </c>
      <c r="C13354" t="inlineStr">
        <is>
          <t>1434/07/18</t>
        </is>
      </c>
    </row>
    <row r="13355">
      <c r="A13355" t="n">
        <v>14340719</v>
      </c>
      <c r="B13355" t="n">
        <v>56898</v>
      </c>
      <c r="C13355" t="inlineStr">
        <is>
          <t>1434/07/19</t>
        </is>
      </c>
    </row>
    <row r="13356">
      <c r="A13356" t="n">
        <v>14340720</v>
      </c>
      <c r="B13356" t="n">
        <v>56899</v>
      </c>
      <c r="C13356" t="inlineStr">
        <is>
          <t>1434/07/20</t>
        </is>
      </c>
    </row>
    <row r="13357">
      <c r="A13357" t="n">
        <v>14340721</v>
      </c>
      <c r="B13357" t="n">
        <v>56900</v>
      </c>
      <c r="C13357" t="inlineStr">
        <is>
          <t>1434/07/21</t>
        </is>
      </c>
    </row>
    <row r="13358">
      <c r="A13358" t="n">
        <v>14340722</v>
      </c>
      <c r="B13358" t="n">
        <v>56901</v>
      </c>
      <c r="C13358" t="inlineStr">
        <is>
          <t>1434/07/22</t>
        </is>
      </c>
    </row>
    <row r="13359">
      <c r="A13359" t="n">
        <v>14340723</v>
      </c>
      <c r="B13359" t="n">
        <v>56902</v>
      </c>
      <c r="C13359" t="inlineStr">
        <is>
          <t>1434/07/23</t>
        </is>
      </c>
    </row>
    <row r="13360">
      <c r="A13360" t="n">
        <v>14340724</v>
      </c>
      <c r="B13360" t="n">
        <v>56903</v>
      </c>
      <c r="C13360" t="inlineStr">
        <is>
          <t>1434/07/24</t>
        </is>
      </c>
    </row>
    <row r="13361">
      <c r="A13361" t="n">
        <v>14340725</v>
      </c>
      <c r="B13361" t="n">
        <v>56904</v>
      </c>
      <c r="C13361" t="inlineStr">
        <is>
          <t>1434/07/25</t>
        </is>
      </c>
    </row>
    <row r="13362">
      <c r="A13362" t="n">
        <v>14340726</v>
      </c>
      <c r="B13362" t="n">
        <v>56905</v>
      </c>
      <c r="C13362" t="inlineStr">
        <is>
          <t>1434/07/26</t>
        </is>
      </c>
    </row>
    <row r="13363">
      <c r="A13363" t="n">
        <v>14340727</v>
      </c>
      <c r="B13363" t="n">
        <v>56906</v>
      </c>
      <c r="C13363" t="inlineStr">
        <is>
          <t>1434/07/27</t>
        </is>
      </c>
    </row>
    <row r="13364">
      <c r="A13364" t="n">
        <v>14340728</v>
      </c>
      <c r="B13364" t="n">
        <v>56907</v>
      </c>
      <c r="C13364" t="inlineStr">
        <is>
          <t>1434/07/28</t>
        </is>
      </c>
    </row>
    <row r="13365">
      <c r="A13365" t="n">
        <v>14340729</v>
      </c>
      <c r="B13365" t="n">
        <v>56908</v>
      </c>
      <c r="C13365" t="inlineStr">
        <is>
          <t>1434/07/29</t>
        </is>
      </c>
    </row>
    <row r="13366">
      <c r="A13366" t="n">
        <v>14340730</v>
      </c>
      <c r="B13366" t="n">
        <v>56909</v>
      </c>
      <c r="C13366" t="inlineStr">
        <is>
          <t>1434/07/30</t>
        </is>
      </c>
    </row>
    <row r="13367">
      <c r="A13367" t="n">
        <v>14340801</v>
      </c>
      <c r="B13367" t="n">
        <v>56910</v>
      </c>
      <c r="C13367" t="inlineStr">
        <is>
          <t>1434/08/01</t>
        </is>
      </c>
    </row>
    <row r="13368">
      <c r="A13368" t="n">
        <v>14340802</v>
      </c>
      <c r="B13368" t="n">
        <v>56911</v>
      </c>
      <c r="C13368" t="inlineStr">
        <is>
          <t>1434/08/02</t>
        </is>
      </c>
    </row>
    <row r="13369">
      <c r="A13369" t="n">
        <v>14340803</v>
      </c>
      <c r="B13369" t="n">
        <v>56912</v>
      </c>
      <c r="C13369" t="inlineStr">
        <is>
          <t>1434/08/03</t>
        </is>
      </c>
    </row>
    <row r="13370">
      <c r="A13370" t="n">
        <v>14340804</v>
      </c>
      <c r="B13370" t="n">
        <v>56913</v>
      </c>
      <c r="C13370" t="inlineStr">
        <is>
          <t>1434/08/04</t>
        </is>
      </c>
    </row>
    <row r="13371">
      <c r="A13371" t="n">
        <v>14340805</v>
      </c>
      <c r="B13371" t="n">
        <v>56914</v>
      </c>
      <c r="C13371" t="inlineStr">
        <is>
          <t>1434/08/05</t>
        </is>
      </c>
    </row>
    <row r="13372">
      <c r="A13372" t="n">
        <v>14340806</v>
      </c>
      <c r="B13372" t="n">
        <v>56915</v>
      </c>
      <c r="C13372" t="inlineStr">
        <is>
          <t>1434/08/06</t>
        </is>
      </c>
    </row>
    <row r="13373">
      <c r="A13373" t="n">
        <v>14340807</v>
      </c>
      <c r="B13373" t="n">
        <v>56916</v>
      </c>
      <c r="C13373" t="inlineStr">
        <is>
          <t>1434/08/07</t>
        </is>
      </c>
    </row>
    <row r="13374">
      <c r="A13374" t="n">
        <v>14340808</v>
      </c>
      <c r="B13374" t="n">
        <v>56917</v>
      </c>
      <c r="C13374" t="inlineStr">
        <is>
          <t>1434/08/08</t>
        </is>
      </c>
    </row>
    <row r="13375">
      <c r="A13375" t="n">
        <v>14340809</v>
      </c>
      <c r="B13375" t="n">
        <v>56918</v>
      </c>
      <c r="C13375" t="inlineStr">
        <is>
          <t>1434/08/09</t>
        </is>
      </c>
    </row>
    <row r="13376">
      <c r="A13376" t="n">
        <v>14340810</v>
      </c>
      <c r="B13376" t="n">
        <v>56919</v>
      </c>
      <c r="C13376" t="inlineStr">
        <is>
          <t>1434/08/10</t>
        </is>
      </c>
    </row>
    <row r="13377">
      <c r="A13377" t="n">
        <v>14340811</v>
      </c>
      <c r="B13377" t="n">
        <v>56920</v>
      </c>
      <c r="C13377" t="inlineStr">
        <is>
          <t>1434/08/11</t>
        </is>
      </c>
    </row>
    <row r="13378">
      <c r="A13378" t="n">
        <v>14340812</v>
      </c>
      <c r="B13378" t="n">
        <v>56921</v>
      </c>
      <c r="C13378" t="inlineStr">
        <is>
          <t>1434/08/12</t>
        </is>
      </c>
    </row>
    <row r="13379">
      <c r="A13379" t="n">
        <v>14340813</v>
      </c>
      <c r="B13379" t="n">
        <v>56922</v>
      </c>
      <c r="C13379" t="inlineStr">
        <is>
          <t>1434/08/13</t>
        </is>
      </c>
    </row>
    <row r="13380">
      <c r="A13380" t="n">
        <v>14340814</v>
      </c>
      <c r="B13380" t="n">
        <v>56923</v>
      </c>
      <c r="C13380" t="inlineStr">
        <is>
          <t>1434/08/14</t>
        </is>
      </c>
    </row>
    <row r="13381">
      <c r="A13381" t="n">
        <v>14340815</v>
      </c>
      <c r="B13381" t="n">
        <v>56924</v>
      </c>
      <c r="C13381" t="inlineStr">
        <is>
          <t>1434/08/15</t>
        </is>
      </c>
    </row>
    <row r="13382">
      <c r="A13382" t="n">
        <v>14340816</v>
      </c>
      <c r="B13382" t="n">
        <v>56925</v>
      </c>
      <c r="C13382" t="inlineStr">
        <is>
          <t>1434/08/16</t>
        </is>
      </c>
    </row>
    <row r="13383">
      <c r="A13383" t="n">
        <v>14340817</v>
      </c>
      <c r="B13383" t="n">
        <v>56926</v>
      </c>
      <c r="C13383" t="inlineStr">
        <is>
          <t>1434/08/17</t>
        </is>
      </c>
    </row>
    <row r="13384">
      <c r="A13384" t="n">
        <v>14340818</v>
      </c>
      <c r="B13384" t="n">
        <v>56927</v>
      </c>
      <c r="C13384" t="inlineStr">
        <is>
          <t>1434/08/18</t>
        </is>
      </c>
    </row>
    <row r="13385">
      <c r="A13385" t="n">
        <v>14340819</v>
      </c>
      <c r="B13385" t="n">
        <v>56928</v>
      </c>
      <c r="C13385" t="inlineStr">
        <is>
          <t>1434/08/19</t>
        </is>
      </c>
    </row>
    <row r="13386">
      <c r="A13386" t="n">
        <v>14340820</v>
      </c>
      <c r="B13386" t="n">
        <v>56929</v>
      </c>
      <c r="C13386" t="inlineStr">
        <is>
          <t>1434/08/20</t>
        </is>
      </c>
    </row>
    <row r="13387">
      <c r="A13387" t="n">
        <v>14340821</v>
      </c>
      <c r="B13387" t="n">
        <v>56930</v>
      </c>
      <c r="C13387" t="inlineStr">
        <is>
          <t>1434/08/21</t>
        </is>
      </c>
    </row>
    <row r="13388">
      <c r="A13388" t="n">
        <v>14340822</v>
      </c>
      <c r="B13388" t="n">
        <v>56931</v>
      </c>
      <c r="C13388" t="inlineStr">
        <is>
          <t>1434/08/22</t>
        </is>
      </c>
    </row>
    <row r="13389">
      <c r="A13389" t="n">
        <v>14340823</v>
      </c>
      <c r="B13389" t="n">
        <v>56932</v>
      </c>
      <c r="C13389" t="inlineStr">
        <is>
          <t>1434/08/23</t>
        </is>
      </c>
    </row>
    <row r="13390">
      <c r="A13390" t="n">
        <v>14340824</v>
      </c>
      <c r="B13390" t="n">
        <v>56933</v>
      </c>
      <c r="C13390" t="inlineStr">
        <is>
          <t>1434/08/24</t>
        </is>
      </c>
    </row>
    <row r="13391">
      <c r="A13391" t="n">
        <v>14340825</v>
      </c>
      <c r="B13391" t="n">
        <v>56934</v>
      </c>
      <c r="C13391" t="inlineStr">
        <is>
          <t>1434/08/25</t>
        </is>
      </c>
    </row>
    <row r="13392">
      <c r="A13392" t="n">
        <v>14340826</v>
      </c>
      <c r="B13392" t="n">
        <v>56935</v>
      </c>
      <c r="C13392" t="inlineStr">
        <is>
          <t>1434/08/26</t>
        </is>
      </c>
    </row>
    <row r="13393">
      <c r="A13393" t="n">
        <v>14340827</v>
      </c>
      <c r="B13393" t="n">
        <v>56936</v>
      </c>
      <c r="C13393" t="inlineStr">
        <is>
          <t>1434/08/27</t>
        </is>
      </c>
    </row>
    <row r="13394">
      <c r="A13394" t="n">
        <v>14340828</v>
      </c>
      <c r="B13394" t="n">
        <v>56937</v>
      </c>
      <c r="C13394" t="inlineStr">
        <is>
          <t>1434/08/28</t>
        </is>
      </c>
    </row>
    <row r="13395">
      <c r="A13395" t="n">
        <v>14340829</v>
      </c>
      <c r="B13395" t="n">
        <v>56938</v>
      </c>
      <c r="C13395" t="inlineStr">
        <is>
          <t>1434/08/29</t>
        </is>
      </c>
    </row>
    <row r="13396">
      <c r="A13396" t="n">
        <v>14340830</v>
      </c>
      <c r="B13396" t="n">
        <v>56939</v>
      </c>
      <c r="C13396" t="inlineStr">
        <is>
          <t>1434/08/30</t>
        </is>
      </c>
    </row>
    <row r="13397">
      <c r="A13397" t="n">
        <v>14340901</v>
      </c>
      <c r="B13397" t="n">
        <v>56940</v>
      </c>
      <c r="C13397" t="inlineStr">
        <is>
          <t>1434/09/01</t>
        </is>
      </c>
    </row>
    <row r="13398">
      <c r="A13398" t="n">
        <v>14340902</v>
      </c>
      <c r="B13398" t="n">
        <v>56941</v>
      </c>
      <c r="C13398" t="inlineStr">
        <is>
          <t>1434/09/02</t>
        </is>
      </c>
    </row>
    <row r="13399">
      <c r="A13399" t="n">
        <v>14340903</v>
      </c>
      <c r="B13399" t="n">
        <v>56942</v>
      </c>
      <c r="C13399" t="inlineStr">
        <is>
          <t>1434/09/03</t>
        </is>
      </c>
    </row>
    <row r="13400">
      <c r="A13400" t="n">
        <v>14340904</v>
      </c>
      <c r="B13400" t="n">
        <v>56943</v>
      </c>
      <c r="C13400" t="inlineStr">
        <is>
          <t>1434/09/04</t>
        </is>
      </c>
    </row>
    <row r="13401">
      <c r="A13401" t="n">
        <v>14340905</v>
      </c>
      <c r="B13401" t="n">
        <v>56944</v>
      </c>
      <c r="C13401" t="inlineStr">
        <is>
          <t>1434/09/05</t>
        </is>
      </c>
    </row>
    <row r="13402">
      <c r="A13402" t="n">
        <v>14340906</v>
      </c>
      <c r="B13402" t="n">
        <v>56945</v>
      </c>
      <c r="C13402" t="inlineStr">
        <is>
          <t>1434/09/06</t>
        </is>
      </c>
    </row>
    <row r="13403">
      <c r="A13403" t="n">
        <v>14340907</v>
      </c>
      <c r="B13403" t="n">
        <v>56946</v>
      </c>
      <c r="C13403" t="inlineStr">
        <is>
          <t>1434/09/07</t>
        </is>
      </c>
    </row>
    <row r="13404">
      <c r="A13404" t="n">
        <v>14340908</v>
      </c>
      <c r="B13404" t="n">
        <v>56947</v>
      </c>
      <c r="C13404" t="inlineStr">
        <is>
          <t>1434/09/08</t>
        </is>
      </c>
    </row>
    <row r="13405">
      <c r="A13405" t="n">
        <v>14340909</v>
      </c>
      <c r="B13405" t="n">
        <v>56948</v>
      </c>
      <c r="C13405" t="inlineStr">
        <is>
          <t>1434/09/09</t>
        </is>
      </c>
    </row>
    <row r="13406">
      <c r="A13406" t="n">
        <v>14340910</v>
      </c>
      <c r="B13406" t="n">
        <v>56949</v>
      </c>
      <c r="C13406" t="inlineStr">
        <is>
          <t>1434/09/10</t>
        </is>
      </c>
    </row>
    <row r="13407">
      <c r="A13407" t="n">
        <v>14340911</v>
      </c>
      <c r="B13407" t="n">
        <v>56950</v>
      </c>
      <c r="C13407" t="inlineStr">
        <is>
          <t>1434/09/11</t>
        </is>
      </c>
    </row>
    <row r="13408">
      <c r="A13408" t="n">
        <v>14340912</v>
      </c>
      <c r="B13408" t="n">
        <v>56951</v>
      </c>
      <c r="C13408" t="inlineStr">
        <is>
          <t>1434/09/12</t>
        </is>
      </c>
    </row>
    <row r="13409">
      <c r="A13409" t="n">
        <v>14340913</v>
      </c>
      <c r="B13409" t="n">
        <v>56952</v>
      </c>
      <c r="C13409" t="inlineStr">
        <is>
          <t>1434/09/13</t>
        </is>
      </c>
    </row>
    <row r="13410">
      <c r="A13410" t="n">
        <v>14340914</v>
      </c>
      <c r="B13410" t="n">
        <v>56953</v>
      </c>
      <c r="C13410" t="inlineStr">
        <is>
          <t>1434/09/14</t>
        </is>
      </c>
    </row>
    <row r="13411">
      <c r="A13411" t="n">
        <v>14340915</v>
      </c>
      <c r="B13411" t="n">
        <v>56954</v>
      </c>
      <c r="C13411" t="inlineStr">
        <is>
          <t>1434/09/15</t>
        </is>
      </c>
    </row>
    <row r="13412">
      <c r="A13412" t="n">
        <v>14340916</v>
      </c>
      <c r="B13412" t="n">
        <v>56955</v>
      </c>
      <c r="C13412" t="inlineStr">
        <is>
          <t>1434/09/16</t>
        </is>
      </c>
    </row>
    <row r="13413">
      <c r="A13413" t="n">
        <v>14340917</v>
      </c>
      <c r="B13413" t="n">
        <v>56956</v>
      </c>
      <c r="C13413" t="inlineStr">
        <is>
          <t>1434/09/17</t>
        </is>
      </c>
    </row>
    <row r="13414">
      <c r="A13414" t="n">
        <v>14340918</v>
      </c>
      <c r="B13414" t="n">
        <v>56957</v>
      </c>
      <c r="C13414" t="inlineStr">
        <is>
          <t>1434/09/18</t>
        </is>
      </c>
    </row>
    <row r="13415">
      <c r="A13415" t="n">
        <v>14340919</v>
      </c>
      <c r="B13415" t="n">
        <v>56958</v>
      </c>
      <c r="C13415" t="inlineStr">
        <is>
          <t>1434/09/19</t>
        </is>
      </c>
    </row>
    <row r="13416">
      <c r="A13416" t="n">
        <v>14340920</v>
      </c>
      <c r="B13416" t="n">
        <v>56959</v>
      </c>
      <c r="C13416" t="inlineStr">
        <is>
          <t>1434/09/20</t>
        </is>
      </c>
    </row>
    <row r="13417">
      <c r="A13417" t="n">
        <v>14340921</v>
      </c>
      <c r="B13417" t="n">
        <v>56960</v>
      </c>
      <c r="C13417" t="inlineStr">
        <is>
          <t>1434/09/21</t>
        </is>
      </c>
    </row>
    <row r="13418">
      <c r="A13418" t="n">
        <v>14340922</v>
      </c>
      <c r="B13418" t="n">
        <v>56961</v>
      </c>
      <c r="C13418" t="inlineStr">
        <is>
          <t>1434/09/22</t>
        </is>
      </c>
    </row>
    <row r="13419">
      <c r="A13419" t="n">
        <v>14340923</v>
      </c>
      <c r="B13419" t="n">
        <v>56962</v>
      </c>
      <c r="C13419" t="inlineStr">
        <is>
          <t>1434/09/23</t>
        </is>
      </c>
    </row>
    <row r="13420">
      <c r="A13420" t="n">
        <v>14340924</v>
      </c>
      <c r="B13420" t="n">
        <v>56963</v>
      </c>
      <c r="C13420" t="inlineStr">
        <is>
          <t>1434/09/24</t>
        </is>
      </c>
    </row>
    <row r="13421">
      <c r="A13421" t="n">
        <v>14340925</v>
      </c>
      <c r="B13421" t="n">
        <v>56964</v>
      </c>
      <c r="C13421" t="inlineStr">
        <is>
          <t>1434/09/25</t>
        </is>
      </c>
    </row>
    <row r="13422">
      <c r="A13422" t="n">
        <v>14340926</v>
      </c>
      <c r="B13422" t="n">
        <v>56965</v>
      </c>
      <c r="C13422" t="inlineStr">
        <is>
          <t>1434/09/26</t>
        </is>
      </c>
    </row>
    <row r="13423">
      <c r="A13423" t="n">
        <v>14340927</v>
      </c>
      <c r="B13423" t="n">
        <v>56966</v>
      </c>
      <c r="C13423" t="inlineStr">
        <is>
          <t>1434/09/27</t>
        </is>
      </c>
    </row>
    <row r="13424">
      <c r="A13424" t="n">
        <v>14340928</v>
      </c>
      <c r="B13424" t="n">
        <v>56967</v>
      </c>
      <c r="C13424" t="inlineStr">
        <is>
          <t>1434/09/28</t>
        </is>
      </c>
    </row>
    <row r="13425">
      <c r="A13425" t="n">
        <v>14340929</v>
      </c>
      <c r="B13425" t="n">
        <v>56968</v>
      </c>
      <c r="C13425" t="inlineStr">
        <is>
          <t>1434/09/29</t>
        </is>
      </c>
    </row>
    <row r="13426">
      <c r="A13426" t="n">
        <v>14340930</v>
      </c>
      <c r="B13426" t="n">
        <v>56969</v>
      </c>
      <c r="C13426" t="inlineStr">
        <is>
          <t>1434/09/30</t>
        </is>
      </c>
    </row>
    <row r="13427">
      <c r="A13427" t="n">
        <v>14341001</v>
      </c>
      <c r="B13427" t="n">
        <v>56970</v>
      </c>
      <c r="C13427" t="inlineStr">
        <is>
          <t>1434/10/01</t>
        </is>
      </c>
    </row>
    <row r="13428">
      <c r="A13428" t="n">
        <v>14341002</v>
      </c>
      <c r="B13428" t="n">
        <v>56971</v>
      </c>
      <c r="C13428" t="inlineStr">
        <is>
          <t>1434/10/02</t>
        </is>
      </c>
    </row>
    <row r="13429">
      <c r="A13429" t="n">
        <v>14341003</v>
      </c>
      <c r="B13429" t="n">
        <v>56972</v>
      </c>
      <c r="C13429" t="inlineStr">
        <is>
          <t>1434/10/03</t>
        </is>
      </c>
    </row>
    <row r="13430">
      <c r="A13430" t="n">
        <v>14341004</v>
      </c>
      <c r="B13430" t="n">
        <v>56973</v>
      </c>
      <c r="C13430" t="inlineStr">
        <is>
          <t>1434/10/04</t>
        </is>
      </c>
    </row>
    <row r="13431">
      <c r="A13431" t="n">
        <v>14341005</v>
      </c>
      <c r="B13431" t="n">
        <v>56974</v>
      </c>
      <c r="C13431" t="inlineStr">
        <is>
          <t>1434/10/05</t>
        </is>
      </c>
    </row>
    <row r="13432">
      <c r="A13432" t="n">
        <v>14341006</v>
      </c>
      <c r="B13432" t="n">
        <v>56975</v>
      </c>
      <c r="C13432" t="inlineStr">
        <is>
          <t>1434/10/06</t>
        </is>
      </c>
    </row>
    <row r="13433">
      <c r="A13433" t="n">
        <v>14341007</v>
      </c>
      <c r="B13433" t="n">
        <v>56976</v>
      </c>
      <c r="C13433" t="inlineStr">
        <is>
          <t>1434/10/07</t>
        </is>
      </c>
    </row>
    <row r="13434">
      <c r="A13434" t="n">
        <v>14341008</v>
      </c>
      <c r="B13434" t="n">
        <v>56977</v>
      </c>
      <c r="C13434" t="inlineStr">
        <is>
          <t>1434/10/08</t>
        </is>
      </c>
    </row>
    <row r="13435">
      <c r="A13435" t="n">
        <v>14341009</v>
      </c>
      <c r="B13435" t="n">
        <v>56978</v>
      </c>
      <c r="C13435" t="inlineStr">
        <is>
          <t>1434/10/09</t>
        </is>
      </c>
    </row>
    <row r="13436">
      <c r="A13436" t="n">
        <v>14341010</v>
      </c>
      <c r="B13436" t="n">
        <v>56979</v>
      </c>
      <c r="C13436" t="inlineStr">
        <is>
          <t>1434/10/10</t>
        </is>
      </c>
    </row>
    <row r="13437">
      <c r="A13437" t="n">
        <v>14341011</v>
      </c>
      <c r="B13437" t="n">
        <v>56980</v>
      </c>
      <c r="C13437" t="inlineStr">
        <is>
          <t>1434/10/11</t>
        </is>
      </c>
    </row>
    <row r="13438">
      <c r="A13438" t="n">
        <v>14341012</v>
      </c>
      <c r="B13438" t="n">
        <v>56981</v>
      </c>
      <c r="C13438" t="inlineStr">
        <is>
          <t>1434/10/12</t>
        </is>
      </c>
    </row>
    <row r="13439">
      <c r="A13439" t="n">
        <v>14341013</v>
      </c>
      <c r="B13439" t="n">
        <v>56982</v>
      </c>
      <c r="C13439" t="inlineStr">
        <is>
          <t>1434/10/13</t>
        </is>
      </c>
    </row>
    <row r="13440">
      <c r="A13440" t="n">
        <v>14341014</v>
      </c>
      <c r="B13440" t="n">
        <v>56983</v>
      </c>
      <c r="C13440" t="inlineStr">
        <is>
          <t>1434/10/14</t>
        </is>
      </c>
    </row>
    <row r="13441">
      <c r="A13441" t="n">
        <v>14341015</v>
      </c>
      <c r="B13441" t="n">
        <v>56984</v>
      </c>
      <c r="C13441" t="inlineStr">
        <is>
          <t>1434/10/15</t>
        </is>
      </c>
    </row>
    <row r="13442">
      <c r="A13442" t="n">
        <v>14341016</v>
      </c>
      <c r="B13442" t="n">
        <v>56985</v>
      </c>
      <c r="C13442" t="inlineStr">
        <is>
          <t>1434/10/16</t>
        </is>
      </c>
    </row>
    <row r="13443">
      <c r="A13443" t="n">
        <v>14341017</v>
      </c>
      <c r="B13443" t="n">
        <v>56986</v>
      </c>
      <c r="C13443" t="inlineStr">
        <is>
          <t>1434/10/17</t>
        </is>
      </c>
    </row>
    <row r="13444">
      <c r="A13444" t="n">
        <v>14341018</v>
      </c>
      <c r="B13444" t="n">
        <v>56987</v>
      </c>
      <c r="C13444" t="inlineStr">
        <is>
          <t>1434/10/18</t>
        </is>
      </c>
    </row>
    <row r="13445">
      <c r="A13445" t="n">
        <v>14341019</v>
      </c>
      <c r="B13445" t="n">
        <v>56988</v>
      </c>
      <c r="C13445" t="inlineStr">
        <is>
          <t>1434/10/19</t>
        </is>
      </c>
    </row>
    <row r="13446">
      <c r="A13446" t="n">
        <v>14341020</v>
      </c>
      <c r="B13446" t="n">
        <v>56989</v>
      </c>
      <c r="C13446" t="inlineStr">
        <is>
          <t>1434/10/20</t>
        </is>
      </c>
    </row>
    <row r="13447">
      <c r="A13447" t="n">
        <v>14341021</v>
      </c>
      <c r="B13447" t="n">
        <v>56990</v>
      </c>
      <c r="C13447" t="inlineStr">
        <is>
          <t>1434/10/21</t>
        </is>
      </c>
    </row>
    <row r="13448">
      <c r="A13448" t="n">
        <v>14341022</v>
      </c>
      <c r="B13448" t="n">
        <v>56991</v>
      </c>
      <c r="C13448" t="inlineStr">
        <is>
          <t>1434/10/22</t>
        </is>
      </c>
    </row>
    <row r="13449">
      <c r="A13449" t="n">
        <v>14341023</v>
      </c>
      <c r="B13449" t="n">
        <v>56992</v>
      </c>
      <c r="C13449" t="inlineStr">
        <is>
          <t>1434/10/23</t>
        </is>
      </c>
    </row>
    <row r="13450">
      <c r="A13450" t="n">
        <v>14341024</v>
      </c>
      <c r="B13450" t="n">
        <v>56993</v>
      </c>
      <c r="C13450" t="inlineStr">
        <is>
          <t>1434/10/24</t>
        </is>
      </c>
    </row>
    <row r="13451">
      <c r="A13451" t="n">
        <v>14341025</v>
      </c>
      <c r="B13451" t="n">
        <v>56994</v>
      </c>
      <c r="C13451" t="inlineStr">
        <is>
          <t>1434/10/25</t>
        </is>
      </c>
    </row>
    <row r="13452">
      <c r="A13452" t="n">
        <v>14341026</v>
      </c>
      <c r="B13452" t="n">
        <v>56995</v>
      </c>
      <c r="C13452" t="inlineStr">
        <is>
          <t>1434/10/26</t>
        </is>
      </c>
    </row>
    <row r="13453">
      <c r="A13453" t="n">
        <v>14341027</v>
      </c>
      <c r="B13453" t="n">
        <v>56996</v>
      </c>
      <c r="C13453" t="inlineStr">
        <is>
          <t>1434/10/27</t>
        </is>
      </c>
    </row>
    <row r="13454">
      <c r="A13454" t="n">
        <v>14341028</v>
      </c>
      <c r="B13454" t="n">
        <v>56997</v>
      </c>
      <c r="C13454" t="inlineStr">
        <is>
          <t>1434/10/28</t>
        </is>
      </c>
    </row>
    <row r="13455">
      <c r="A13455" t="n">
        <v>14341029</v>
      </c>
      <c r="B13455" t="n">
        <v>56998</v>
      </c>
      <c r="C13455" t="inlineStr">
        <is>
          <t>1434/10/29</t>
        </is>
      </c>
    </row>
    <row r="13456">
      <c r="A13456" t="n">
        <v>14341030</v>
      </c>
      <c r="B13456" t="n">
        <v>56999</v>
      </c>
      <c r="C13456" t="inlineStr">
        <is>
          <t>1434/10/30</t>
        </is>
      </c>
    </row>
    <row r="13457">
      <c r="A13457" t="n">
        <v>14341101</v>
      </c>
      <c r="B13457" t="n">
        <v>57000</v>
      </c>
      <c r="C13457" t="inlineStr">
        <is>
          <t>1434/11/01</t>
        </is>
      </c>
    </row>
    <row r="13458">
      <c r="A13458" t="n">
        <v>14341102</v>
      </c>
      <c r="B13458" t="n">
        <v>57001</v>
      </c>
      <c r="C13458" t="inlineStr">
        <is>
          <t>1434/11/02</t>
        </is>
      </c>
    </row>
    <row r="13459">
      <c r="A13459" t="n">
        <v>14341103</v>
      </c>
      <c r="B13459" t="n">
        <v>57002</v>
      </c>
      <c r="C13459" t="inlineStr">
        <is>
          <t>1434/11/03</t>
        </is>
      </c>
    </row>
    <row r="13460">
      <c r="A13460" t="n">
        <v>14341104</v>
      </c>
      <c r="B13460" t="n">
        <v>57003</v>
      </c>
      <c r="C13460" t="inlineStr">
        <is>
          <t>1434/11/04</t>
        </is>
      </c>
    </row>
    <row r="13461">
      <c r="A13461" t="n">
        <v>14341105</v>
      </c>
      <c r="B13461" t="n">
        <v>57004</v>
      </c>
      <c r="C13461" t="inlineStr">
        <is>
          <t>1434/11/05</t>
        </is>
      </c>
    </row>
    <row r="13462">
      <c r="A13462" t="n">
        <v>14341106</v>
      </c>
      <c r="B13462" t="n">
        <v>57005</v>
      </c>
      <c r="C13462" t="inlineStr">
        <is>
          <t>1434/11/06</t>
        </is>
      </c>
    </row>
    <row r="13463">
      <c r="A13463" t="n">
        <v>14341107</v>
      </c>
      <c r="B13463" t="n">
        <v>57006</v>
      </c>
      <c r="C13463" t="inlineStr">
        <is>
          <t>1434/11/07</t>
        </is>
      </c>
    </row>
    <row r="13464">
      <c r="A13464" t="n">
        <v>14341108</v>
      </c>
      <c r="B13464" t="n">
        <v>57007</v>
      </c>
      <c r="C13464" t="inlineStr">
        <is>
          <t>1434/11/08</t>
        </is>
      </c>
    </row>
    <row r="13465">
      <c r="A13465" t="n">
        <v>14341109</v>
      </c>
      <c r="B13465" t="n">
        <v>57008</v>
      </c>
      <c r="C13465" t="inlineStr">
        <is>
          <t>1434/11/09</t>
        </is>
      </c>
    </row>
    <row r="13466">
      <c r="A13466" t="n">
        <v>14341110</v>
      </c>
      <c r="B13466" t="n">
        <v>57009</v>
      </c>
      <c r="C13466" t="inlineStr">
        <is>
          <t>1434/11/10</t>
        </is>
      </c>
    </row>
    <row r="13467">
      <c r="A13467" t="n">
        <v>14341111</v>
      </c>
      <c r="B13467" t="n">
        <v>57010</v>
      </c>
      <c r="C13467" t="inlineStr">
        <is>
          <t>1434/11/11</t>
        </is>
      </c>
    </row>
    <row r="13468">
      <c r="A13468" t="n">
        <v>14341112</v>
      </c>
      <c r="B13468" t="n">
        <v>57011</v>
      </c>
      <c r="C13468" t="inlineStr">
        <is>
          <t>1434/11/12</t>
        </is>
      </c>
    </row>
    <row r="13469">
      <c r="A13469" t="n">
        <v>14341113</v>
      </c>
      <c r="B13469" t="n">
        <v>57012</v>
      </c>
      <c r="C13469" t="inlineStr">
        <is>
          <t>1434/11/13</t>
        </is>
      </c>
    </row>
    <row r="13470">
      <c r="A13470" t="n">
        <v>14341114</v>
      </c>
      <c r="B13470" t="n">
        <v>57013</v>
      </c>
      <c r="C13470" t="inlineStr">
        <is>
          <t>1434/11/14</t>
        </is>
      </c>
    </row>
    <row r="13471">
      <c r="A13471" t="n">
        <v>14341115</v>
      </c>
      <c r="B13471" t="n">
        <v>57014</v>
      </c>
      <c r="C13471" t="inlineStr">
        <is>
          <t>1434/11/15</t>
        </is>
      </c>
    </row>
    <row r="13472">
      <c r="A13472" t="n">
        <v>14341116</v>
      </c>
      <c r="B13472" t="n">
        <v>57015</v>
      </c>
      <c r="C13472" t="inlineStr">
        <is>
          <t>1434/11/16</t>
        </is>
      </c>
    </row>
    <row r="13473">
      <c r="A13473" t="n">
        <v>14341117</v>
      </c>
      <c r="B13473" t="n">
        <v>57016</v>
      </c>
      <c r="C13473" t="inlineStr">
        <is>
          <t>1434/11/17</t>
        </is>
      </c>
    </row>
    <row r="13474">
      <c r="A13474" t="n">
        <v>14341118</v>
      </c>
      <c r="B13474" t="n">
        <v>57017</v>
      </c>
      <c r="C13474" t="inlineStr">
        <is>
          <t>1434/11/18</t>
        </is>
      </c>
    </row>
    <row r="13475">
      <c r="A13475" t="n">
        <v>14341119</v>
      </c>
      <c r="B13475" t="n">
        <v>57018</v>
      </c>
      <c r="C13475" t="inlineStr">
        <is>
          <t>1434/11/19</t>
        </is>
      </c>
    </row>
    <row r="13476">
      <c r="A13476" t="n">
        <v>14341120</v>
      </c>
      <c r="B13476" t="n">
        <v>57019</v>
      </c>
      <c r="C13476" t="inlineStr">
        <is>
          <t>1434/11/20</t>
        </is>
      </c>
    </row>
    <row r="13477">
      <c r="A13477" t="n">
        <v>14341121</v>
      </c>
      <c r="B13477" t="n">
        <v>57020</v>
      </c>
      <c r="C13477" t="inlineStr">
        <is>
          <t>1434/11/21</t>
        </is>
      </c>
    </row>
    <row r="13478">
      <c r="A13478" t="n">
        <v>14341122</v>
      </c>
      <c r="B13478" t="n">
        <v>57021</v>
      </c>
      <c r="C13478" t="inlineStr">
        <is>
          <t>1434/11/22</t>
        </is>
      </c>
    </row>
    <row r="13479">
      <c r="A13479" t="n">
        <v>14341123</v>
      </c>
      <c r="B13479" t="n">
        <v>57022</v>
      </c>
      <c r="C13479" t="inlineStr">
        <is>
          <t>1434/11/23</t>
        </is>
      </c>
    </row>
    <row r="13480">
      <c r="A13480" t="n">
        <v>14341124</v>
      </c>
      <c r="B13480" t="n">
        <v>57023</v>
      </c>
      <c r="C13480" t="inlineStr">
        <is>
          <t>1434/11/24</t>
        </is>
      </c>
    </row>
    <row r="13481">
      <c r="A13481" t="n">
        <v>14341125</v>
      </c>
      <c r="B13481" t="n">
        <v>57024</v>
      </c>
      <c r="C13481" t="inlineStr">
        <is>
          <t>1434/11/25</t>
        </is>
      </c>
    </row>
    <row r="13482">
      <c r="A13482" t="n">
        <v>14341126</v>
      </c>
      <c r="B13482" t="n">
        <v>57025</v>
      </c>
      <c r="C13482" t="inlineStr">
        <is>
          <t>1434/11/26</t>
        </is>
      </c>
    </row>
    <row r="13483">
      <c r="A13483" t="n">
        <v>14341127</v>
      </c>
      <c r="B13483" t="n">
        <v>57026</v>
      </c>
      <c r="C13483" t="inlineStr">
        <is>
          <t>1434/11/27</t>
        </is>
      </c>
    </row>
    <row r="13484">
      <c r="A13484" t="n">
        <v>14341128</v>
      </c>
      <c r="B13484" t="n">
        <v>57027</v>
      </c>
      <c r="C13484" t="inlineStr">
        <is>
          <t>1434/11/28</t>
        </is>
      </c>
    </row>
    <row r="13485">
      <c r="A13485" t="n">
        <v>14341129</v>
      </c>
      <c r="B13485" t="n">
        <v>57028</v>
      </c>
      <c r="C13485" t="inlineStr">
        <is>
          <t>1434/11/29</t>
        </is>
      </c>
    </row>
    <row r="13486">
      <c r="A13486" t="n">
        <v>14341130</v>
      </c>
      <c r="B13486" t="n">
        <v>57029</v>
      </c>
      <c r="C13486" t="inlineStr">
        <is>
          <t>1434/11/30</t>
        </is>
      </c>
    </row>
    <row r="13487">
      <c r="A13487" t="n">
        <v>14341201</v>
      </c>
      <c r="B13487" t="n">
        <v>57030</v>
      </c>
      <c r="C13487" t="inlineStr">
        <is>
          <t>1434/12/01</t>
        </is>
      </c>
    </row>
    <row r="13488">
      <c r="A13488" t="n">
        <v>14341202</v>
      </c>
      <c r="B13488" t="n">
        <v>57031</v>
      </c>
      <c r="C13488" t="inlineStr">
        <is>
          <t>1434/12/02</t>
        </is>
      </c>
    </row>
    <row r="13489">
      <c r="A13489" t="n">
        <v>14341203</v>
      </c>
      <c r="B13489" t="n">
        <v>57032</v>
      </c>
      <c r="C13489" t="inlineStr">
        <is>
          <t>1434/12/03</t>
        </is>
      </c>
    </row>
    <row r="13490">
      <c r="A13490" t="n">
        <v>14341204</v>
      </c>
      <c r="B13490" t="n">
        <v>57033</v>
      </c>
      <c r="C13490" t="inlineStr">
        <is>
          <t>1434/12/04</t>
        </is>
      </c>
    </row>
    <row r="13491">
      <c r="A13491" t="n">
        <v>14341205</v>
      </c>
      <c r="B13491" t="n">
        <v>57034</v>
      </c>
      <c r="C13491" t="inlineStr">
        <is>
          <t>1434/12/05</t>
        </is>
      </c>
    </row>
    <row r="13492">
      <c r="A13492" t="n">
        <v>14341206</v>
      </c>
      <c r="B13492" t="n">
        <v>57035</v>
      </c>
      <c r="C13492" t="inlineStr">
        <is>
          <t>1434/12/06</t>
        </is>
      </c>
    </row>
    <row r="13493">
      <c r="A13493" t="n">
        <v>14341207</v>
      </c>
      <c r="B13493" t="n">
        <v>57036</v>
      </c>
      <c r="C13493" t="inlineStr">
        <is>
          <t>1434/12/07</t>
        </is>
      </c>
    </row>
    <row r="13494">
      <c r="A13494" t="n">
        <v>14341208</v>
      </c>
      <c r="B13494" t="n">
        <v>57037</v>
      </c>
      <c r="C13494" t="inlineStr">
        <is>
          <t>1434/12/08</t>
        </is>
      </c>
    </row>
    <row r="13495">
      <c r="A13495" t="n">
        <v>14341209</v>
      </c>
      <c r="B13495" t="n">
        <v>57038</v>
      </c>
      <c r="C13495" t="inlineStr">
        <is>
          <t>1434/12/09</t>
        </is>
      </c>
    </row>
    <row r="13496">
      <c r="A13496" t="n">
        <v>14341210</v>
      </c>
      <c r="B13496" t="n">
        <v>57039</v>
      </c>
      <c r="C13496" t="inlineStr">
        <is>
          <t>1434/12/10</t>
        </is>
      </c>
    </row>
    <row r="13497">
      <c r="A13497" t="n">
        <v>14341211</v>
      </c>
      <c r="B13497" t="n">
        <v>57040</v>
      </c>
      <c r="C13497" t="inlineStr">
        <is>
          <t>1434/12/11</t>
        </is>
      </c>
    </row>
    <row r="13498">
      <c r="A13498" t="n">
        <v>14341212</v>
      </c>
      <c r="B13498" t="n">
        <v>57041</v>
      </c>
      <c r="C13498" t="inlineStr">
        <is>
          <t>1434/12/12</t>
        </is>
      </c>
    </row>
    <row r="13499">
      <c r="A13499" t="n">
        <v>14341213</v>
      </c>
      <c r="B13499" t="n">
        <v>57042</v>
      </c>
      <c r="C13499" t="inlineStr">
        <is>
          <t>1434/12/13</t>
        </is>
      </c>
    </row>
    <row r="13500">
      <c r="A13500" t="n">
        <v>14341214</v>
      </c>
      <c r="B13500" t="n">
        <v>57043</v>
      </c>
      <c r="C13500" t="inlineStr">
        <is>
          <t>1434/12/14</t>
        </is>
      </c>
    </row>
    <row r="13501">
      <c r="A13501" t="n">
        <v>14341215</v>
      </c>
      <c r="B13501" t="n">
        <v>57044</v>
      </c>
      <c r="C13501" t="inlineStr">
        <is>
          <t>1434/12/15</t>
        </is>
      </c>
    </row>
    <row r="13502">
      <c r="A13502" t="n">
        <v>14341216</v>
      </c>
      <c r="B13502" t="n">
        <v>57045</v>
      </c>
      <c r="C13502" t="inlineStr">
        <is>
          <t>1434/12/16</t>
        </is>
      </c>
    </row>
    <row r="13503">
      <c r="A13503" t="n">
        <v>14341217</v>
      </c>
      <c r="B13503" t="n">
        <v>57046</v>
      </c>
      <c r="C13503" t="inlineStr">
        <is>
          <t>1434/12/17</t>
        </is>
      </c>
    </row>
    <row r="13504">
      <c r="A13504" t="n">
        <v>14341218</v>
      </c>
      <c r="B13504" t="n">
        <v>57047</v>
      </c>
      <c r="C13504" t="inlineStr">
        <is>
          <t>1434/12/18</t>
        </is>
      </c>
    </row>
    <row r="13505">
      <c r="A13505" t="n">
        <v>14341219</v>
      </c>
      <c r="B13505" t="n">
        <v>57048</v>
      </c>
      <c r="C13505" t="inlineStr">
        <is>
          <t>1434/12/19</t>
        </is>
      </c>
    </row>
    <row r="13506">
      <c r="A13506" t="n">
        <v>14341220</v>
      </c>
      <c r="B13506" t="n">
        <v>57049</v>
      </c>
      <c r="C13506" t="inlineStr">
        <is>
          <t>1434/12/20</t>
        </is>
      </c>
    </row>
    <row r="13507">
      <c r="A13507" t="n">
        <v>14341221</v>
      </c>
      <c r="B13507" t="n">
        <v>57050</v>
      </c>
      <c r="C13507" t="inlineStr">
        <is>
          <t>1434/12/21</t>
        </is>
      </c>
    </row>
    <row r="13508">
      <c r="A13508" t="n">
        <v>14341222</v>
      </c>
      <c r="B13508" t="n">
        <v>57051</v>
      </c>
      <c r="C13508" t="inlineStr">
        <is>
          <t>1434/12/22</t>
        </is>
      </c>
    </row>
    <row r="13509">
      <c r="A13509" t="n">
        <v>14341223</v>
      </c>
      <c r="B13509" t="n">
        <v>57052</v>
      </c>
      <c r="C13509" t="inlineStr">
        <is>
          <t>1434/12/23</t>
        </is>
      </c>
    </row>
    <row r="13510">
      <c r="A13510" t="n">
        <v>14341224</v>
      </c>
      <c r="B13510" t="n">
        <v>57053</v>
      </c>
      <c r="C13510" t="inlineStr">
        <is>
          <t>1434/12/24</t>
        </is>
      </c>
    </row>
    <row r="13511">
      <c r="A13511" t="n">
        <v>14341225</v>
      </c>
      <c r="B13511" t="n">
        <v>57054</v>
      </c>
      <c r="C13511" t="inlineStr">
        <is>
          <t>1434/12/25</t>
        </is>
      </c>
    </row>
    <row r="13512">
      <c r="A13512" t="n">
        <v>14341226</v>
      </c>
      <c r="B13512" t="n">
        <v>57055</v>
      </c>
      <c r="C13512" t="inlineStr">
        <is>
          <t>1434/12/26</t>
        </is>
      </c>
    </row>
    <row r="13513">
      <c r="A13513" t="n">
        <v>14341227</v>
      </c>
      <c r="B13513" t="n">
        <v>57056</v>
      </c>
      <c r="C13513" t="inlineStr">
        <is>
          <t>1434/12/27</t>
        </is>
      </c>
    </row>
    <row r="13514">
      <c r="A13514" t="n">
        <v>14341228</v>
      </c>
      <c r="B13514" t="n">
        <v>57057</v>
      </c>
      <c r="C13514" t="inlineStr">
        <is>
          <t>1434/12/28</t>
        </is>
      </c>
    </row>
    <row r="13515">
      <c r="A13515" t="n">
        <v>14341229</v>
      </c>
      <c r="B13515" t="n">
        <v>57058</v>
      </c>
      <c r="C13515" t="inlineStr">
        <is>
          <t>1434/12/29</t>
        </is>
      </c>
    </row>
    <row r="13516">
      <c r="A13516" t="n">
        <v>14350101</v>
      </c>
      <c r="B13516" t="n">
        <v>57059</v>
      </c>
      <c r="C13516" t="inlineStr">
        <is>
          <t>1435/01/01</t>
        </is>
      </c>
    </row>
    <row r="13517">
      <c r="A13517" t="n">
        <v>14350102</v>
      </c>
      <c r="B13517" t="n">
        <v>57060</v>
      </c>
      <c r="C13517" t="inlineStr">
        <is>
          <t>1435/01/02</t>
        </is>
      </c>
    </row>
    <row r="13518">
      <c r="A13518" t="n">
        <v>14350103</v>
      </c>
      <c r="B13518" t="n">
        <v>57061</v>
      </c>
      <c r="C13518" t="inlineStr">
        <is>
          <t>1435/01/03</t>
        </is>
      </c>
    </row>
    <row r="13519">
      <c r="A13519" t="n">
        <v>14350104</v>
      </c>
      <c r="B13519" t="n">
        <v>57062</v>
      </c>
      <c r="C13519" t="inlineStr">
        <is>
          <t>1435/01/04</t>
        </is>
      </c>
    </row>
    <row r="13520">
      <c r="A13520" t="n">
        <v>14350105</v>
      </c>
      <c r="B13520" t="n">
        <v>57063</v>
      </c>
      <c r="C13520" t="inlineStr">
        <is>
          <t>1435/01/05</t>
        </is>
      </c>
    </row>
    <row r="13521">
      <c r="A13521" t="n">
        <v>14350106</v>
      </c>
      <c r="B13521" t="n">
        <v>57064</v>
      </c>
      <c r="C13521" t="inlineStr">
        <is>
          <t>1435/01/06</t>
        </is>
      </c>
    </row>
    <row r="13522">
      <c r="A13522" t="n">
        <v>14350107</v>
      </c>
      <c r="B13522" t="n">
        <v>57065</v>
      </c>
      <c r="C13522" t="inlineStr">
        <is>
          <t>1435/01/07</t>
        </is>
      </c>
    </row>
    <row r="13523">
      <c r="A13523" t="n">
        <v>14350108</v>
      </c>
      <c r="B13523" t="n">
        <v>57066</v>
      </c>
      <c r="C13523" t="inlineStr">
        <is>
          <t>1435/01/08</t>
        </is>
      </c>
    </row>
    <row r="13524">
      <c r="A13524" t="n">
        <v>14350109</v>
      </c>
      <c r="B13524" t="n">
        <v>57067</v>
      </c>
      <c r="C13524" t="inlineStr">
        <is>
          <t>1435/01/09</t>
        </is>
      </c>
    </row>
    <row r="13525">
      <c r="A13525" t="n">
        <v>14350110</v>
      </c>
      <c r="B13525" t="n">
        <v>57068</v>
      </c>
      <c r="C13525" t="inlineStr">
        <is>
          <t>1435/01/10</t>
        </is>
      </c>
    </row>
    <row r="13526">
      <c r="A13526" t="n">
        <v>14350111</v>
      </c>
      <c r="B13526" t="n">
        <v>57069</v>
      </c>
      <c r="C13526" t="inlineStr">
        <is>
          <t>1435/01/11</t>
        </is>
      </c>
    </row>
    <row r="13527">
      <c r="A13527" t="n">
        <v>14350112</v>
      </c>
      <c r="B13527" t="n">
        <v>57070</v>
      </c>
      <c r="C13527" t="inlineStr">
        <is>
          <t>1435/01/12</t>
        </is>
      </c>
    </row>
    <row r="13528">
      <c r="A13528" t="n">
        <v>14350113</v>
      </c>
      <c r="B13528" t="n">
        <v>57071</v>
      </c>
      <c r="C13528" t="inlineStr">
        <is>
          <t>1435/01/13</t>
        </is>
      </c>
    </row>
    <row r="13529">
      <c r="A13529" t="n">
        <v>14350114</v>
      </c>
      <c r="B13529" t="n">
        <v>57072</v>
      </c>
      <c r="C13529" t="inlineStr">
        <is>
          <t>1435/01/14</t>
        </is>
      </c>
    </row>
    <row r="13530">
      <c r="A13530" t="n">
        <v>14350115</v>
      </c>
      <c r="B13530" t="n">
        <v>57073</v>
      </c>
      <c r="C13530" t="inlineStr">
        <is>
          <t>1435/01/15</t>
        </is>
      </c>
    </row>
    <row r="13531">
      <c r="A13531" t="n">
        <v>14350116</v>
      </c>
      <c r="B13531" t="n">
        <v>57074</v>
      </c>
      <c r="C13531" t="inlineStr">
        <is>
          <t>1435/01/16</t>
        </is>
      </c>
    </row>
    <row r="13532">
      <c r="A13532" t="n">
        <v>14350117</v>
      </c>
      <c r="B13532" t="n">
        <v>57075</v>
      </c>
      <c r="C13532" t="inlineStr">
        <is>
          <t>1435/01/17</t>
        </is>
      </c>
    </row>
    <row r="13533">
      <c r="A13533" t="n">
        <v>14350118</v>
      </c>
      <c r="B13533" t="n">
        <v>57076</v>
      </c>
      <c r="C13533" t="inlineStr">
        <is>
          <t>1435/01/18</t>
        </is>
      </c>
    </row>
    <row r="13534">
      <c r="A13534" t="n">
        <v>14350119</v>
      </c>
      <c r="B13534" t="n">
        <v>57077</v>
      </c>
      <c r="C13534" t="inlineStr">
        <is>
          <t>1435/01/19</t>
        </is>
      </c>
    </row>
    <row r="13535">
      <c r="A13535" t="n">
        <v>14350120</v>
      </c>
      <c r="B13535" t="n">
        <v>57078</v>
      </c>
      <c r="C13535" t="inlineStr">
        <is>
          <t>1435/01/20</t>
        </is>
      </c>
    </row>
    <row r="13536">
      <c r="A13536" t="n">
        <v>14350121</v>
      </c>
      <c r="B13536" t="n">
        <v>57079</v>
      </c>
      <c r="C13536" t="inlineStr">
        <is>
          <t>1435/01/21</t>
        </is>
      </c>
    </row>
    <row r="13537">
      <c r="A13537" t="n">
        <v>14350122</v>
      </c>
      <c r="B13537" t="n">
        <v>57080</v>
      </c>
      <c r="C13537" t="inlineStr">
        <is>
          <t>1435/01/22</t>
        </is>
      </c>
    </row>
    <row r="13538">
      <c r="A13538" t="n">
        <v>14350123</v>
      </c>
      <c r="B13538" t="n">
        <v>57081</v>
      </c>
      <c r="C13538" t="inlineStr">
        <is>
          <t>1435/01/23</t>
        </is>
      </c>
    </row>
    <row r="13539">
      <c r="A13539" t="n">
        <v>14350124</v>
      </c>
      <c r="B13539" t="n">
        <v>57082</v>
      </c>
      <c r="C13539" t="inlineStr">
        <is>
          <t>1435/01/24</t>
        </is>
      </c>
    </row>
    <row r="13540">
      <c r="A13540" t="n">
        <v>14350125</v>
      </c>
      <c r="B13540" t="n">
        <v>57083</v>
      </c>
      <c r="C13540" t="inlineStr">
        <is>
          <t>1435/01/25</t>
        </is>
      </c>
    </row>
    <row r="13541">
      <c r="A13541" t="n">
        <v>14350126</v>
      </c>
      <c r="B13541" t="n">
        <v>57084</v>
      </c>
      <c r="C13541" t="inlineStr">
        <is>
          <t>1435/01/26</t>
        </is>
      </c>
    </row>
    <row r="13542">
      <c r="A13542" t="n">
        <v>14350127</v>
      </c>
      <c r="B13542" t="n">
        <v>57085</v>
      </c>
      <c r="C13542" t="inlineStr">
        <is>
          <t>1435/01/27</t>
        </is>
      </c>
    </row>
    <row r="13543">
      <c r="A13543" t="n">
        <v>14350128</v>
      </c>
      <c r="B13543" t="n">
        <v>57086</v>
      </c>
      <c r="C13543" t="inlineStr">
        <is>
          <t>1435/01/28</t>
        </is>
      </c>
    </row>
    <row r="13544">
      <c r="A13544" t="n">
        <v>14350129</v>
      </c>
      <c r="B13544" t="n">
        <v>57087</v>
      </c>
      <c r="C13544" t="inlineStr">
        <is>
          <t>1435/01/29</t>
        </is>
      </c>
    </row>
    <row r="13545">
      <c r="A13545" t="n">
        <v>14350130</v>
      </c>
      <c r="B13545" t="n">
        <v>57088</v>
      </c>
      <c r="C13545" t="inlineStr">
        <is>
          <t>1435/01/30</t>
        </is>
      </c>
    </row>
    <row r="13546">
      <c r="A13546" t="n">
        <v>14350131</v>
      </c>
      <c r="B13546" t="n">
        <v>57089</v>
      </c>
      <c r="C13546" t="inlineStr">
        <is>
          <t>1435/01/31</t>
        </is>
      </c>
    </row>
    <row r="13547">
      <c r="A13547" t="n">
        <v>14350201</v>
      </c>
      <c r="B13547" t="n">
        <v>57090</v>
      </c>
      <c r="C13547" t="inlineStr">
        <is>
          <t>1435/02/01</t>
        </is>
      </c>
    </row>
    <row r="13548">
      <c r="A13548" t="n">
        <v>14350202</v>
      </c>
      <c r="B13548" t="n">
        <v>57091</v>
      </c>
      <c r="C13548" t="inlineStr">
        <is>
          <t>1435/02/02</t>
        </is>
      </c>
    </row>
    <row r="13549">
      <c r="A13549" t="n">
        <v>14350203</v>
      </c>
      <c r="B13549" t="n">
        <v>57092</v>
      </c>
      <c r="C13549" t="inlineStr">
        <is>
          <t>1435/02/03</t>
        </is>
      </c>
    </row>
    <row r="13550">
      <c r="A13550" t="n">
        <v>14350204</v>
      </c>
      <c r="B13550" t="n">
        <v>57093</v>
      </c>
      <c r="C13550" t="inlineStr">
        <is>
          <t>1435/02/04</t>
        </is>
      </c>
    </row>
    <row r="13551">
      <c r="A13551" t="n">
        <v>14350205</v>
      </c>
      <c r="B13551" t="n">
        <v>57094</v>
      </c>
      <c r="C13551" t="inlineStr">
        <is>
          <t>1435/02/05</t>
        </is>
      </c>
    </row>
    <row r="13552">
      <c r="A13552" t="n">
        <v>14350206</v>
      </c>
      <c r="B13552" t="n">
        <v>57095</v>
      </c>
      <c r="C13552" t="inlineStr">
        <is>
          <t>1435/02/06</t>
        </is>
      </c>
    </row>
    <row r="13553">
      <c r="A13553" t="n">
        <v>14350207</v>
      </c>
      <c r="B13553" t="n">
        <v>57096</v>
      </c>
      <c r="C13553" t="inlineStr">
        <is>
          <t>1435/02/07</t>
        </is>
      </c>
    </row>
    <row r="13554">
      <c r="A13554" t="n">
        <v>14350208</v>
      </c>
      <c r="B13554" t="n">
        <v>57097</v>
      </c>
      <c r="C13554" t="inlineStr">
        <is>
          <t>1435/02/08</t>
        </is>
      </c>
    </row>
    <row r="13555">
      <c r="A13555" t="n">
        <v>14350209</v>
      </c>
      <c r="B13555" t="n">
        <v>57098</v>
      </c>
      <c r="C13555" t="inlineStr">
        <is>
          <t>1435/02/09</t>
        </is>
      </c>
    </row>
    <row r="13556">
      <c r="A13556" t="n">
        <v>14350210</v>
      </c>
      <c r="B13556" t="n">
        <v>57099</v>
      </c>
      <c r="C13556" t="inlineStr">
        <is>
          <t>1435/02/10</t>
        </is>
      </c>
    </row>
    <row r="13557">
      <c r="A13557" t="n">
        <v>14350211</v>
      </c>
      <c r="B13557" t="n">
        <v>57100</v>
      </c>
      <c r="C13557" t="inlineStr">
        <is>
          <t>1435/02/11</t>
        </is>
      </c>
    </row>
    <row r="13558">
      <c r="A13558" t="n">
        <v>14350212</v>
      </c>
      <c r="B13558" t="n">
        <v>57101</v>
      </c>
      <c r="C13558" t="inlineStr">
        <is>
          <t>1435/02/12</t>
        </is>
      </c>
    </row>
    <row r="13559">
      <c r="A13559" t="n">
        <v>14350213</v>
      </c>
      <c r="B13559" t="n">
        <v>57102</v>
      </c>
      <c r="C13559" t="inlineStr">
        <is>
          <t>1435/02/13</t>
        </is>
      </c>
    </row>
    <row r="13560">
      <c r="A13560" t="n">
        <v>14350214</v>
      </c>
      <c r="B13560" t="n">
        <v>57103</v>
      </c>
      <c r="C13560" t="inlineStr">
        <is>
          <t>1435/02/14</t>
        </is>
      </c>
    </row>
    <row r="13561">
      <c r="A13561" t="n">
        <v>14350215</v>
      </c>
      <c r="B13561" t="n">
        <v>57104</v>
      </c>
      <c r="C13561" t="inlineStr">
        <is>
          <t>1435/02/15</t>
        </is>
      </c>
    </row>
    <row r="13562">
      <c r="A13562" t="n">
        <v>14350216</v>
      </c>
      <c r="B13562" t="n">
        <v>57105</v>
      </c>
      <c r="C13562" t="inlineStr">
        <is>
          <t>1435/02/16</t>
        </is>
      </c>
    </row>
    <row r="13563">
      <c r="A13563" t="n">
        <v>14350217</v>
      </c>
      <c r="B13563" t="n">
        <v>57106</v>
      </c>
      <c r="C13563" t="inlineStr">
        <is>
          <t>1435/02/17</t>
        </is>
      </c>
    </row>
    <row r="13564">
      <c r="A13564" t="n">
        <v>14350218</v>
      </c>
      <c r="B13564" t="n">
        <v>57107</v>
      </c>
      <c r="C13564" t="inlineStr">
        <is>
          <t>1435/02/18</t>
        </is>
      </c>
    </row>
    <row r="13565">
      <c r="A13565" t="n">
        <v>14350219</v>
      </c>
      <c r="B13565" t="n">
        <v>57108</v>
      </c>
      <c r="C13565" t="inlineStr">
        <is>
          <t>1435/02/19</t>
        </is>
      </c>
    </row>
    <row r="13566">
      <c r="A13566" t="n">
        <v>14350220</v>
      </c>
      <c r="B13566" t="n">
        <v>57109</v>
      </c>
      <c r="C13566" t="inlineStr">
        <is>
          <t>1435/02/20</t>
        </is>
      </c>
    </row>
    <row r="13567">
      <c r="A13567" t="n">
        <v>14350221</v>
      </c>
      <c r="B13567" t="n">
        <v>57110</v>
      </c>
      <c r="C13567" t="inlineStr">
        <is>
          <t>1435/02/21</t>
        </is>
      </c>
    </row>
    <row r="13568">
      <c r="A13568" t="n">
        <v>14350222</v>
      </c>
      <c r="B13568" t="n">
        <v>57111</v>
      </c>
      <c r="C13568" t="inlineStr">
        <is>
          <t>1435/02/22</t>
        </is>
      </c>
    </row>
    <row r="13569">
      <c r="A13569" t="n">
        <v>14350223</v>
      </c>
      <c r="B13569" t="n">
        <v>57112</v>
      </c>
      <c r="C13569" t="inlineStr">
        <is>
          <t>1435/02/23</t>
        </is>
      </c>
    </row>
    <row r="13570">
      <c r="A13570" t="n">
        <v>14350224</v>
      </c>
      <c r="B13570" t="n">
        <v>57113</v>
      </c>
      <c r="C13570" t="inlineStr">
        <is>
          <t>1435/02/24</t>
        </is>
      </c>
    </row>
    <row r="13571">
      <c r="A13571" t="n">
        <v>14350225</v>
      </c>
      <c r="B13571" t="n">
        <v>57114</v>
      </c>
      <c r="C13571" t="inlineStr">
        <is>
          <t>1435/02/25</t>
        </is>
      </c>
    </row>
    <row r="13572">
      <c r="A13572" t="n">
        <v>14350226</v>
      </c>
      <c r="B13572" t="n">
        <v>57115</v>
      </c>
      <c r="C13572" t="inlineStr">
        <is>
          <t>1435/02/26</t>
        </is>
      </c>
    </row>
    <row r="13573">
      <c r="A13573" t="n">
        <v>14350227</v>
      </c>
      <c r="B13573" t="n">
        <v>57116</v>
      </c>
      <c r="C13573" t="inlineStr">
        <is>
          <t>1435/02/27</t>
        </is>
      </c>
    </row>
    <row r="13574">
      <c r="A13574" t="n">
        <v>14350228</v>
      </c>
      <c r="B13574" t="n">
        <v>57117</v>
      </c>
      <c r="C13574" t="inlineStr">
        <is>
          <t>1435/02/28</t>
        </is>
      </c>
    </row>
    <row r="13575">
      <c r="A13575" t="n">
        <v>14350229</v>
      </c>
      <c r="B13575" t="n">
        <v>57118</v>
      </c>
      <c r="C13575" t="inlineStr">
        <is>
          <t>1435/02/29</t>
        </is>
      </c>
    </row>
    <row r="13576">
      <c r="A13576" t="n">
        <v>14350230</v>
      </c>
      <c r="B13576" t="n">
        <v>57119</v>
      </c>
      <c r="C13576" t="inlineStr">
        <is>
          <t>1435/02/30</t>
        </is>
      </c>
    </row>
    <row r="13577">
      <c r="A13577" t="n">
        <v>14350231</v>
      </c>
      <c r="B13577" t="n">
        <v>57120</v>
      </c>
      <c r="C13577" t="inlineStr">
        <is>
          <t>1435/02/31</t>
        </is>
      </c>
    </row>
    <row r="13578">
      <c r="A13578" t="n">
        <v>14350301</v>
      </c>
      <c r="B13578" t="n">
        <v>57121</v>
      </c>
      <c r="C13578" t="inlineStr">
        <is>
          <t>1435/03/01</t>
        </is>
      </c>
    </row>
    <row r="13579">
      <c r="A13579" t="n">
        <v>14350302</v>
      </c>
      <c r="B13579" t="n">
        <v>57122</v>
      </c>
      <c r="C13579" t="inlineStr">
        <is>
          <t>1435/03/02</t>
        </is>
      </c>
    </row>
    <row r="13580">
      <c r="A13580" t="n">
        <v>14350303</v>
      </c>
      <c r="B13580" t="n">
        <v>57123</v>
      </c>
      <c r="C13580" t="inlineStr">
        <is>
          <t>1435/03/03</t>
        </is>
      </c>
    </row>
    <row r="13581">
      <c r="A13581" t="n">
        <v>14350304</v>
      </c>
      <c r="B13581" t="n">
        <v>57124</v>
      </c>
      <c r="C13581" t="inlineStr">
        <is>
          <t>1435/03/04</t>
        </is>
      </c>
    </row>
    <row r="13582">
      <c r="A13582" t="n">
        <v>14350305</v>
      </c>
      <c r="B13582" t="n">
        <v>57125</v>
      </c>
      <c r="C13582" t="inlineStr">
        <is>
          <t>1435/03/05</t>
        </is>
      </c>
    </row>
    <row r="13583">
      <c r="A13583" t="n">
        <v>14350306</v>
      </c>
      <c r="B13583" t="n">
        <v>57126</v>
      </c>
      <c r="C13583" t="inlineStr">
        <is>
          <t>1435/03/06</t>
        </is>
      </c>
    </row>
    <row r="13584">
      <c r="A13584" t="n">
        <v>14350307</v>
      </c>
      <c r="B13584" t="n">
        <v>57127</v>
      </c>
      <c r="C13584" t="inlineStr">
        <is>
          <t>1435/03/07</t>
        </is>
      </c>
    </row>
    <row r="13585">
      <c r="A13585" t="n">
        <v>14350308</v>
      </c>
      <c r="B13585" t="n">
        <v>57128</v>
      </c>
      <c r="C13585" t="inlineStr">
        <is>
          <t>1435/03/08</t>
        </is>
      </c>
    </row>
    <row r="13586">
      <c r="A13586" t="n">
        <v>14350309</v>
      </c>
      <c r="B13586" t="n">
        <v>57129</v>
      </c>
      <c r="C13586" t="inlineStr">
        <is>
          <t>1435/03/09</t>
        </is>
      </c>
    </row>
    <row r="13587">
      <c r="A13587" t="n">
        <v>14350310</v>
      </c>
      <c r="B13587" t="n">
        <v>57130</v>
      </c>
      <c r="C13587" t="inlineStr">
        <is>
          <t>1435/03/10</t>
        </is>
      </c>
    </row>
    <row r="13588">
      <c r="A13588" t="n">
        <v>14350311</v>
      </c>
      <c r="B13588" t="n">
        <v>57131</v>
      </c>
      <c r="C13588" t="inlineStr">
        <is>
          <t>1435/03/11</t>
        </is>
      </c>
    </row>
    <row r="13589">
      <c r="A13589" t="n">
        <v>14350312</v>
      </c>
      <c r="B13589" t="n">
        <v>57132</v>
      </c>
      <c r="C13589" t="inlineStr">
        <is>
          <t>1435/03/12</t>
        </is>
      </c>
    </row>
    <row r="13590">
      <c r="A13590" t="n">
        <v>14350313</v>
      </c>
      <c r="B13590" t="n">
        <v>57133</v>
      </c>
      <c r="C13590" t="inlineStr">
        <is>
          <t>1435/03/13</t>
        </is>
      </c>
    </row>
    <row r="13591">
      <c r="A13591" t="n">
        <v>14350314</v>
      </c>
      <c r="B13591" t="n">
        <v>57134</v>
      </c>
      <c r="C13591" t="inlineStr">
        <is>
          <t>1435/03/14</t>
        </is>
      </c>
    </row>
    <row r="13592">
      <c r="A13592" t="n">
        <v>14350315</v>
      </c>
      <c r="B13592" t="n">
        <v>57135</v>
      </c>
      <c r="C13592" t="inlineStr">
        <is>
          <t>1435/03/15</t>
        </is>
      </c>
    </row>
    <row r="13593">
      <c r="A13593" t="n">
        <v>14350316</v>
      </c>
      <c r="B13593" t="n">
        <v>57136</v>
      </c>
      <c r="C13593" t="inlineStr">
        <is>
          <t>1435/03/16</t>
        </is>
      </c>
    </row>
    <row r="13594">
      <c r="A13594" t="n">
        <v>14350317</v>
      </c>
      <c r="B13594" t="n">
        <v>57137</v>
      </c>
      <c r="C13594" t="inlineStr">
        <is>
          <t>1435/03/17</t>
        </is>
      </c>
    </row>
    <row r="13595">
      <c r="A13595" t="n">
        <v>14350318</v>
      </c>
      <c r="B13595" t="n">
        <v>57138</v>
      </c>
      <c r="C13595" t="inlineStr">
        <is>
          <t>1435/03/18</t>
        </is>
      </c>
    </row>
    <row r="13596">
      <c r="A13596" t="n">
        <v>14350319</v>
      </c>
      <c r="B13596" t="n">
        <v>57139</v>
      </c>
      <c r="C13596" t="inlineStr">
        <is>
          <t>1435/03/19</t>
        </is>
      </c>
    </row>
    <row r="13597">
      <c r="A13597" t="n">
        <v>14350320</v>
      </c>
      <c r="B13597" t="n">
        <v>57140</v>
      </c>
      <c r="C13597" t="inlineStr">
        <is>
          <t>1435/03/20</t>
        </is>
      </c>
    </row>
    <row r="13598">
      <c r="A13598" t="n">
        <v>14350321</v>
      </c>
      <c r="B13598" t="n">
        <v>57141</v>
      </c>
      <c r="C13598" t="inlineStr">
        <is>
          <t>1435/03/21</t>
        </is>
      </c>
    </row>
    <row r="13599">
      <c r="A13599" t="n">
        <v>14350322</v>
      </c>
      <c r="B13599" t="n">
        <v>57142</v>
      </c>
      <c r="C13599" t="inlineStr">
        <is>
          <t>1435/03/22</t>
        </is>
      </c>
    </row>
    <row r="13600">
      <c r="A13600" t="n">
        <v>14350323</v>
      </c>
      <c r="B13600" t="n">
        <v>57143</v>
      </c>
      <c r="C13600" t="inlineStr">
        <is>
          <t>1435/03/23</t>
        </is>
      </c>
    </row>
    <row r="13601">
      <c r="A13601" t="n">
        <v>14350324</v>
      </c>
      <c r="B13601" t="n">
        <v>57144</v>
      </c>
      <c r="C13601" t="inlineStr">
        <is>
          <t>1435/03/24</t>
        </is>
      </c>
    </row>
    <row r="13602">
      <c r="A13602" t="n">
        <v>14350325</v>
      </c>
      <c r="B13602" t="n">
        <v>57145</v>
      </c>
      <c r="C13602" t="inlineStr">
        <is>
          <t>1435/03/25</t>
        </is>
      </c>
    </row>
    <row r="13603">
      <c r="A13603" t="n">
        <v>14350326</v>
      </c>
      <c r="B13603" t="n">
        <v>57146</v>
      </c>
      <c r="C13603" t="inlineStr">
        <is>
          <t>1435/03/26</t>
        </is>
      </c>
    </row>
    <row r="13604">
      <c r="A13604" t="n">
        <v>14350327</v>
      </c>
      <c r="B13604" t="n">
        <v>57147</v>
      </c>
      <c r="C13604" t="inlineStr">
        <is>
          <t>1435/03/27</t>
        </is>
      </c>
    </row>
    <row r="13605">
      <c r="A13605" t="n">
        <v>14350328</v>
      </c>
      <c r="B13605" t="n">
        <v>57148</v>
      </c>
      <c r="C13605" t="inlineStr">
        <is>
          <t>1435/03/28</t>
        </is>
      </c>
    </row>
    <row r="13606">
      <c r="A13606" t="n">
        <v>14350329</v>
      </c>
      <c r="B13606" t="n">
        <v>57149</v>
      </c>
      <c r="C13606" t="inlineStr">
        <is>
          <t>1435/03/29</t>
        </is>
      </c>
    </row>
    <row r="13607">
      <c r="A13607" t="n">
        <v>14350330</v>
      </c>
      <c r="B13607" t="n">
        <v>57150</v>
      </c>
      <c r="C13607" t="inlineStr">
        <is>
          <t>1435/03/30</t>
        </is>
      </c>
    </row>
    <row r="13608">
      <c r="A13608" t="n">
        <v>14350331</v>
      </c>
      <c r="B13608" t="n">
        <v>57151</v>
      </c>
      <c r="C13608" t="inlineStr">
        <is>
          <t>1435/03/31</t>
        </is>
      </c>
    </row>
    <row r="13609">
      <c r="A13609" t="n">
        <v>14350401</v>
      </c>
      <c r="B13609" t="n">
        <v>57152</v>
      </c>
      <c r="C13609" t="inlineStr">
        <is>
          <t>1435/04/01</t>
        </is>
      </c>
    </row>
    <row r="13610">
      <c r="A13610" t="n">
        <v>14350402</v>
      </c>
      <c r="B13610" t="n">
        <v>57153</v>
      </c>
      <c r="C13610" t="inlineStr">
        <is>
          <t>1435/04/02</t>
        </is>
      </c>
    </row>
    <row r="13611">
      <c r="A13611" t="n">
        <v>14350403</v>
      </c>
      <c r="B13611" t="n">
        <v>57154</v>
      </c>
      <c r="C13611" t="inlineStr">
        <is>
          <t>1435/04/03</t>
        </is>
      </c>
    </row>
    <row r="13612">
      <c r="A13612" t="n">
        <v>14350404</v>
      </c>
      <c r="B13612" t="n">
        <v>57155</v>
      </c>
      <c r="C13612" t="inlineStr">
        <is>
          <t>1435/04/04</t>
        </is>
      </c>
    </row>
    <row r="13613">
      <c r="A13613" t="n">
        <v>14350405</v>
      </c>
      <c r="B13613" t="n">
        <v>57156</v>
      </c>
      <c r="C13613" t="inlineStr">
        <is>
          <t>1435/04/05</t>
        </is>
      </c>
    </row>
    <row r="13614">
      <c r="A13614" t="n">
        <v>14350406</v>
      </c>
      <c r="B13614" t="n">
        <v>57157</v>
      </c>
      <c r="C13614" t="inlineStr">
        <is>
          <t>1435/04/06</t>
        </is>
      </c>
    </row>
    <row r="13615">
      <c r="A13615" t="n">
        <v>14350407</v>
      </c>
      <c r="B13615" t="n">
        <v>57158</v>
      </c>
      <c r="C13615" t="inlineStr">
        <is>
          <t>1435/04/07</t>
        </is>
      </c>
    </row>
    <row r="13616">
      <c r="A13616" t="n">
        <v>14350408</v>
      </c>
      <c r="B13616" t="n">
        <v>57159</v>
      </c>
      <c r="C13616" t="inlineStr">
        <is>
          <t>1435/04/08</t>
        </is>
      </c>
    </row>
    <row r="13617">
      <c r="A13617" t="n">
        <v>14350409</v>
      </c>
      <c r="B13617" t="n">
        <v>57160</v>
      </c>
      <c r="C13617" t="inlineStr">
        <is>
          <t>1435/04/09</t>
        </is>
      </c>
    </row>
    <row r="13618">
      <c r="A13618" t="n">
        <v>14350410</v>
      </c>
      <c r="B13618" t="n">
        <v>57161</v>
      </c>
      <c r="C13618" t="inlineStr">
        <is>
          <t>1435/04/10</t>
        </is>
      </c>
    </row>
    <row r="13619">
      <c r="A13619" t="n">
        <v>14350411</v>
      </c>
      <c r="B13619" t="n">
        <v>57162</v>
      </c>
      <c r="C13619" t="inlineStr">
        <is>
          <t>1435/04/11</t>
        </is>
      </c>
    </row>
    <row r="13620">
      <c r="A13620" t="n">
        <v>14350412</v>
      </c>
      <c r="B13620" t="n">
        <v>57163</v>
      </c>
      <c r="C13620" t="inlineStr">
        <is>
          <t>1435/04/12</t>
        </is>
      </c>
    </row>
    <row r="13621">
      <c r="A13621" t="n">
        <v>14350413</v>
      </c>
      <c r="B13621" t="n">
        <v>57164</v>
      </c>
      <c r="C13621" t="inlineStr">
        <is>
          <t>1435/04/13</t>
        </is>
      </c>
    </row>
    <row r="13622">
      <c r="A13622" t="n">
        <v>14350414</v>
      </c>
      <c r="B13622" t="n">
        <v>57165</v>
      </c>
      <c r="C13622" t="inlineStr">
        <is>
          <t>1435/04/14</t>
        </is>
      </c>
    </row>
    <row r="13623">
      <c r="A13623" t="n">
        <v>14350415</v>
      </c>
      <c r="B13623" t="n">
        <v>57166</v>
      </c>
      <c r="C13623" t="inlineStr">
        <is>
          <t>1435/04/15</t>
        </is>
      </c>
    </row>
    <row r="13624">
      <c r="A13624" t="n">
        <v>14350416</v>
      </c>
      <c r="B13624" t="n">
        <v>57167</v>
      </c>
      <c r="C13624" t="inlineStr">
        <is>
          <t>1435/04/16</t>
        </is>
      </c>
    </row>
    <row r="13625">
      <c r="A13625" t="n">
        <v>14350417</v>
      </c>
      <c r="B13625" t="n">
        <v>57168</v>
      </c>
      <c r="C13625" t="inlineStr">
        <is>
          <t>1435/04/17</t>
        </is>
      </c>
    </row>
    <row r="13626">
      <c r="A13626" t="n">
        <v>14350418</v>
      </c>
      <c r="B13626" t="n">
        <v>57169</v>
      </c>
      <c r="C13626" t="inlineStr">
        <is>
          <t>1435/04/18</t>
        </is>
      </c>
    </row>
    <row r="13627">
      <c r="A13627" t="n">
        <v>14350419</v>
      </c>
      <c r="B13627" t="n">
        <v>57170</v>
      </c>
      <c r="C13627" t="inlineStr">
        <is>
          <t>1435/04/19</t>
        </is>
      </c>
    </row>
    <row r="13628">
      <c r="A13628" t="n">
        <v>14350420</v>
      </c>
      <c r="B13628" t="n">
        <v>57171</v>
      </c>
      <c r="C13628" t="inlineStr">
        <is>
          <t>1435/04/20</t>
        </is>
      </c>
    </row>
    <row r="13629">
      <c r="A13629" t="n">
        <v>14350421</v>
      </c>
      <c r="B13629" t="n">
        <v>57172</v>
      </c>
      <c r="C13629" t="inlineStr">
        <is>
          <t>1435/04/21</t>
        </is>
      </c>
    </row>
    <row r="13630">
      <c r="A13630" t="n">
        <v>14350422</v>
      </c>
      <c r="B13630" t="n">
        <v>57173</v>
      </c>
      <c r="C13630" t="inlineStr">
        <is>
          <t>1435/04/22</t>
        </is>
      </c>
    </row>
    <row r="13631">
      <c r="A13631" t="n">
        <v>14350423</v>
      </c>
      <c r="B13631" t="n">
        <v>57174</v>
      </c>
      <c r="C13631" t="inlineStr">
        <is>
          <t>1435/04/23</t>
        </is>
      </c>
    </row>
    <row r="13632">
      <c r="A13632" t="n">
        <v>14350424</v>
      </c>
      <c r="B13632" t="n">
        <v>57175</v>
      </c>
      <c r="C13632" t="inlineStr">
        <is>
          <t>1435/04/24</t>
        </is>
      </c>
    </row>
    <row r="13633">
      <c r="A13633" t="n">
        <v>14350425</v>
      </c>
      <c r="B13633" t="n">
        <v>57176</v>
      </c>
      <c r="C13633" t="inlineStr">
        <is>
          <t>1435/04/25</t>
        </is>
      </c>
    </row>
    <row r="13634">
      <c r="A13634" t="n">
        <v>14350426</v>
      </c>
      <c r="B13634" t="n">
        <v>57177</v>
      </c>
      <c r="C13634" t="inlineStr">
        <is>
          <t>1435/04/26</t>
        </is>
      </c>
    </row>
    <row r="13635">
      <c r="A13635" t="n">
        <v>14350427</v>
      </c>
      <c r="B13635" t="n">
        <v>57178</v>
      </c>
      <c r="C13635" t="inlineStr">
        <is>
          <t>1435/04/27</t>
        </is>
      </c>
    </row>
    <row r="13636">
      <c r="A13636" t="n">
        <v>14350428</v>
      </c>
      <c r="B13636" t="n">
        <v>57179</v>
      </c>
      <c r="C13636" t="inlineStr">
        <is>
          <t>1435/04/28</t>
        </is>
      </c>
    </row>
    <row r="13637">
      <c r="A13637" t="n">
        <v>14350429</v>
      </c>
      <c r="B13637" t="n">
        <v>57180</v>
      </c>
      <c r="C13637" t="inlineStr">
        <is>
          <t>1435/04/29</t>
        </is>
      </c>
    </row>
    <row r="13638">
      <c r="A13638" t="n">
        <v>14350430</v>
      </c>
      <c r="B13638" t="n">
        <v>57181</v>
      </c>
      <c r="C13638" t="inlineStr">
        <is>
          <t>1435/04/30</t>
        </is>
      </c>
    </row>
    <row r="13639">
      <c r="A13639" t="n">
        <v>14350431</v>
      </c>
      <c r="B13639" t="n">
        <v>57182</v>
      </c>
      <c r="C13639" t="inlineStr">
        <is>
          <t>1435/04/31</t>
        </is>
      </c>
    </row>
    <row r="13640">
      <c r="A13640" t="n">
        <v>14350501</v>
      </c>
      <c r="B13640" t="n">
        <v>57183</v>
      </c>
      <c r="C13640" t="inlineStr">
        <is>
          <t>1435/05/01</t>
        </is>
      </c>
    </row>
    <row r="13641">
      <c r="A13641" t="n">
        <v>14350502</v>
      </c>
      <c r="B13641" t="n">
        <v>57184</v>
      </c>
      <c r="C13641" t="inlineStr">
        <is>
          <t>1435/05/02</t>
        </is>
      </c>
    </row>
    <row r="13642">
      <c r="A13642" t="n">
        <v>14350503</v>
      </c>
      <c r="B13642" t="n">
        <v>57185</v>
      </c>
      <c r="C13642" t="inlineStr">
        <is>
          <t>1435/05/03</t>
        </is>
      </c>
    </row>
    <row r="13643">
      <c r="A13643" t="n">
        <v>14350504</v>
      </c>
      <c r="B13643" t="n">
        <v>57186</v>
      </c>
      <c r="C13643" t="inlineStr">
        <is>
          <t>1435/05/04</t>
        </is>
      </c>
    </row>
    <row r="13644">
      <c r="A13644" t="n">
        <v>14350505</v>
      </c>
      <c r="B13644" t="n">
        <v>57187</v>
      </c>
      <c r="C13644" t="inlineStr">
        <is>
          <t>1435/05/05</t>
        </is>
      </c>
    </row>
    <row r="13645">
      <c r="A13645" t="n">
        <v>14350506</v>
      </c>
      <c r="B13645" t="n">
        <v>57188</v>
      </c>
      <c r="C13645" t="inlineStr">
        <is>
          <t>1435/05/06</t>
        </is>
      </c>
    </row>
    <row r="13646">
      <c r="A13646" t="n">
        <v>14350507</v>
      </c>
      <c r="B13646" t="n">
        <v>57189</v>
      </c>
      <c r="C13646" t="inlineStr">
        <is>
          <t>1435/05/07</t>
        </is>
      </c>
    </row>
    <row r="13647">
      <c r="A13647" t="n">
        <v>14350508</v>
      </c>
      <c r="B13647" t="n">
        <v>57190</v>
      </c>
      <c r="C13647" t="inlineStr">
        <is>
          <t>1435/05/08</t>
        </is>
      </c>
    </row>
    <row r="13648">
      <c r="A13648" t="n">
        <v>14350509</v>
      </c>
      <c r="B13648" t="n">
        <v>57191</v>
      </c>
      <c r="C13648" t="inlineStr">
        <is>
          <t>1435/05/09</t>
        </is>
      </c>
    </row>
    <row r="13649">
      <c r="A13649" t="n">
        <v>14350510</v>
      </c>
      <c r="B13649" t="n">
        <v>57192</v>
      </c>
      <c r="C13649" t="inlineStr">
        <is>
          <t>1435/05/10</t>
        </is>
      </c>
    </row>
    <row r="13650">
      <c r="A13650" t="n">
        <v>14350511</v>
      </c>
      <c r="B13650" t="n">
        <v>57193</v>
      </c>
      <c r="C13650" t="inlineStr">
        <is>
          <t>1435/05/11</t>
        </is>
      </c>
    </row>
    <row r="13651">
      <c r="A13651" t="n">
        <v>14350512</v>
      </c>
      <c r="B13651" t="n">
        <v>57194</v>
      </c>
      <c r="C13651" t="inlineStr">
        <is>
          <t>1435/05/12</t>
        </is>
      </c>
    </row>
    <row r="13652">
      <c r="A13652" t="n">
        <v>14350513</v>
      </c>
      <c r="B13652" t="n">
        <v>57195</v>
      </c>
      <c r="C13652" t="inlineStr">
        <is>
          <t>1435/05/13</t>
        </is>
      </c>
    </row>
    <row r="13653">
      <c r="A13653" t="n">
        <v>14350514</v>
      </c>
      <c r="B13653" t="n">
        <v>57196</v>
      </c>
      <c r="C13653" t="inlineStr">
        <is>
          <t>1435/05/14</t>
        </is>
      </c>
    </row>
    <row r="13654">
      <c r="A13654" t="n">
        <v>14350515</v>
      </c>
      <c r="B13654" t="n">
        <v>57197</v>
      </c>
      <c r="C13654" t="inlineStr">
        <is>
          <t>1435/05/15</t>
        </is>
      </c>
    </row>
    <row r="13655">
      <c r="A13655" t="n">
        <v>14350516</v>
      </c>
      <c r="B13655" t="n">
        <v>57198</v>
      </c>
      <c r="C13655" t="inlineStr">
        <is>
          <t>1435/05/16</t>
        </is>
      </c>
    </row>
    <row r="13656">
      <c r="A13656" t="n">
        <v>14350517</v>
      </c>
      <c r="B13656" t="n">
        <v>57199</v>
      </c>
      <c r="C13656" t="inlineStr">
        <is>
          <t>1435/05/17</t>
        </is>
      </c>
    </row>
    <row r="13657">
      <c r="A13657" t="n">
        <v>14350518</v>
      </c>
      <c r="B13657" t="n">
        <v>57200</v>
      </c>
      <c r="C13657" t="inlineStr">
        <is>
          <t>1435/05/18</t>
        </is>
      </c>
    </row>
    <row r="13658">
      <c r="A13658" t="n">
        <v>14350519</v>
      </c>
      <c r="B13658" t="n">
        <v>57201</v>
      </c>
      <c r="C13658" t="inlineStr">
        <is>
          <t>1435/05/19</t>
        </is>
      </c>
    </row>
    <row r="13659">
      <c r="A13659" t="n">
        <v>14350520</v>
      </c>
      <c r="B13659" t="n">
        <v>57202</v>
      </c>
      <c r="C13659" t="inlineStr">
        <is>
          <t>1435/05/20</t>
        </is>
      </c>
    </row>
    <row r="13660">
      <c r="A13660" t="n">
        <v>14350521</v>
      </c>
      <c r="B13660" t="n">
        <v>57203</v>
      </c>
      <c r="C13660" t="inlineStr">
        <is>
          <t>1435/05/21</t>
        </is>
      </c>
    </row>
    <row r="13661">
      <c r="A13661" t="n">
        <v>14350522</v>
      </c>
      <c r="B13661" t="n">
        <v>57204</v>
      </c>
      <c r="C13661" t="inlineStr">
        <is>
          <t>1435/05/22</t>
        </is>
      </c>
    </row>
    <row r="13662">
      <c r="A13662" t="n">
        <v>14350523</v>
      </c>
      <c r="B13662" t="n">
        <v>57205</v>
      </c>
      <c r="C13662" t="inlineStr">
        <is>
          <t>1435/05/23</t>
        </is>
      </c>
    </row>
    <row r="13663">
      <c r="A13663" t="n">
        <v>14350524</v>
      </c>
      <c r="B13663" t="n">
        <v>57206</v>
      </c>
      <c r="C13663" t="inlineStr">
        <is>
          <t>1435/05/24</t>
        </is>
      </c>
    </row>
    <row r="13664">
      <c r="A13664" t="n">
        <v>14350525</v>
      </c>
      <c r="B13664" t="n">
        <v>57207</v>
      </c>
      <c r="C13664" t="inlineStr">
        <is>
          <t>1435/05/25</t>
        </is>
      </c>
    </row>
    <row r="13665">
      <c r="A13665" t="n">
        <v>14350526</v>
      </c>
      <c r="B13665" t="n">
        <v>57208</v>
      </c>
      <c r="C13665" t="inlineStr">
        <is>
          <t>1435/05/26</t>
        </is>
      </c>
    </row>
    <row r="13666">
      <c r="A13666" t="n">
        <v>14350527</v>
      </c>
      <c r="B13666" t="n">
        <v>57209</v>
      </c>
      <c r="C13666" t="inlineStr">
        <is>
          <t>1435/05/27</t>
        </is>
      </c>
    </row>
    <row r="13667">
      <c r="A13667" t="n">
        <v>14350528</v>
      </c>
      <c r="B13667" t="n">
        <v>57210</v>
      </c>
      <c r="C13667" t="inlineStr">
        <is>
          <t>1435/05/28</t>
        </is>
      </c>
    </row>
    <row r="13668">
      <c r="A13668" t="n">
        <v>14350529</v>
      </c>
      <c r="B13668" t="n">
        <v>57211</v>
      </c>
      <c r="C13668" t="inlineStr">
        <is>
          <t>1435/05/29</t>
        </is>
      </c>
    </row>
    <row r="13669">
      <c r="A13669" t="n">
        <v>14350530</v>
      </c>
      <c r="B13669" t="n">
        <v>57212</v>
      </c>
      <c r="C13669" t="inlineStr">
        <is>
          <t>1435/05/30</t>
        </is>
      </c>
    </row>
    <row r="13670">
      <c r="A13670" t="n">
        <v>14350531</v>
      </c>
      <c r="B13670" t="n">
        <v>57213</v>
      </c>
      <c r="C13670" t="inlineStr">
        <is>
          <t>1435/05/31</t>
        </is>
      </c>
    </row>
    <row r="13671">
      <c r="A13671" t="n">
        <v>14350601</v>
      </c>
      <c r="B13671" t="n">
        <v>57214</v>
      </c>
      <c r="C13671" t="inlineStr">
        <is>
          <t>1435/06/01</t>
        </is>
      </c>
    </row>
    <row r="13672">
      <c r="A13672" t="n">
        <v>14350602</v>
      </c>
      <c r="B13672" t="n">
        <v>57215</v>
      </c>
      <c r="C13672" t="inlineStr">
        <is>
          <t>1435/06/02</t>
        </is>
      </c>
    </row>
    <row r="13673">
      <c r="A13673" t="n">
        <v>14350603</v>
      </c>
      <c r="B13673" t="n">
        <v>57216</v>
      </c>
      <c r="C13673" t="inlineStr">
        <is>
          <t>1435/06/03</t>
        </is>
      </c>
    </row>
    <row r="13674">
      <c r="A13674" t="n">
        <v>14350604</v>
      </c>
      <c r="B13674" t="n">
        <v>57217</v>
      </c>
      <c r="C13674" t="inlineStr">
        <is>
          <t>1435/06/04</t>
        </is>
      </c>
    </row>
    <row r="13675">
      <c r="A13675" t="n">
        <v>14350605</v>
      </c>
      <c r="B13675" t="n">
        <v>57218</v>
      </c>
      <c r="C13675" t="inlineStr">
        <is>
          <t>1435/06/05</t>
        </is>
      </c>
    </row>
    <row r="13676">
      <c r="A13676" t="n">
        <v>14350606</v>
      </c>
      <c r="B13676" t="n">
        <v>57219</v>
      </c>
      <c r="C13676" t="inlineStr">
        <is>
          <t>1435/06/06</t>
        </is>
      </c>
    </row>
    <row r="13677">
      <c r="A13677" t="n">
        <v>14350607</v>
      </c>
      <c r="B13677" t="n">
        <v>57220</v>
      </c>
      <c r="C13677" t="inlineStr">
        <is>
          <t>1435/06/07</t>
        </is>
      </c>
    </row>
    <row r="13678">
      <c r="A13678" t="n">
        <v>14350608</v>
      </c>
      <c r="B13678" t="n">
        <v>57221</v>
      </c>
      <c r="C13678" t="inlineStr">
        <is>
          <t>1435/06/08</t>
        </is>
      </c>
    </row>
    <row r="13679">
      <c r="A13679" t="n">
        <v>14350609</v>
      </c>
      <c r="B13679" t="n">
        <v>57222</v>
      </c>
      <c r="C13679" t="inlineStr">
        <is>
          <t>1435/06/09</t>
        </is>
      </c>
    </row>
    <row r="13680">
      <c r="A13680" t="n">
        <v>14350610</v>
      </c>
      <c r="B13680" t="n">
        <v>57223</v>
      </c>
      <c r="C13680" t="inlineStr">
        <is>
          <t>1435/06/10</t>
        </is>
      </c>
    </row>
    <row r="13681">
      <c r="A13681" t="n">
        <v>14350611</v>
      </c>
      <c r="B13681" t="n">
        <v>57224</v>
      </c>
      <c r="C13681" t="inlineStr">
        <is>
          <t>1435/06/11</t>
        </is>
      </c>
    </row>
    <row r="13682">
      <c r="A13682" t="n">
        <v>14350612</v>
      </c>
      <c r="B13682" t="n">
        <v>57225</v>
      </c>
      <c r="C13682" t="inlineStr">
        <is>
          <t>1435/06/12</t>
        </is>
      </c>
    </row>
    <row r="13683">
      <c r="A13683" t="n">
        <v>14350613</v>
      </c>
      <c r="B13683" t="n">
        <v>57226</v>
      </c>
      <c r="C13683" t="inlineStr">
        <is>
          <t>1435/06/13</t>
        </is>
      </c>
    </row>
    <row r="13684">
      <c r="A13684" t="n">
        <v>14350614</v>
      </c>
      <c r="B13684" t="n">
        <v>57227</v>
      </c>
      <c r="C13684" t="inlineStr">
        <is>
          <t>1435/06/14</t>
        </is>
      </c>
    </row>
    <row r="13685">
      <c r="A13685" t="n">
        <v>14350615</v>
      </c>
      <c r="B13685" t="n">
        <v>57228</v>
      </c>
      <c r="C13685" t="inlineStr">
        <is>
          <t>1435/06/15</t>
        </is>
      </c>
    </row>
    <row r="13686">
      <c r="A13686" t="n">
        <v>14350616</v>
      </c>
      <c r="B13686" t="n">
        <v>57229</v>
      </c>
      <c r="C13686" t="inlineStr">
        <is>
          <t>1435/06/16</t>
        </is>
      </c>
    </row>
    <row r="13687">
      <c r="A13687" t="n">
        <v>14350617</v>
      </c>
      <c r="B13687" t="n">
        <v>57230</v>
      </c>
      <c r="C13687" t="inlineStr">
        <is>
          <t>1435/06/17</t>
        </is>
      </c>
    </row>
    <row r="13688">
      <c r="A13688" t="n">
        <v>14350618</v>
      </c>
      <c r="B13688" t="n">
        <v>57231</v>
      </c>
      <c r="C13688" t="inlineStr">
        <is>
          <t>1435/06/18</t>
        </is>
      </c>
    </row>
    <row r="13689">
      <c r="A13689" t="n">
        <v>14350619</v>
      </c>
      <c r="B13689" t="n">
        <v>57232</v>
      </c>
      <c r="C13689" t="inlineStr">
        <is>
          <t>1435/06/19</t>
        </is>
      </c>
    </row>
    <row r="13690">
      <c r="A13690" t="n">
        <v>14350620</v>
      </c>
      <c r="B13690" t="n">
        <v>57233</v>
      </c>
      <c r="C13690" t="inlineStr">
        <is>
          <t>1435/06/20</t>
        </is>
      </c>
    </row>
    <row r="13691">
      <c r="A13691" t="n">
        <v>14350621</v>
      </c>
      <c r="B13691" t="n">
        <v>57234</v>
      </c>
      <c r="C13691" t="inlineStr">
        <is>
          <t>1435/06/21</t>
        </is>
      </c>
    </row>
    <row r="13692">
      <c r="A13692" t="n">
        <v>14350622</v>
      </c>
      <c r="B13692" t="n">
        <v>57235</v>
      </c>
      <c r="C13692" t="inlineStr">
        <is>
          <t>1435/06/22</t>
        </is>
      </c>
    </row>
    <row r="13693">
      <c r="A13693" t="n">
        <v>14350623</v>
      </c>
      <c r="B13693" t="n">
        <v>57236</v>
      </c>
      <c r="C13693" t="inlineStr">
        <is>
          <t>1435/06/23</t>
        </is>
      </c>
    </row>
    <row r="13694">
      <c r="A13694" t="n">
        <v>14350624</v>
      </c>
      <c r="B13694" t="n">
        <v>57237</v>
      </c>
      <c r="C13694" t="inlineStr">
        <is>
          <t>1435/06/24</t>
        </is>
      </c>
    </row>
    <row r="13695">
      <c r="A13695" t="n">
        <v>14350625</v>
      </c>
      <c r="B13695" t="n">
        <v>57238</v>
      </c>
      <c r="C13695" t="inlineStr">
        <is>
          <t>1435/06/25</t>
        </is>
      </c>
    </row>
    <row r="13696">
      <c r="A13696" t="n">
        <v>14350626</v>
      </c>
      <c r="B13696" t="n">
        <v>57239</v>
      </c>
      <c r="C13696" t="inlineStr">
        <is>
          <t>1435/06/26</t>
        </is>
      </c>
    </row>
    <row r="13697">
      <c r="A13697" t="n">
        <v>14350627</v>
      </c>
      <c r="B13697" t="n">
        <v>57240</v>
      </c>
      <c r="C13697" t="inlineStr">
        <is>
          <t>1435/06/27</t>
        </is>
      </c>
    </row>
    <row r="13698">
      <c r="A13698" t="n">
        <v>14350628</v>
      </c>
      <c r="B13698" t="n">
        <v>57241</v>
      </c>
      <c r="C13698" t="inlineStr">
        <is>
          <t>1435/06/28</t>
        </is>
      </c>
    </row>
    <row r="13699">
      <c r="A13699" t="n">
        <v>14350629</v>
      </c>
      <c r="B13699" t="n">
        <v>57242</v>
      </c>
      <c r="C13699" t="inlineStr">
        <is>
          <t>1435/06/29</t>
        </is>
      </c>
    </row>
    <row r="13700">
      <c r="A13700" t="n">
        <v>14350630</v>
      </c>
      <c r="B13700" t="n">
        <v>57243</v>
      </c>
      <c r="C13700" t="inlineStr">
        <is>
          <t>1435/06/30</t>
        </is>
      </c>
    </row>
    <row r="13701">
      <c r="A13701" t="n">
        <v>14350631</v>
      </c>
      <c r="B13701" t="n">
        <v>57244</v>
      </c>
      <c r="C13701" t="inlineStr">
        <is>
          <t>1435/06/31</t>
        </is>
      </c>
    </row>
    <row r="13702">
      <c r="A13702" t="n">
        <v>14350701</v>
      </c>
      <c r="B13702" t="n">
        <v>57245</v>
      </c>
      <c r="C13702" t="inlineStr">
        <is>
          <t>1435/07/01</t>
        </is>
      </c>
    </row>
    <row r="13703">
      <c r="A13703" t="n">
        <v>14350702</v>
      </c>
      <c r="B13703" t="n">
        <v>57246</v>
      </c>
      <c r="C13703" t="inlineStr">
        <is>
          <t>1435/07/02</t>
        </is>
      </c>
    </row>
    <row r="13704">
      <c r="A13704" t="n">
        <v>14350703</v>
      </c>
      <c r="B13704" t="n">
        <v>57247</v>
      </c>
      <c r="C13704" t="inlineStr">
        <is>
          <t>1435/07/03</t>
        </is>
      </c>
    </row>
    <row r="13705">
      <c r="A13705" t="n">
        <v>14350704</v>
      </c>
      <c r="B13705" t="n">
        <v>57248</v>
      </c>
      <c r="C13705" t="inlineStr">
        <is>
          <t>1435/07/04</t>
        </is>
      </c>
    </row>
    <row r="13706">
      <c r="A13706" t="n">
        <v>14350705</v>
      </c>
      <c r="B13706" t="n">
        <v>57249</v>
      </c>
      <c r="C13706" t="inlineStr">
        <is>
          <t>1435/07/05</t>
        </is>
      </c>
    </row>
    <row r="13707">
      <c r="A13707" t="n">
        <v>14350706</v>
      </c>
      <c r="B13707" t="n">
        <v>57250</v>
      </c>
      <c r="C13707" t="inlineStr">
        <is>
          <t>1435/07/06</t>
        </is>
      </c>
    </row>
    <row r="13708">
      <c r="A13708" t="n">
        <v>14350707</v>
      </c>
      <c r="B13708" t="n">
        <v>57251</v>
      </c>
      <c r="C13708" t="inlineStr">
        <is>
          <t>1435/07/07</t>
        </is>
      </c>
    </row>
    <row r="13709">
      <c r="A13709" t="n">
        <v>14350708</v>
      </c>
      <c r="B13709" t="n">
        <v>57252</v>
      </c>
      <c r="C13709" t="inlineStr">
        <is>
          <t>1435/07/08</t>
        </is>
      </c>
    </row>
    <row r="13710">
      <c r="A13710" t="n">
        <v>14350709</v>
      </c>
      <c r="B13710" t="n">
        <v>57253</v>
      </c>
      <c r="C13710" t="inlineStr">
        <is>
          <t>1435/07/09</t>
        </is>
      </c>
    </row>
    <row r="13711">
      <c r="A13711" t="n">
        <v>14350710</v>
      </c>
      <c r="B13711" t="n">
        <v>57254</v>
      </c>
      <c r="C13711" t="inlineStr">
        <is>
          <t>1435/07/10</t>
        </is>
      </c>
    </row>
    <row r="13712">
      <c r="A13712" t="n">
        <v>14350711</v>
      </c>
      <c r="B13712" t="n">
        <v>57255</v>
      </c>
      <c r="C13712" t="inlineStr">
        <is>
          <t>1435/07/11</t>
        </is>
      </c>
    </row>
    <row r="13713">
      <c r="A13713" t="n">
        <v>14350712</v>
      </c>
      <c r="B13713" t="n">
        <v>57256</v>
      </c>
      <c r="C13713" t="inlineStr">
        <is>
          <t>1435/07/12</t>
        </is>
      </c>
    </row>
    <row r="13714">
      <c r="A13714" t="n">
        <v>14350713</v>
      </c>
      <c r="B13714" t="n">
        <v>57257</v>
      </c>
      <c r="C13714" t="inlineStr">
        <is>
          <t>1435/07/13</t>
        </is>
      </c>
    </row>
    <row r="13715">
      <c r="A13715" t="n">
        <v>14350714</v>
      </c>
      <c r="B13715" t="n">
        <v>57258</v>
      </c>
      <c r="C13715" t="inlineStr">
        <is>
          <t>1435/07/14</t>
        </is>
      </c>
    </row>
    <row r="13716">
      <c r="A13716" t="n">
        <v>14350715</v>
      </c>
      <c r="B13716" t="n">
        <v>57259</v>
      </c>
      <c r="C13716" t="inlineStr">
        <is>
          <t>1435/07/15</t>
        </is>
      </c>
    </row>
    <row r="13717">
      <c r="A13717" t="n">
        <v>14350716</v>
      </c>
      <c r="B13717" t="n">
        <v>57260</v>
      </c>
      <c r="C13717" t="inlineStr">
        <is>
          <t>1435/07/16</t>
        </is>
      </c>
    </row>
    <row r="13718">
      <c r="A13718" t="n">
        <v>14350717</v>
      </c>
      <c r="B13718" t="n">
        <v>57261</v>
      </c>
      <c r="C13718" t="inlineStr">
        <is>
          <t>1435/07/17</t>
        </is>
      </c>
    </row>
    <row r="13719">
      <c r="A13719" t="n">
        <v>14350718</v>
      </c>
      <c r="B13719" t="n">
        <v>57262</v>
      </c>
      <c r="C13719" t="inlineStr">
        <is>
          <t>1435/07/18</t>
        </is>
      </c>
    </row>
    <row r="13720">
      <c r="A13720" t="n">
        <v>14350719</v>
      </c>
      <c r="B13720" t="n">
        <v>57263</v>
      </c>
      <c r="C13720" t="inlineStr">
        <is>
          <t>1435/07/19</t>
        </is>
      </c>
    </row>
    <row r="13721">
      <c r="A13721" t="n">
        <v>14350720</v>
      </c>
      <c r="B13721" t="n">
        <v>57264</v>
      </c>
      <c r="C13721" t="inlineStr">
        <is>
          <t>1435/07/20</t>
        </is>
      </c>
    </row>
    <row r="13722">
      <c r="A13722" t="n">
        <v>14350721</v>
      </c>
      <c r="B13722" t="n">
        <v>57265</v>
      </c>
      <c r="C13722" t="inlineStr">
        <is>
          <t>1435/07/21</t>
        </is>
      </c>
    </row>
    <row r="13723">
      <c r="A13723" t="n">
        <v>14350722</v>
      </c>
      <c r="B13723" t="n">
        <v>57266</v>
      </c>
      <c r="C13723" t="inlineStr">
        <is>
          <t>1435/07/22</t>
        </is>
      </c>
    </row>
    <row r="13724">
      <c r="A13724" t="n">
        <v>14350723</v>
      </c>
      <c r="B13724" t="n">
        <v>57267</v>
      </c>
      <c r="C13724" t="inlineStr">
        <is>
          <t>1435/07/23</t>
        </is>
      </c>
    </row>
    <row r="13725">
      <c r="A13725" t="n">
        <v>14350724</v>
      </c>
      <c r="B13725" t="n">
        <v>57268</v>
      </c>
      <c r="C13725" t="inlineStr">
        <is>
          <t>1435/07/24</t>
        </is>
      </c>
    </row>
    <row r="13726">
      <c r="A13726" t="n">
        <v>14350725</v>
      </c>
      <c r="B13726" t="n">
        <v>57269</v>
      </c>
      <c r="C13726" t="inlineStr">
        <is>
          <t>1435/07/25</t>
        </is>
      </c>
    </row>
    <row r="13727">
      <c r="A13727" t="n">
        <v>14350726</v>
      </c>
      <c r="B13727" t="n">
        <v>57270</v>
      </c>
      <c r="C13727" t="inlineStr">
        <is>
          <t>1435/07/26</t>
        </is>
      </c>
    </row>
    <row r="13728">
      <c r="A13728" t="n">
        <v>14350727</v>
      </c>
      <c r="B13728" t="n">
        <v>57271</v>
      </c>
      <c r="C13728" t="inlineStr">
        <is>
          <t>1435/07/27</t>
        </is>
      </c>
    </row>
    <row r="13729">
      <c r="A13729" t="n">
        <v>14350728</v>
      </c>
      <c r="B13729" t="n">
        <v>57272</v>
      </c>
      <c r="C13729" t="inlineStr">
        <is>
          <t>1435/07/28</t>
        </is>
      </c>
    </row>
    <row r="13730">
      <c r="A13730" t="n">
        <v>14350729</v>
      </c>
      <c r="B13730" t="n">
        <v>57273</v>
      </c>
      <c r="C13730" t="inlineStr">
        <is>
          <t>1435/07/29</t>
        </is>
      </c>
    </row>
    <row r="13731">
      <c r="A13731" t="n">
        <v>14350730</v>
      </c>
      <c r="B13731" t="n">
        <v>57274</v>
      </c>
      <c r="C13731" t="inlineStr">
        <is>
          <t>1435/07/30</t>
        </is>
      </c>
    </row>
    <row r="13732">
      <c r="A13732" t="n">
        <v>14350801</v>
      </c>
      <c r="B13732" t="n">
        <v>57275</v>
      </c>
      <c r="C13732" t="inlineStr">
        <is>
          <t>1435/08/01</t>
        </is>
      </c>
    </row>
    <row r="13733">
      <c r="A13733" t="n">
        <v>14350802</v>
      </c>
      <c r="B13733" t="n">
        <v>57276</v>
      </c>
      <c r="C13733" t="inlineStr">
        <is>
          <t>1435/08/02</t>
        </is>
      </c>
    </row>
    <row r="13734">
      <c r="A13734" t="n">
        <v>14350803</v>
      </c>
      <c r="B13734" t="n">
        <v>57277</v>
      </c>
      <c r="C13734" t="inlineStr">
        <is>
          <t>1435/08/03</t>
        </is>
      </c>
    </row>
    <row r="13735">
      <c r="A13735" t="n">
        <v>14350804</v>
      </c>
      <c r="B13735" t="n">
        <v>57278</v>
      </c>
      <c r="C13735" t="inlineStr">
        <is>
          <t>1435/08/04</t>
        </is>
      </c>
    </row>
    <row r="13736">
      <c r="A13736" t="n">
        <v>14350805</v>
      </c>
      <c r="B13736" t="n">
        <v>57279</v>
      </c>
      <c r="C13736" t="inlineStr">
        <is>
          <t>1435/08/05</t>
        </is>
      </c>
    </row>
    <row r="13737">
      <c r="A13737" t="n">
        <v>14350806</v>
      </c>
      <c r="B13737" t="n">
        <v>57280</v>
      </c>
      <c r="C13737" t="inlineStr">
        <is>
          <t>1435/08/06</t>
        </is>
      </c>
    </row>
    <row r="13738">
      <c r="A13738" t="n">
        <v>14350807</v>
      </c>
      <c r="B13738" t="n">
        <v>57281</v>
      </c>
      <c r="C13738" t="inlineStr">
        <is>
          <t>1435/08/07</t>
        </is>
      </c>
    </row>
    <row r="13739">
      <c r="A13739" t="n">
        <v>14350808</v>
      </c>
      <c r="B13739" t="n">
        <v>57282</v>
      </c>
      <c r="C13739" t="inlineStr">
        <is>
          <t>1435/08/08</t>
        </is>
      </c>
    </row>
    <row r="13740">
      <c r="A13740" t="n">
        <v>14350809</v>
      </c>
      <c r="B13740" t="n">
        <v>57283</v>
      </c>
      <c r="C13740" t="inlineStr">
        <is>
          <t>1435/08/09</t>
        </is>
      </c>
    </row>
    <row r="13741">
      <c r="A13741" t="n">
        <v>14350810</v>
      </c>
      <c r="B13741" t="n">
        <v>57284</v>
      </c>
      <c r="C13741" t="inlineStr">
        <is>
          <t>1435/08/10</t>
        </is>
      </c>
    </row>
    <row r="13742">
      <c r="A13742" t="n">
        <v>14350811</v>
      </c>
      <c r="B13742" t="n">
        <v>57285</v>
      </c>
      <c r="C13742" t="inlineStr">
        <is>
          <t>1435/08/11</t>
        </is>
      </c>
    </row>
    <row r="13743">
      <c r="A13743" t="n">
        <v>14350812</v>
      </c>
      <c r="B13743" t="n">
        <v>57286</v>
      </c>
      <c r="C13743" t="inlineStr">
        <is>
          <t>1435/08/12</t>
        </is>
      </c>
    </row>
    <row r="13744">
      <c r="A13744" t="n">
        <v>14350813</v>
      </c>
      <c r="B13744" t="n">
        <v>57287</v>
      </c>
      <c r="C13744" t="inlineStr">
        <is>
          <t>1435/08/13</t>
        </is>
      </c>
    </row>
    <row r="13745">
      <c r="A13745" t="n">
        <v>14350814</v>
      </c>
      <c r="B13745" t="n">
        <v>57288</v>
      </c>
      <c r="C13745" t="inlineStr">
        <is>
          <t>1435/08/14</t>
        </is>
      </c>
    </row>
    <row r="13746">
      <c r="A13746" t="n">
        <v>14350815</v>
      </c>
      <c r="B13746" t="n">
        <v>57289</v>
      </c>
      <c r="C13746" t="inlineStr">
        <is>
          <t>1435/08/15</t>
        </is>
      </c>
    </row>
    <row r="13747">
      <c r="A13747" t="n">
        <v>14350816</v>
      </c>
      <c r="B13747" t="n">
        <v>57290</v>
      </c>
      <c r="C13747" t="inlineStr">
        <is>
          <t>1435/08/16</t>
        </is>
      </c>
    </row>
    <row r="13748">
      <c r="A13748" t="n">
        <v>14350817</v>
      </c>
      <c r="B13748" t="n">
        <v>57291</v>
      </c>
      <c r="C13748" t="inlineStr">
        <is>
          <t>1435/08/17</t>
        </is>
      </c>
    </row>
    <row r="13749">
      <c r="A13749" t="n">
        <v>14350818</v>
      </c>
      <c r="B13749" t="n">
        <v>57292</v>
      </c>
      <c r="C13749" t="inlineStr">
        <is>
          <t>1435/08/18</t>
        </is>
      </c>
    </row>
    <row r="13750">
      <c r="A13750" t="n">
        <v>14350819</v>
      </c>
      <c r="B13750" t="n">
        <v>57293</v>
      </c>
      <c r="C13750" t="inlineStr">
        <is>
          <t>1435/08/19</t>
        </is>
      </c>
    </row>
    <row r="13751">
      <c r="A13751" t="n">
        <v>14350820</v>
      </c>
      <c r="B13751" t="n">
        <v>57294</v>
      </c>
      <c r="C13751" t="inlineStr">
        <is>
          <t>1435/08/20</t>
        </is>
      </c>
    </row>
    <row r="13752">
      <c r="A13752" t="n">
        <v>14350821</v>
      </c>
      <c r="B13752" t="n">
        <v>57295</v>
      </c>
      <c r="C13752" t="inlineStr">
        <is>
          <t>1435/08/21</t>
        </is>
      </c>
    </row>
    <row r="13753">
      <c r="A13753" t="n">
        <v>14350822</v>
      </c>
      <c r="B13753" t="n">
        <v>57296</v>
      </c>
      <c r="C13753" t="inlineStr">
        <is>
          <t>1435/08/22</t>
        </is>
      </c>
    </row>
    <row r="13754">
      <c r="A13754" t="n">
        <v>14350823</v>
      </c>
      <c r="B13754" t="n">
        <v>57297</v>
      </c>
      <c r="C13754" t="inlineStr">
        <is>
          <t>1435/08/23</t>
        </is>
      </c>
    </row>
    <row r="13755">
      <c r="A13755" t="n">
        <v>14350824</v>
      </c>
      <c r="B13755" t="n">
        <v>57298</v>
      </c>
      <c r="C13755" t="inlineStr">
        <is>
          <t>1435/08/24</t>
        </is>
      </c>
    </row>
    <row r="13756">
      <c r="A13756" t="n">
        <v>14350825</v>
      </c>
      <c r="B13756" t="n">
        <v>57299</v>
      </c>
      <c r="C13756" t="inlineStr">
        <is>
          <t>1435/08/25</t>
        </is>
      </c>
    </row>
    <row r="13757">
      <c r="A13757" t="n">
        <v>14350826</v>
      </c>
      <c r="B13757" t="n">
        <v>57300</v>
      </c>
      <c r="C13757" t="inlineStr">
        <is>
          <t>1435/08/26</t>
        </is>
      </c>
    </row>
    <row r="13758">
      <c r="A13758" t="n">
        <v>14350827</v>
      </c>
      <c r="B13758" t="n">
        <v>57301</v>
      </c>
      <c r="C13758" t="inlineStr">
        <is>
          <t>1435/08/27</t>
        </is>
      </c>
    </row>
    <row r="13759">
      <c r="A13759" t="n">
        <v>14350828</v>
      </c>
      <c r="B13759" t="n">
        <v>57302</v>
      </c>
      <c r="C13759" t="inlineStr">
        <is>
          <t>1435/08/28</t>
        </is>
      </c>
    </row>
    <row r="13760">
      <c r="A13760" t="n">
        <v>14350829</v>
      </c>
      <c r="B13760" t="n">
        <v>57303</v>
      </c>
      <c r="C13760" t="inlineStr">
        <is>
          <t>1435/08/29</t>
        </is>
      </c>
    </row>
    <row r="13761">
      <c r="A13761" t="n">
        <v>14350830</v>
      </c>
      <c r="B13761" t="n">
        <v>57304</v>
      </c>
      <c r="C13761" t="inlineStr">
        <is>
          <t>1435/08/30</t>
        </is>
      </c>
    </row>
    <row r="13762">
      <c r="A13762" t="n">
        <v>14350901</v>
      </c>
      <c r="B13762" t="n">
        <v>57305</v>
      </c>
      <c r="C13762" t="inlineStr">
        <is>
          <t>1435/09/01</t>
        </is>
      </c>
    </row>
    <row r="13763">
      <c r="A13763" t="n">
        <v>14350902</v>
      </c>
      <c r="B13763" t="n">
        <v>57306</v>
      </c>
      <c r="C13763" t="inlineStr">
        <is>
          <t>1435/09/02</t>
        </is>
      </c>
    </row>
    <row r="13764">
      <c r="A13764" t="n">
        <v>14350903</v>
      </c>
      <c r="B13764" t="n">
        <v>57307</v>
      </c>
      <c r="C13764" t="inlineStr">
        <is>
          <t>1435/09/03</t>
        </is>
      </c>
    </row>
    <row r="13765">
      <c r="A13765" t="n">
        <v>14350904</v>
      </c>
      <c r="B13765" t="n">
        <v>57308</v>
      </c>
      <c r="C13765" t="inlineStr">
        <is>
          <t>1435/09/04</t>
        </is>
      </c>
    </row>
    <row r="13766">
      <c r="A13766" t="n">
        <v>14350905</v>
      </c>
      <c r="B13766" t="n">
        <v>57309</v>
      </c>
      <c r="C13766" t="inlineStr">
        <is>
          <t>1435/09/05</t>
        </is>
      </c>
    </row>
    <row r="13767">
      <c r="A13767" t="n">
        <v>14350906</v>
      </c>
      <c r="B13767" t="n">
        <v>57310</v>
      </c>
      <c r="C13767" t="inlineStr">
        <is>
          <t>1435/09/06</t>
        </is>
      </c>
    </row>
    <row r="13768">
      <c r="A13768" t="n">
        <v>14350907</v>
      </c>
      <c r="B13768" t="n">
        <v>57311</v>
      </c>
      <c r="C13768" t="inlineStr">
        <is>
          <t>1435/09/07</t>
        </is>
      </c>
    </row>
    <row r="13769">
      <c r="A13769" t="n">
        <v>14350908</v>
      </c>
      <c r="B13769" t="n">
        <v>57312</v>
      </c>
      <c r="C13769" t="inlineStr">
        <is>
          <t>1435/09/08</t>
        </is>
      </c>
    </row>
    <row r="13770">
      <c r="A13770" t="n">
        <v>14350909</v>
      </c>
      <c r="B13770" t="n">
        <v>57313</v>
      </c>
      <c r="C13770" t="inlineStr">
        <is>
          <t>1435/09/09</t>
        </is>
      </c>
    </row>
    <row r="13771">
      <c r="A13771" t="n">
        <v>14350910</v>
      </c>
      <c r="B13771" t="n">
        <v>57314</v>
      </c>
      <c r="C13771" t="inlineStr">
        <is>
          <t>1435/09/10</t>
        </is>
      </c>
    </row>
    <row r="13772">
      <c r="A13772" t="n">
        <v>14350911</v>
      </c>
      <c r="B13772" t="n">
        <v>57315</v>
      </c>
      <c r="C13772" t="inlineStr">
        <is>
          <t>1435/09/11</t>
        </is>
      </c>
    </row>
    <row r="13773">
      <c r="A13773" t="n">
        <v>14350912</v>
      </c>
      <c r="B13773" t="n">
        <v>57316</v>
      </c>
      <c r="C13773" t="inlineStr">
        <is>
          <t>1435/09/12</t>
        </is>
      </c>
    </row>
    <row r="13774">
      <c r="A13774" t="n">
        <v>14350913</v>
      </c>
      <c r="B13774" t="n">
        <v>57317</v>
      </c>
      <c r="C13774" t="inlineStr">
        <is>
          <t>1435/09/13</t>
        </is>
      </c>
    </row>
    <row r="13775">
      <c r="A13775" t="n">
        <v>14350914</v>
      </c>
      <c r="B13775" t="n">
        <v>57318</v>
      </c>
      <c r="C13775" t="inlineStr">
        <is>
          <t>1435/09/14</t>
        </is>
      </c>
    </row>
    <row r="13776">
      <c r="A13776" t="n">
        <v>14350915</v>
      </c>
      <c r="B13776" t="n">
        <v>57319</v>
      </c>
      <c r="C13776" t="inlineStr">
        <is>
          <t>1435/09/15</t>
        </is>
      </c>
    </row>
    <row r="13777">
      <c r="A13777" t="n">
        <v>14350916</v>
      </c>
      <c r="B13777" t="n">
        <v>57320</v>
      </c>
      <c r="C13777" t="inlineStr">
        <is>
          <t>1435/09/16</t>
        </is>
      </c>
    </row>
    <row r="13778">
      <c r="A13778" t="n">
        <v>14350917</v>
      </c>
      <c r="B13778" t="n">
        <v>57321</v>
      </c>
      <c r="C13778" t="inlineStr">
        <is>
          <t>1435/09/17</t>
        </is>
      </c>
    </row>
    <row r="13779">
      <c r="A13779" t="n">
        <v>14350918</v>
      </c>
      <c r="B13779" t="n">
        <v>57322</v>
      </c>
      <c r="C13779" t="inlineStr">
        <is>
          <t>1435/09/18</t>
        </is>
      </c>
    </row>
    <row r="13780">
      <c r="A13780" t="n">
        <v>14350919</v>
      </c>
      <c r="B13780" t="n">
        <v>57323</v>
      </c>
      <c r="C13780" t="inlineStr">
        <is>
          <t>1435/09/19</t>
        </is>
      </c>
    </row>
    <row r="13781">
      <c r="A13781" t="n">
        <v>14350920</v>
      </c>
      <c r="B13781" t="n">
        <v>57324</v>
      </c>
      <c r="C13781" t="inlineStr">
        <is>
          <t>1435/09/20</t>
        </is>
      </c>
    </row>
    <row r="13782">
      <c r="A13782" t="n">
        <v>14350921</v>
      </c>
      <c r="B13782" t="n">
        <v>57325</v>
      </c>
      <c r="C13782" t="inlineStr">
        <is>
          <t>1435/09/21</t>
        </is>
      </c>
    </row>
    <row r="13783">
      <c r="A13783" t="n">
        <v>14350922</v>
      </c>
      <c r="B13783" t="n">
        <v>57326</v>
      </c>
      <c r="C13783" t="inlineStr">
        <is>
          <t>1435/09/22</t>
        </is>
      </c>
    </row>
    <row r="13784">
      <c r="A13784" t="n">
        <v>14350923</v>
      </c>
      <c r="B13784" t="n">
        <v>57327</v>
      </c>
      <c r="C13784" t="inlineStr">
        <is>
          <t>1435/09/23</t>
        </is>
      </c>
    </row>
    <row r="13785">
      <c r="A13785" t="n">
        <v>14350924</v>
      </c>
      <c r="B13785" t="n">
        <v>57328</v>
      </c>
      <c r="C13785" t="inlineStr">
        <is>
          <t>1435/09/24</t>
        </is>
      </c>
    </row>
    <row r="13786">
      <c r="A13786" t="n">
        <v>14350925</v>
      </c>
      <c r="B13786" t="n">
        <v>57329</v>
      </c>
      <c r="C13786" t="inlineStr">
        <is>
          <t>1435/09/25</t>
        </is>
      </c>
    </row>
    <row r="13787">
      <c r="A13787" t="n">
        <v>14350926</v>
      </c>
      <c r="B13787" t="n">
        <v>57330</v>
      </c>
      <c r="C13787" t="inlineStr">
        <is>
          <t>1435/09/26</t>
        </is>
      </c>
    </row>
    <row r="13788">
      <c r="A13788" t="n">
        <v>14350927</v>
      </c>
      <c r="B13788" t="n">
        <v>57331</v>
      </c>
      <c r="C13788" t="inlineStr">
        <is>
          <t>1435/09/27</t>
        </is>
      </c>
    </row>
    <row r="13789">
      <c r="A13789" t="n">
        <v>14350928</v>
      </c>
      <c r="B13789" t="n">
        <v>57332</v>
      </c>
      <c r="C13789" t="inlineStr">
        <is>
          <t>1435/09/28</t>
        </is>
      </c>
    </row>
    <row r="13790">
      <c r="A13790" t="n">
        <v>14350929</v>
      </c>
      <c r="B13790" t="n">
        <v>57333</v>
      </c>
      <c r="C13790" t="inlineStr">
        <is>
          <t>1435/09/29</t>
        </is>
      </c>
    </row>
    <row r="13791">
      <c r="A13791" t="n">
        <v>14350930</v>
      </c>
      <c r="B13791" t="n">
        <v>57334</v>
      </c>
      <c r="C13791" t="inlineStr">
        <is>
          <t>1435/09/30</t>
        </is>
      </c>
    </row>
    <row r="13792">
      <c r="A13792" t="n">
        <v>14351001</v>
      </c>
      <c r="B13792" t="n">
        <v>57335</v>
      </c>
      <c r="C13792" t="inlineStr">
        <is>
          <t>1435/10/01</t>
        </is>
      </c>
    </row>
    <row r="13793">
      <c r="A13793" t="n">
        <v>14351002</v>
      </c>
      <c r="B13793" t="n">
        <v>57336</v>
      </c>
      <c r="C13793" t="inlineStr">
        <is>
          <t>1435/10/02</t>
        </is>
      </c>
    </row>
    <row r="13794">
      <c r="A13794" t="n">
        <v>14351003</v>
      </c>
      <c r="B13794" t="n">
        <v>57337</v>
      </c>
      <c r="C13794" t="inlineStr">
        <is>
          <t>1435/10/03</t>
        </is>
      </c>
    </row>
    <row r="13795">
      <c r="A13795" t="n">
        <v>14351004</v>
      </c>
      <c r="B13795" t="n">
        <v>57338</v>
      </c>
      <c r="C13795" t="inlineStr">
        <is>
          <t>1435/10/04</t>
        </is>
      </c>
    </row>
    <row r="13796">
      <c r="A13796" t="n">
        <v>14351005</v>
      </c>
      <c r="B13796" t="n">
        <v>57339</v>
      </c>
      <c r="C13796" t="inlineStr">
        <is>
          <t>1435/10/05</t>
        </is>
      </c>
    </row>
    <row r="13797">
      <c r="A13797" t="n">
        <v>14351006</v>
      </c>
      <c r="B13797" t="n">
        <v>57340</v>
      </c>
      <c r="C13797" t="inlineStr">
        <is>
          <t>1435/10/06</t>
        </is>
      </c>
    </row>
    <row r="13798">
      <c r="A13798" t="n">
        <v>14351007</v>
      </c>
      <c r="B13798" t="n">
        <v>57341</v>
      </c>
      <c r="C13798" t="inlineStr">
        <is>
          <t>1435/10/07</t>
        </is>
      </c>
    </row>
    <row r="13799">
      <c r="A13799" t="n">
        <v>14351008</v>
      </c>
      <c r="B13799" t="n">
        <v>57342</v>
      </c>
      <c r="C13799" t="inlineStr">
        <is>
          <t>1435/10/08</t>
        </is>
      </c>
    </row>
    <row r="13800">
      <c r="A13800" t="n">
        <v>14351009</v>
      </c>
      <c r="B13800" t="n">
        <v>57343</v>
      </c>
      <c r="C13800" t="inlineStr">
        <is>
          <t>1435/10/09</t>
        </is>
      </c>
    </row>
    <row r="13801">
      <c r="A13801" t="n">
        <v>14351010</v>
      </c>
      <c r="B13801" t="n">
        <v>57344</v>
      </c>
      <c r="C13801" t="inlineStr">
        <is>
          <t>1435/10/10</t>
        </is>
      </c>
    </row>
    <row r="13802">
      <c r="A13802" t="n">
        <v>14351011</v>
      </c>
      <c r="B13802" t="n">
        <v>57345</v>
      </c>
      <c r="C13802" t="inlineStr">
        <is>
          <t>1435/10/11</t>
        </is>
      </c>
    </row>
    <row r="13803">
      <c r="A13803" t="n">
        <v>14351012</v>
      </c>
      <c r="B13803" t="n">
        <v>57346</v>
      </c>
      <c r="C13803" t="inlineStr">
        <is>
          <t>1435/10/12</t>
        </is>
      </c>
    </row>
    <row r="13804">
      <c r="A13804" t="n">
        <v>14351013</v>
      </c>
      <c r="B13804" t="n">
        <v>57347</v>
      </c>
      <c r="C13804" t="inlineStr">
        <is>
          <t>1435/10/13</t>
        </is>
      </c>
    </row>
    <row r="13805">
      <c r="A13805" t="n">
        <v>14351014</v>
      </c>
      <c r="B13805" t="n">
        <v>57348</v>
      </c>
      <c r="C13805" t="inlineStr">
        <is>
          <t>1435/10/14</t>
        </is>
      </c>
    </row>
    <row r="13806">
      <c r="A13806" t="n">
        <v>14351015</v>
      </c>
      <c r="B13806" t="n">
        <v>57349</v>
      </c>
      <c r="C13806" t="inlineStr">
        <is>
          <t>1435/10/15</t>
        </is>
      </c>
    </row>
    <row r="13807">
      <c r="A13807" t="n">
        <v>14351016</v>
      </c>
      <c r="B13807" t="n">
        <v>57350</v>
      </c>
      <c r="C13807" t="inlineStr">
        <is>
          <t>1435/10/16</t>
        </is>
      </c>
    </row>
    <row r="13808">
      <c r="A13808" t="n">
        <v>14351017</v>
      </c>
      <c r="B13808" t="n">
        <v>57351</v>
      </c>
      <c r="C13808" t="inlineStr">
        <is>
          <t>1435/10/17</t>
        </is>
      </c>
    </row>
    <row r="13809">
      <c r="A13809" t="n">
        <v>14351018</v>
      </c>
      <c r="B13809" t="n">
        <v>57352</v>
      </c>
      <c r="C13809" t="inlineStr">
        <is>
          <t>1435/10/18</t>
        </is>
      </c>
    </row>
    <row r="13810">
      <c r="A13810" t="n">
        <v>14351019</v>
      </c>
      <c r="B13810" t="n">
        <v>57353</v>
      </c>
      <c r="C13810" t="inlineStr">
        <is>
          <t>1435/10/19</t>
        </is>
      </c>
    </row>
    <row r="13811">
      <c r="A13811" t="n">
        <v>14351020</v>
      </c>
      <c r="B13811" t="n">
        <v>57354</v>
      </c>
      <c r="C13811" t="inlineStr">
        <is>
          <t>1435/10/20</t>
        </is>
      </c>
    </row>
    <row r="13812">
      <c r="A13812" t="n">
        <v>14351021</v>
      </c>
      <c r="B13812" t="n">
        <v>57355</v>
      </c>
      <c r="C13812" t="inlineStr">
        <is>
          <t>1435/10/21</t>
        </is>
      </c>
    </row>
    <row r="13813">
      <c r="A13813" t="n">
        <v>14351022</v>
      </c>
      <c r="B13813" t="n">
        <v>57356</v>
      </c>
      <c r="C13813" t="inlineStr">
        <is>
          <t>1435/10/22</t>
        </is>
      </c>
    </row>
    <row r="13814">
      <c r="A13814" t="n">
        <v>14351023</v>
      </c>
      <c r="B13814" t="n">
        <v>57357</v>
      </c>
      <c r="C13814" t="inlineStr">
        <is>
          <t>1435/10/23</t>
        </is>
      </c>
    </row>
    <row r="13815">
      <c r="A13815" t="n">
        <v>14351024</v>
      </c>
      <c r="B13815" t="n">
        <v>57358</v>
      </c>
      <c r="C13815" t="inlineStr">
        <is>
          <t>1435/10/24</t>
        </is>
      </c>
    </row>
    <row r="13816">
      <c r="A13816" t="n">
        <v>14351025</v>
      </c>
      <c r="B13816" t="n">
        <v>57359</v>
      </c>
      <c r="C13816" t="inlineStr">
        <is>
          <t>1435/10/25</t>
        </is>
      </c>
    </row>
    <row r="13817">
      <c r="A13817" t="n">
        <v>14351026</v>
      </c>
      <c r="B13817" t="n">
        <v>57360</v>
      </c>
      <c r="C13817" t="inlineStr">
        <is>
          <t>1435/10/26</t>
        </is>
      </c>
    </row>
    <row r="13818">
      <c r="A13818" t="n">
        <v>14351027</v>
      </c>
      <c r="B13818" t="n">
        <v>57361</v>
      </c>
      <c r="C13818" t="inlineStr">
        <is>
          <t>1435/10/27</t>
        </is>
      </c>
    </row>
    <row r="13819">
      <c r="A13819" t="n">
        <v>14351028</v>
      </c>
      <c r="B13819" t="n">
        <v>57362</v>
      </c>
      <c r="C13819" t="inlineStr">
        <is>
          <t>1435/10/28</t>
        </is>
      </c>
    </row>
    <row r="13820">
      <c r="A13820" t="n">
        <v>14351029</v>
      </c>
      <c r="B13820" t="n">
        <v>57363</v>
      </c>
      <c r="C13820" t="inlineStr">
        <is>
          <t>1435/10/29</t>
        </is>
      </c>
    </row>
    <row r="13821">
      <c r="A13821" t="n">
        <v>14351030</v>
      </c>
      <c r="B13821" t="n">
        <v>57364</v>
      </c>
      <c r="C13821" t="inlineStr">
        <is>
          <t>1435/10/30</t>
        </is>
      </c>
    </row>
    <row r="13822">
      <c r="A13822" t="n">
        <v>14351101</v>
      </c>
      <c r="B13822" t="n">
        <v>57365</v>
      </c>
      <c r="C13822" t="inlineStr">
        <is>
          <t>1435/11/01</t>
        </is>
      </c>
    </row>
    <row r="13823">
      <c r="A13823" t="n">
        <v>14351102</v>
      </c>
      <c r="B13823" t="n">
        <v>57366</v>
      </c>
      <c r="C13823" t="inlineStr">
        <is>
          <t>1435/11/02</t>
        </is>
      </c>
    </row>
    <row r="13824">
      <c r="A13824" t="n">
        <v>14351103</v>
      </c>
      <c r="B13824" t="n">
        <v>57367</v>
      </c>
      <c r="C13824" t="inlineStr">
        <is>
          <t>1435/11/03</t>
        </is>
      </c>
    </row>
    <row r="13825">
      <c r="A13825" t="n">
        <v>14351104</v>
      </c>
      <c r="B13825" t="n">
        <v>57368</v>
      </c>
      <c r="C13825" t="inlineStr">
        <is>
          <t>1435/11/04</t>
        </is>
      </c>
    </row>
    <row r="13826">
      <c r="A13826" t="n">
        <v>14351105</v>
      </c>
      <c r="B13826" t="n">
        <v>57369</v>
      </c>
      <c r="C13826" t="inlineStr">
        <is>
          <t>1435/11/05</t>
        </is>
      </c>
    </row>
    <row r="13827">
      <c r="A13827" t="n">
        <v>14351106</v>
      </c>
      <c r="B13827" t="n">
        <v>57370</v>
      </c>
      <c r="C13827" t="inlineStr">
        <is>
          <t>1435/11/06</t>
        </is>
      </c>
    </row>
    <row r="13828">
      <c r="A13828" t="n">
        <v>14351107</v>
      </c>
      <c r="B13828" t="n">
        <v>57371</v>
      </c>
      <c r="C13828" t="inlineStr">
        <is>
          <t>1435/11/07</t>
        </is>
      </c>
    </row>
    <row r="13829">
      <c r="A13829" t="n">
        <v>14351108</v>
      </c>
      <c r="B13829" t="n">
        <v>57372</v>
      </c>
      <c r="C13829" t="inlineStr">
        <is>
          <t>1435/11/08</t>
        </is>
      </c>
    </row>
    <row r="13830">
      <c r="A13830" t="n">
        <v>14351109</v>
      </c>
      <c r="B13830" t="n">
        <v>57373</v>
      </c>
      <c r="C13830" t="inlineStr">
        <is>
          <t>1435/11/09</t>
        </is>
      </c>
    </row>
    <row r="13831">
      <c r="A13831" t="n">
        <v>14351110</v>
      </c>
      <c r="B13831" t="n">
        <v>57374</v>
      </c>
      <c r="C13831" t="inlineStr">
        <is>
          <t>1435/11/10</t>
        </is>
      </c>
    </row>
    <row r="13832">
      <c r="A13832" t="n">
        <v>14351111</v>
      </c>
      <c r="B13832" t="n">
        <v>57375</v>
      </c>
      <c r="C13832" t="inlineStr">
        <is>
          <t>1435/11/11</t>
        </is>
      </c>
    </row>
    <row r="13833">
      <c r="A13833" t="n">
        <v>14351112</v>
      </c>
      <c r="B13833" t="n">
        <v>57376</v>
      </c>
      <c r="C13833" t="inlineStr">
        <is>
          <t>1435/11/12</t>
        </is>
      </c>
    </row>
    <row r="13834">
      <c r="A13834" t="n">
        <v>14351113</v>
      </c>
      <c r="B13834" t="n">
        <v>57377</v>
      </c>
      <c r="C13834" t="inlineStr">
        <is>
          <t>1435/11/13</t>
        </is>
      </c>
    </row>
    <row r="13835">
      <c r="A13835" t="n">
        <v>14351114</v>
      </c>
      <c r="B13835" t="n">
        <v>57378</v>
      </c>
      <c r="C13835" t="inlineStr">
        <is>
          <t>1435/11/14</t>
        </is>
      </c>
    </row>
    <row r="13836">
      <c r="A13836" t="n">
        <v>14351115</v>
      </c>
      <c r="B13836" t="n">
        <v>57379</v>
      </c>
      <c r="C13836" t="inlineStr">
        <is>
          <t>1435/11/15</t>
        </is>
      </c>
    </row>
    <row r="13837">
      <c r="A13837" t="n">
        <v>14351116</v>
      </c>
      <c r="B13837" t="n">
        <v>57380</v>
      </c>
      <c r="C13837" t="inlineStr">
        <is>
          <t>1435/11/16</t>
        </is>
      </c>
    </row>
    <row r="13838">
      <c r="A13838" t="n">
        <v>14351117</v>
      </c>
      <c r="B13838" t="n">
        <v>57381</v>
      </c>
      <c r="C13838" t="inlineStr">
        <is>
          <t>1435/11/17</t>
        </is>
      </c>
    </row>
    <row r="13839">
      <c r="A13839" t="n">
        <v>14351118</v>
      </c>
      <c r="B13839" t="n">
        <v>57382</v>
      </c>
      <c r="C13839" t="inlineStr">
        <is>
          <t>1435/11/18</t>
        </is>
      </c>
    </row>
    <row r="13840">
      <c r="A13840" t="n">
        <v>14351119</v>
      </c>
      <c r="B13840" t="n">
        <v>57383</v>
      </c>
      <c r="C13840" t="inlineStr">
        <is>
          <t>1435/11/19</t>
        </is>
      </c>
    </row>
    <row r="13841">
      <c r="A13841" t="n">
        <v>14351120</v>
      </c>
      <c r="B13841" t="n">
        <v>57384</v>
      </c>
      <c r="C13841" t="inlineStr">
        <is>
          <t>1435/11/20</t>
        </is>
      </c>
    </row>
    <row r="13842">
      <c r="A13842" t="n">
        <v>14351121</v>
      </c>
      <c r="B13842" t="n">
        <v>57385</v>
      </c>
      <c r="C13842" t="inlineStr">
        <is>
          <t>1435/11/21</t>
        </is>
      </c>
    </row>
    <row r="13843">
      <c r="A13843" t="n">
        <v>14351122</v>
      </c>
      <c r="B13843" t="n">
        <v>57386</v>
      </c>
      <c r="C13843" t="inlineStr">
        <is>
          <t>1435/11/22</t>
        </is>
      </c>
    </row>
    <row r="13844">
      <c r="A13844" t="n">
        <v>14351123</v>
      </c>
      <c r="B13844" t="n">
        <v>57387</v>
      </c>
      <c r="C13844" t="inlineStr">
        <is>
          <t>1435/11/23</t>
        </is>
      </c>
    </row>
    <row r="13845">
      <c r="A13845" t="n">
        <v>14351124</v>
      </c>
      <c r="B13845" t="n">
        <v>57388</v>
      </c>
      <c r="C13845" t="inlineStr">
        <is>
          <t>1435/11/24</t>
        </is>
      </c>
    </row>
    <row r="13846">
      <c r="A13846" t="n">
        <v>14351125</v>
      </c>
      <c r="B13846" t="n">
        <v>57389</v>
      </c>
      <c r="C13846" t="inlineStr">
        <is>
          <t>1435/11/25</t>
        </is>
      </c>
    </row>
    <row r="13847">
      <c r="A13847" t="n">
        <v>14351126</v>
      </c>
      <c r="B13847" t="n">
        <v>57390</v>
      </c>
      <c r="C13847" t="inlineStr">
        <is>
          <t>1435/11/26</t>
        </is>
      </c>
    </row>
    <row r="13848">
      <c r="A13848" t="n">
        <v>14351127</v>
      </c>
      <c r="B13848" t="n">
        <v>57391</v>
      </c>
      <c r="C13848" t="inlineStr">
        <is>
          <t>1435/11/27</t>
        </is>
      </c>
    </row>
    <row r="13849">
      <c r="A13849" t="n">
        <v>14351128</v>
      </c>
      <c r="B13849" t="n">
        <v>57392</v>
      </c>
      <c r="C13849" t="inlineStr">
        <is>
          <t>1435/11/28</t>
        </is>
      </c>
    </row>
    <row r="13850">
      <c r="A13850" t="n">
        <v>14351129</v>
      </c>
      <c r="B13850" t="n">
        <v>57393</v>
      </c>
      <c r="C13850" t="inlineStr">
        <is>
          <t>1435/11/29</t>
        </is>
      </c>
    </row>
    <row r="13851">
      <c r="A13851" t="n">
        <v>14351130</v>
      </c>
      <c r="B13851" t="n">
        <v>57394</v>
      </c>
      <c r="C13851" t="inlineStr">
        <is>
          <t>1435/11/30</t>
        </is>
      </c>
    </row>
    <row r="13852">
      <c r="A13852" t="n">
        <v>14351201</v>
      </c>
      <c r="B13852" t="n">
        <v>57395</v>
      </c>
      <c r="C13852" t="inlineStr">
        <is>
          <t>1435/12/01</t>
        </is>
      </c>
    </row>
    <row r="13853">
      <c r="A13853" t="n">
        <v>14351202</v>
      </c>
      <c r="B13853" t="n">
        <v>57396</v>
      </c>
      <c r="C13853" t="inlineStr">
        <is>
          <t>1435/12/02</t>
        </is>
      </c>
    </row>
    <row r="13854">
      <c r="A13854" t="n">
        <v>14351203</v>
      </c>
      <c r="B13854" t="n">
        <v>57397</v>
      </c>
      <c r="C13854" t="inlineStr">
        <is>
          <t>1435/12/03</t>
        </is>
      </c>
    </row>
    <row r="13855">
      <c r="A13855" t="n">
        <v>14351204</v>
      </c>
      <c r="B13855" t="n">
        <v>57398</v>
      </c>
      <c r="C13855" t="inlineStr">
        <is>
          <t>1435/12/04</t>
        </is>
      </c>
    </row>
    <row r="13856">
      <c r="A13856" t="n">
        <v>14351205</v>
      </c>
      <c r="B13856" t="n">
        <v>57399</v>
      </c>
      <c r="C13856" t="inlineStr">
        <is>
          <t>1435/12/05</t>
        </is>
      </c>
    </row>
    <row r="13857">
      <c r="A13857" t="n">
        <v>14351206</v>
      </c>
      <c r="B13857" t="n">
        <v>57400</v>
      </c>
      <c r="C13857" t="inlineStr">
        <is>
          <t>1435/12/06</t>
        </is>
      </c>
    </row>
    <row r="13858">
      <c r="A13858" t="n">
        <v>14351207</v>
      </c>
      <c r="B13858" t="n">
        <v>57401</v>
      </c>
      <c r="C13858" t="inlineStr">
        <is>
          <t>1435/12/07</t>
        </is>
      </c>
    </row>
    <row r="13859">
      <c r="A13859" t="n">
        <v>14351208</v>
      </c>
      <c r="B13859" t="n">
        <v>57402</v>
      </c>
      <c r="C13859" t="inlineStr">
        <is>
          <t>1435/12/08</t>
        </is>
      </c>
    </row>
    <row r="13860">
      <c r="A13860" t="n">
        <v>14351209</v>
      </c>
      <c r="B13860" t="n">
        <v>57403</v>
      </c>
      <c r="C13860" t="inlineStr">
        <is>
          <t>1435/12/09</t>
        </is>
      </c>
    </row>
    <row r="13861">
      <c r="A13861" t="n">
        <v>14351210</v>
      </c>
      <c r="B13861" t="n">
        <v>57404</v>
      </c>
      <c r="C13861" t="inlineStr">
        <is>
          <t>1435/12/10</t>
        </is>
      </c>
    </row>
    <row r="13862">
      <c r="A13862" t="n">
        <v>14351211</v>
      </c>
      <c r="B13862" t="n">
        <v>57405</v>
      </c>
      <c r="C13862" t="inlineStr">
        <is>
          <t>1435/12/11</t>
        </is>
      </c>
    </row>
    <row r="13863">
      <c r="A13863" t="n">
        <v>14351212</v>
      </c>
      <c r="B13863" t="n">
        <v>57406</v>
      </c>
      <c r="C13863" t="inlineStr">
        <is>
          <t>1435/12/12</t>
        </is>
      </c>
    </row>
    <row r="13864">
      <c r="A13864" t="n">
        <v>14351213</v>
      </c>
      <c r="B13864" t="n">
        <v>57407</v>
      </c>
      <c r="C13864" t="inlineStr">
        <is>
          <t>1435/12/13</t>
        </is>
      </c>
    </row>
    <row r="13865">
      <c r="A13865" t="n">
        <v>14351214</v>
      </c>
      <c r="B13865" t="n">
        <v>57408</v>
      </c>
      <c r="C13865" t="inlineStr">
        <is>
          <t>1435/12/14</t>
        </is>
      </c>
    </row>
    <row r="13866">
      <c r="A13866" t="n">
        <v>14351215</v>
      </c>
      <c r="B13866" t="n">
        <v>57409</v>
      </c>
      <c r="C13866" t="inlineStr">
        <is>
          <t>1435/12/15</t>
        </is>
      </c>
    </row>
    <row r="13867">
      <c r="A13867" t="n">
        <v>14351216</v>
      </c>
      <c r="B13867" t="n">
        <v>57410</v>
      </c>
      <c r="C13867" t="inlineStr">
        <is>
          <t>1435/12/16</t>
        </is>
      </c>
    </row>
    <row r="13868">
      <c r="A13868" t="n">
        <v>14351217</v>
      </c>
      <c r="B13868" t="n">
        <v>57411</v>
      </c>
      <c r="C13868" t="inlineStr">
        <is>
          <t>1435/12/17</t>
        </is>
      </c>
    </row>
    <row r="13869">
      <c r="A13869" t="n">
        <v>14351218</v>
      </c>
      <c r="B13869" t="n">
        <v>57412</v>
      </c>
      <c r="C13869" t="inlineStr">
        <is>
          <t>1435/12/18</t>
        </is>
      </c>
    </row>
    <row r="13870">
      <c r="A13870" t="n">
        <v>14351219</v>
      </c>
      <c r="B13870" t="n">
        <v>57413</v>
      </c>
      <c r="C13870" t="inlineStr">
        <is>
          <t>1435/12/19</t>
        </is>
      </c>
    </row>
    <row r="13871">
      <c r="A13871" t="n">
        <v>14351220</v>
      </c>
      <c r="B13871" t="n">
        <v>57414</v>
      </c>
      <c r="C13871" t="inlineStr">
        <is>
          <t>1435/12/20</t>
        </is>
      </c>
    </row>
    <row r="13872">
      <c r="A13872" t="n">
        <v>14351221</v>
      </c>
      <c r="B13872" t="n">
        <v>57415</v>
      </c>
      <c r="C13872" t="inlineStr">
        <is>
          <t>1435/12/21</t>
        </is>
      </c>
    </row>
    <row r="13873">
      <c r="A13873" t="n">
        <v>14351222</v>
      </c>
      <c r="B13873" t="n">
        <v>57416</v>
      </c>
      <c r="C13873" t="inlineStr">
        <is>
          <t>1435/12/22</t>
        </is>
      </c>
    </row>
    <row r="13874">
      <c r="A13874" t="n">
        <v>14351223</v>
      </c>
      <c r="B13874" t="n">
        <v>57417</v>
      </c>
      <c r="C13874" t="inlineStr">
        <is>
          <t>1435/12/23</t>
        </is>
      </c>
    </row>
    <row r="13875">
      <c r="A13875" t="n">
        <v>14351224</v>
      </c>
      <c r="B13875" t="n">
        <v>57418</v>
      </c>
      <c r="C13875" t="inlineStr">
        <is>
          <t>1435/12/24</t>
        </is>
      </c>
    </row>
    <row r="13876">
      <c r="A13876" t="n">
        <v>14351225</v>
      </c>
      <c r="B13876" t="n">
        <v>57419</v>
      </c>
      <c r="C13876" t="inlineStr">
        <is>
          <t>1435/12/25</t>
        </is>
      </c>
    </row>
    <row r="13877">
      <c r="A13877" t="n">
        <v>14351226</v>
      </c>
      <c r="B13877" t="n">
        <v>57420</v>
      </c>
      <c r="C13877" t="inlineStr">
        <is>
          <t>1435/12/26</t>
        </is>
      </c>
    </row>
    <row r="13878">
      <c r="A13878" t="n">
        <v>14351227</v>
      </c>
      <c r="B13878" t="n">
        <v>57421</v>
      </c>
      <c r="C13878" t="inlineStr">
        <is>
          <t>1435/12/27</t>
        </is>
      </c>
    </row>
    <row r="13879">
      <c r="A13879" t="n">
        <v>14351228</v>
      </c>
      <c r="B13879" t="n">
        <v>57422</v>
      </c>
      <c r="C13879" t="inlineStr">
        <is>
          <t>1435/12/28</t>
        </is>
      </c>
    </row>
    <row r="13880">
      <c r="A13880" t="n">
        <v>14351229</v>
      </c>
      <c r="B13880" t="n">
        <v>57423</v>
      </c>
      <c r="C13880" t="inlineStr">
        <is>
          <t>1435/12/29</t>
        </is>
      </c>
    </row>
    <row r="13881">
      <c r="A13881" t="n">
        <v>14360101</v>
      </c>
      <c r="B13881" t="n">
        <v>57424</v>
      </c>
      <c r="C13881" t="inlineStr">
        <is>
          <t>1436/01/01</t>
        </is>
      </c>
    </row>
    <row r="13882">
      <c r="A13882" t="n">
        <v>14360102</v>
      </c>
      <c r="B13882" t="n">
        <v>57425</v>
      </c>
      <c r="C13882" t="inlineStr">
        <is>
          <t>1436/01/02</t>
        </is>
      </c>
    </row>
    <row r="13883">
      <c r="A13883" t="n">
        <v>14360103</v>
      </c>
      <c r="B13883" t="n">
        <v>57426</v>
      </c>
      <c r="C13883" t="inlineStr">
        <is>
          <t>1436/01/03</t>
        </is>
      </c>
    </row>
    <row r="13884">
      <c r="A13884" t="n">
        <v>14360104</v>
      </c>
      <c r="B13884" t="n">
        <v>57427</v>
      </c>
      <c r="C13884" t="inlineStr">
        <is>
          <t>1436/01/04</t>
        </is>
      </c>
    </row>
    <row r="13885">
      <c r="A13885" t="n">
        <v>14360105</v>
      </c>
      <c r="B13885" t="n">
        <v>57428</v>
      </c>
      <c r="C13885" t="inlineStr">
        <is>
          <t>1436/01/05</t>
        </is>
      </c>
    </row>
    <row r="13886">
      <c r="A13886" t="n">
        <v>14360106</v>
      </c>
      <c r="B13886" t="n">
        <v>57429</v>
      </c>
      <c r="C13886" t="inlineStr">
        <is>
          <t>1436/01/06</t>
        </is>
      </c>
    </row>
    <row r="13887">
      <c r="A13887" t="n">
        <v>14360107</v>
      </c>
      <c r="B13887" t="n">
        <v>57430</v>
      </c>
      <c r="C13887" t="inlineStr">
        <is>
          <t>1436/01/07</t>
        </is>
      </c>
    </row>
    <row r="13888">
      <c r="A13888" t="n">
        <v>14360108</v>
      </c>
      <c r="B13888" t="n">
        <v>57431</v>
      </c>
      <c r="C13888" t="inlineStr">
        <is>
          <t>1436/01/08</t>
        </is>
      </c>
    </row>
    <row r="13889">
      <c r="A13889" t="n">
        <v>14360109</v>
      </c>
      <c r="B13889" t="n">
        <v>57432</v>
      </c>
      <c r="C13889" t="inlineStr">
        <is>
          <t>1436/01/09</t>
        </is>
      </c>
    </row>
    <row r="13890">
      <c r="A13890" t="n">
        <v>14360110</v>
      </c>
      <c r="B13890" t="n">
        <v>57433</v>
      </c>
      <c r="C13890" t="inlineStr">
        <is>
          <t>1436/01/10</t>
        </is>
      </c>
    </row>
    <row r="13891">
      <c r="A13891" t="n">
        <v>14360111</v>
      </c>
      <c r="B13891" t="n">
        <v>57434</v>
      </c>
      <c r="C13891" t="inlineStr">
        <is>
          <t>1436/01/11</t>
        </is>
      </c>
    </row>
    <row r="13892">
      <c r="A13892" t="n">
        <v>14360112</v>
      </c>
      <c r="B13892" t="n">
        <v>57435</v>
      </c>
      <c r="C13892" t="inlineStr">
        <is>
          <t>1436/01/12</t>
        </is>
      </c>
    </row>
    <row r="13893">
      <c r="A13893" t="n">
        <v>14360113</v>
      </c>
      <c r="B13893" t="n">
        <v>57436</v>
      </c>
      <c r="C13893" t="inlineStr">
        <is>
          <t>1436/01/13</t>
        </is>
      </c>
    </row>
    <row r="13894">
      <c r="A13894" t="n">
        <v>14360114</v>
      </c>
      <c r="B13894" t="n">
        <v>57437</v>
      </c>
      <c r="C13894" t="inlineStr">
        <is>
          <t>1436/01/14</t>
        </is>
      </c>
    </row>
    <row r="13895">
      <c r="A13895" t="n">
        <v>14360115</v>
      </c>
      <c r="B13895" t="n">
        <v>57438</v>
      </c>
      <c r="C13895" t="inlineStr">
        <is>
          <t>1436/01/15</t>
        </is>
      </c>
    </row>
    <row r="13896">
      <c r="A13896" t="n">
        <v>14360116</v>
      </c>
      <c r="B13896" t="n">
        <v>57439</v>
      </c>
      <c r="C13896" t="inlineStr">
        <is>
          <t>1436/01/16</t>
        </is>
      </c>
    </row>
    <row r="13897">
      <c r="A13897" t="n">
        <v>14360117</v>
      </c>
      <c r="B13897" t="n">
        <v>57440</v>
      </c>
      <c r="C13897" t="inlineStr">
        <is>
          <t>1436/01/17</t>
        </is>
      </c>
    </row>
    <row r="13898">
      <c r="A13898" t="n">
        <v>14360118</v>
      </c>
      <c r="B13898" t="n">
        <v>57441</v>
      </c>
      <c r="C13898" t="inlineStr">
        <is>
          <t>1436/01/18</t>
        </is>
      </c>
    </row>
    <row r="13899">
      <c r="A13899" t="n">
        <v>14360119</v>
      </c>
      <c r="B13899" t="n">
        <v>57442</v>
      </c>
      <c r="C13899" t="inlineStr">
        <is>
          <t>1436/01/19</t>
        </is>
      </c>
    </row>
    <row r="13900">
      <c r="A13900" t="n">
        <v>14360120</v>
      </c>
      <c r="B13900" t="n">
        <v>57443</v>
      </c>
      <c r="C13900" t="inlineStr">
        <is>
          <t>1436/01/20</t>
        </is>
      </c>
    </row>
    <row r="13901">
      <c r="A13901" t="n">
        <v>14360121</v>
      </c>
      <c r="B13901" t="n">
        <v>57444</v>
      </c>
      <c r="C13901" t="inlineStr">
        <is>
          <t>1436/01/21</t>
        </is>
      </c>
    </row>
    <row r="13902">
      <c r="A13902" t="n">
        <v>14360122</v>
      </c>
      <c r="B13902" t="n">
        <v>57445</v>
      </c>
      <c r="C13902" t="inlineStr">
        <is>
          <t>1436/01/22</t>
        </is>
      </c>
    </row>
    <row r="13903">
      <c r="A13903" t="n">
        <v>14360123</v>
      </c>
      <c r="B13903" t="n">
        <v>57446</v>
      </c>
      <c r="C13903" t="inlineStr">
        <is>
          <t>1436/01/23</t>
        </is>
      </c>
    </row>
    <row r="13904">
      <c r="A13904" t="n">
        <v>14360124</v>
      </c>
      <c r="B13904" t="n">
        <v>57447</v>
      </c>
      <c r="C13904" t="inlineStr">
        <is>
          <t>1436/01/24</t>
        </is>
      </c>
    </row>
    <row r="13905">
      <c r="A13905" t="n">
        <v>14360125</v>
      </c>
      <c r="B13905" t="n">
        <v>57448</v>
      </c>
      <c r="C13905" t="inlineStr">
        <is>
          <t>1436/01/25</t>
        </is>
      </c>
    </row>
    <row r="13906">
      <c r="A13906" t="n">
        <v>14360126</v>
      </c>
      <c r="B13906" t="n">
        <v>57449</v>
      </c>
      <c r="C13906" t="inlineStr">
        <is>
          <t>1436/01/26</t>
        </is>
      </c>
    </row>
    <row r="13907">
      <c r="A13907" t="n">
        <v>14360127</v>
      </c>
      <c r="B13907" t="n">
        <v>57450</v>
      </c>
      <c r="C13907" t="inlineStr">
        <is>
          <t>1436/01/27</t>
        </is>
      </c>
    </row>
    <row r="13908">
      <c r="A13908" t="n">
        <v>14360128</v>
      </c>
      <c r="B13908" t="n">
        <v>57451</v>
      </c>
      <c r="C13908" t="inlineStr">
        <is>
          <t>1436/01/28</t>
        </is>
      </c>
    </row>
    <row r="13909">
      <c r="A13909" t="n">
        <v>14360129</v>
      </c>
      <c r="B13909" t="n">
        <v>57452</v>
      </c>
      <c r="C13909" t="inlineStr">
        <is>
          <t>1436/01/29</t>
        </is>
      </c>
    </row>
    <row r="13910">
      <c r="A13910" t="n">
        <v>14360130</v>
      </c>
      <c r="B13910" t="n">
        <v>57453</v>
      </c>
      <c r="C13910" t="inlineStr">
        <is>
          <t>1436/01/30</t>
        </is>
      </c>
    </row>
    <row r="13911">
      <c r="A13911" t="n">
        <v>14360131</v>
      </c>
      <c r="B13911" t="n">
        <v>57454</v>
      </c>
      <c r="C13911" t="inlineStr">
        <is>
          <t>1436/01/31</t>
        </is>
      </c>
    </row>
    <row r="13912">
      <c r="A13912" t="n">
        <v>14360201</v>
      </c>
      <c r="B13912" t="n">
        <v>57455</v>
      </c>
      <c r="C13912" t="inlineStr">
        <is>
          <t>1436/02/01</t>
        </is>
      </c>
    </row>
    <row r="13913">
      <c r="A13913" t="n">
        <v>14360202</v>
      </c>
      <c r="B13913" t="n">
        <v>57456</v>
      </c>
      <c r="C13913" t="inlineStr">
        <is>
          <t>1436/02/02</t>
        </is>
      </c>
    </row>
    <row r="13914">
      <c r="A13914" t="n">
        <v>14360203</v>
      </c>
      <c r="B13914" t="n">
        <v>57457</v>
      </c>
      <c r="C13914" t="inlineStr">
        <is>
          <t>1436/02/03</t>
        </is>
      </c>
    </row>
    <row r="13915">
      <c r="A13915" t="n">
        <v>14360204</v>
      </c>
      <c r="B13915" t="n">
        <v>57458</v>
      </c>
      <c r="C13915" t="inlineStr">
        <is>
          <t>1436/02/04</t>
        </is>
      </c>
    </row>
    <row r="13916">
      <c r="A13916" t="n">
        <v>14360205</v>
      </c>
      <c r="B13916" t="n">
        <v>57459</v>
      </c>
      <c r="C13916" t="inlineStr">
        <is>
          <t>1436/02/05</t>
        </is>
      </c>
    </row>
    <row r="13917">
      <c r="A13917" t="n">
        <v>14360206</v>
      </c>
      <c r="B13917" t="n">
        <v>57460</v>
      </c>
      <c r="C13917" t="inlineStr">
        <is>
          <t>1436/02/06</t>
        </is>
      </c>
    </row>
    <row r="13918">
      <c r="A13918" t="n">
        <v>14360207</v>
      </c>
      <c r="B13918" t="n">
        <v>57461</v>
      </c>
      <c r="C13918" t="inlineStr">
        <is>
          <t>1436/02/07</t>
        </is>
      </c>
    </row>
    <row r="13919">
      <c r="A13919" t="n">
        <v>14360208</v>
      </c>
      <c r="B13919" t="n">
        <v>57462</v>
      </c>
      <c r="C13919" t="inlineStr">
        <is>
          <t>1436/02/08</t>
        </is>
      </c>
    </row>
    <row r="13920">
      <c r="A13920" t="n">
        <v>14360209</v>
      </c>
      <c r="B13920" t="n">
        <v>57463</v>
      </c>
      <c r="C13920" t="inlineStr">
        <is>
          <t>1436/02/09</t>
        </is>
      </c>
    </row>
    <row r="13921">
      <c r="A13921" t="n">
        <v>14360210</v>
      </c>
      <c r="B13921" t="n">
        <v>57464</v>
      </c>
      <c r="C13921" t="inlineStr">
        <is>
          <t>1436/02/10</t>
        </is>
      </c>
    </row>
    <row r="13922">
      <c r="A13922" t="n">
        <v>14360211</v>
      </c>
      <c r="B13922" t="n">
        <v>57465</v>
      </c>
      <c r="C13922" t="inlineStr">
        <is>
          <t>1436/02/11</t>
        </is>
      </c>
    </row>
    <row r="13923">
      <c r="A13923" t="n">
        <v>14360212</v>
      </c>
      <c r="B13923" t="n">
        <v>57466</v>
      </c>
      <c r="C13923" t="inlineStr">
        <is>
          <t>1436/02/12</t>
        </is>
      </c>
    </row>
    <row r="13924">
      <c r="A13924" t="n">
        <v>14360213</v>
      </c>
      <c r="B13924" t="n">
        <v>57467</v>
      </c>
      <c r="C13924" t="inlineStr">
        <is>
          <t>1436/02/13</t>
        </is>
      </c>
    </row>
    <row r="13925">
      <c r="A13925" t="n">
        <v>14360214</v>
      </c>
      <c r="B13925" t="n">
        <v>57468</v>
      </c>
      <c r="C13925" t="inlineStr">
        <is>
          <t>1436/02/14</t>
        </is>
      </c>
    </row>
    <row r="13926">
      <c r="A13926" t="n">
        <v>14360215</v>
      </c>
      <c r="B13926" t="n">
        <v>57469</v>
      </c>
      <c r="C13926" t="inlineStr">
        <is>
          <t>1436/02/15</t>
        </is>
      </c>
    </row>
    <row r="13927">
      <c r="A13927" t="n">
        <v>14360216</v>
      </c>
      <c r="B13927" t="n">
        <v>57470</v>
      </c>
      <c r="C13927" t="inlineStr">
        <is>
          <t>1436/02/16</t>
        </is>
      </c>
    </row>
    <row r="13928">
      <c r="A13928" t="n">
        <v>14360217</v>
      </c>
      <c r="B13928" t="n">
        <v>57471</v>
      </c>
      <c r="C13928" t="inlineStr">
        <is>
          <t>1436/02/17</t>
        </is>
      </c>
    </row>
    <row r="13929">
      <c r="A13929" t="n">
        <v>14360218</v>
      </c>
      <c r="B13929" t="n">
        <v>57472</v>
      </c>
      <c r="C13929" t="inlineStr">
        <is>
          <t>1436/02/18</t>
        </is>
      </c>
    </row>
    <row r="13930">
      <c r="A13930" t="n">
        <v>14360219</v>
      </c>
      <c r="B13930" t="n">
        <v>57473</v>
      </c>
      <c r="C13930" t="inlineStr">
        <is>
          <t>1436/02/19</t>
        </is>
      </c>
    </row>
    <row r="13931">
      <c r="A13931" t="n">
        <v>14360220</v>
      </c>
      <c r="B13931" t="n">
        <v>57474</v>
      </c>
      <c r="C13931" t="inlineStr">
        <is>
          <t>1436/02/20</t>
        </is>
      </c>
    </row>
    <row r="13932">
      <c r="A13932" t="n">
        <v>14360221</v>
      </c>
      <c r="B13932" t="n">
        <v>57475</v>
      </c>
      <c r="C13932" t="inlineStr">
        <is>
          <t>1436/02/21</t>
        </is>
      </c>
    </row>
    <row r="13933">
      <c r="A13933" t="n">
        <v>14360222</v>
      </c>
      <c r="B13933" t="n">
        <v>57476</v>
      </c>
      <c r="C13933" t="inlineStr">
        <is>
          <t>1436/02/22</t>
        </is>
      </c>
    </row>
    <row r="13934">
      <c r="A13934" t="n">
        <v>14360223</v>
      </c>
      <c r="B13934" t="n">
        <v>57477</v>
      </c>
      <c r="C13934" t="inlineStr">
        <is>
          <t>1436/02/23</t>
        </is>
      </c>
    </row>
    <row r="13935">
      <c r="A13935" t="n">
        <v>14360224</v>
      </c>
      <c r="B13935" t="n">
        <v>57478</v>
      </c>
      <c r="C13935" t="inlineStr">
        <is>
          <t>1436/02/24</t>
        </is>
      </c>
    </row>
    <row r="13936">
      <c r="A13936" t="n">
        <v>14360225</v>
      </c>
      <c r="B13936" t="n">
        <v>57479</v>
      </c>
      <c r="C13936" t="inlineStr">
        <is>
          <t>1436/02/25</t>
        </is>
      </c>
    </row>
    <row r="13937">
      <c r="A13937" t="n">
        <v>14360226</v>
      </c>
      <c r="B13937" t="n">
        <v>57480</v>
      </c>
      <c r="C13937" t="inlineStr">
        <is>
          <t>1436/02/26</t>
        </is>
      </c>
    </row>
    <row r="13938">
      <c r="A13938" t="n">
        <v>14360227</v>
      </c>
      <c r="B13938" t="n">
        <v>57481</v>
      </c>
      <c r="C13938" t="inlineStr">
        <is>
          <t>1436/02/27</t>
        </is>
      </c>
    </row>
    <row r="13939">
      <c r="A13939" t="n">
        <v>14360228</v>
      </c>
      <c r="B13939" t="n">
        <v>57482</v>
      </c>
      <c r="C13939" t="inlineStr">
        <is>
          <t>1436/02/28</t>
        </is>
      </c>
    </row>
    <row r="13940">
      <c r="A13940" t="n">
        <v>14360229</v>
      </c>
      <c r="B13940" t="n">
        <v>57483</v>
      </c>
      <c r="C13940" t="inlineStr">
        <is>
          <t>1436/02/29</t>
        </is>
      </c>
    </row>
    <row r="13941">
      <c r="A13941" t="n">
        <v>14360230</v>
      </c>
      <c r="B13941" t="n">
        <v>57484</v>
      </c>
      <c r="C13941" t="inlineStr">
        <is>
          <t>1436/02/30</t>
        </is>
      </c>
    </row>
    <row r="13942">
      <c r="A13942" t="n">
        <v>14360231</v>
      </c>
      <c r="B13942" t="n">
        <v>57485</v>
      </c>
      <c r="C13942" t="inlineStr">
        <is>
          <t>1436/02/31</t>
        </is>
      </c>
    </row>
    <row r="13943">
      <c r="A13943" t="n">
        <v>14360301</v>
      </c>
      <c r="B13943" t="n">
        <v>57486</v>
      </c>
      <c r="C13943" t="inlineStr">
        <is>
          <t>1436/03/01</t>
        </is>
      </c>
    </row>
    <row r="13944">
      <c r="A13944" t="n">
        <v>14360302</v>
      </c>
      <c r="B13944" t="n">
        <v>57487</v>
      </c>
      <c r="C13944" t="inlineStr">
        <is>
          <t>1436/03/02</t>
        </is>
      </c>
    </row>
    <row r="13945">
      <c r="A13945" t="n">
        <v>14360303</v>
      </c>
      <c r="B13945" t="n">
        <v>57488</v>
      </c>
      <c r="C13945" t="inlineStr">
        <is>
          <t>1436/03/03</t>
        </is>
      </c>
    </row>
    <row r="13946">
      <c r="A13946" t="n">
        <v>14360304</v>
      </c>
      <c r="B13946" t="n">
        <v>57489</v>
      </c>
      <c r="C13946" t="inlineStr">
        <is>
          <t>1436/03/04</t>
        </is>
      </c>
    </row>
    <row r="13947">
      <c r="A13947" t="n">
        <v>14360305</v>
      </c>
      <c r="B13947" t="n">
        <v>57490</v>
      </c>
      <c r="C13947" t="inlineStr">
        <is>
          <t>1436/03/05</t>
        </is>
      </c>
    </row>
    <row r="13948">
      <c r="A13948" t="n">
        <v>14360306</v>
      </c>
      <c r="B13948" t="n">
        <v>57491</v>
      </c>
      <c r="C13948" t="inlineStr">
        <is>
          <t>1436/03/06</t>
        </is>
      </c>
    </row>
    <row r="13949">
      <c r="A13949" t="n">
        <v>14360307</v>
      </c>
      <c r="B13949" t="n">
        <v>57492</v>
      </c>
      <c r="C13949" t="inlineStr">
        <is>
          <t>1436/03/07</t>
        </is>
      </c>
    </row>
    <row r="13950">
      <c r="A13950" t="n">
        <v>14360308</v>
      </c>
      <c r="B13950" t="n">
        <v>57493</v>
      </c>
      <c r="C13950" t="inlineStr">
        <is>
          <t>1436/03/08</t>
        </is>
      </c>
    </row>
    <row r="13951">
      <c r="A13951" t="n">
        <v>14360309</v>
      </c>
      <c r="B13951" t="n">
        <v>57494</v>
      </c>
      <c r="C13951" t="inlineStr">
        <is>
          <t>1436/03/09</t>
        </is>
      </c>
    </row>
    <row r="13952">
      <c r="A13952" t="n">
        <v>14360310</v>
      </c>
      <c r="B13952" t="n">
        <v>57495</v>
      </c>
      <c r="C13952" t="inlineStr">
        <is>
          <t>1436/03/10</t>
        </is>
      </c>
    </row>
    <row r="13953">
      <c r="A13953" t="n">
        <v>14360311</v>
      </c>
      <c r="B13953" t="n">
        <v>57496</v>
      </c>
      <c r="C13953" t="inlineStr">
        <is>
          <t>1436/03/11</t>
        </is>
      </c>
    </row>
    <row r="13954">
      <c r="A13954" t="n">
        <v>14360312</v>
      </c>
      <c r="B13954" t="n">
        <v>57497</v>
      </c>
      <c r="C13954" t="inlineStr">
        <is>
          <t>1436/03/12</t>
        </is>
      </c>
    </row>
    <row r="13955">
      <c r="A13955" t="n">
        <v>14360313</v>
      </c>
      <c r="B13955" t="n">
        <v>57498</v>
      </c>
      <c r="C13955" t="inlineStr">
        <is>
          <t>1436/03/13</t>
        </is>
      </c>
    </row>
    <row r="13956">
      <c r="A13956" t="n">
        <v>14360314</v>
      </c>
      <c r="B13956" t="n">
        <v>57499</v>
      </c>
      <c r="C13956" t="inlineStr">
        <is>
          <t>1436/03/14</t>
        </is>
      </c>
    </row>
    <row r="13957">
      <c r="A13957" t="n">
        <v>14360315</v>
      </c>
      <c r="B13957" t="n">
        <v>57500</v>
      </c>
      <c r="C13957" t="inlineStr">
        <is>
          <t>1436/03/15</t>
        </is>
      </c>
    </row>
    <row r="13958">
      <c r="A13958" t="n">
        <v>14360316</v>
      </c>
      <c r="B13958" t="n">
        <v>57501</v>
      </c>
      <c r="C13958" t="inlineStr">
        <is>
          <t>1436/03/16</t>
        </is>
      </c>
    </row>
    <row r="13959">
      <c r="A13959" t="n">
        <v>14360317</v>
      </c>
      <c r="B13959" t="n">
        <v>57502</v>
      </c>
      <c r="C13959" t="inlineStr">
        <is>
          <t>1436/03/17</t>
        </is>
      </c>
    </row>
    <row r="13960">
      <c r="A13960" t="n">
        <v>14360318</v>
      </c>
      <c r="B13960" t="n">
        <v>57503</v>
      </c>
      <c r="C13960" t="inlineStr">
        <is>
          <t>1436/03/18</t>
        </is>
      </c>
    </row>
    <row r="13961">
      <c r="A13961" t="n">
        <v>14360319</v>
      </c>
      <c r="B13961" t="n">
        <v>57504</v>
      </c>
      <c r="C13961" t="inlineStr">
        <is>
          <t>1436/03/19</t>
        </is>
      </c>
    </row>
    <row r="13962">
      <c r="A13962" t="n">
        <v>14360320</v>
      </c>
      <c r="B13962" t="n">
        <v>57505</v>
      </c>
      <c r="C13962" t="inlineStr">
        <is>
          <t>1436/03/20</t>
        </is>
      </c>
    </row>
    <row r="13963">
      <c r="A13963" t="n">
        <v>14360321</v>
      </c>
      <c r="B13963" t="n">
        <v>57506</v>
      </c>
      <c r="C13963" t="inlineStr">
        <is>
          <t>1436/03/21</t>
        </is>
      </c>
    </row>
    <row r="13964">
      <c r="A13964" t="n">
        <v>14360322</v>
      </c>
      <c r="B13964" t="n">
        <v>57507</v>
      </c>
      <c r="C13964" t="inlineStr">
        <is>
          <t>1436/03/22</t>
        </is>
      </c>
    </row>
    <row r="13965">
      <c r="A13965" t="n">
        <v>14360323</v>
      </c>
      <c r="B13965" t="n">
        <v>57508</v>
      </c>
      <c r="C13965" t="inlineStr">
        <is>
          <t>1436/03/23</t>
        </is>
      </c>
    </row>
    <row r="13966">
      <c r="A13966" t="n">
        <v>14360324</v>
      </c>
      <c r="B13966" t="n">
        <v>57509</v>
      </c>
      <c r="C13966" t="inlineStr">
        <is>
          <t>1436/03/24</t>
        </is>
      </c>
    </row>
    <row r="13967">
      <c r="A13967" t="n">
        <v>14360325</v>
      </c>
      <c r="B13967" t="n">
        <v>57510</v>
      </c>
      <c r="C13967" t="inlineStr">
        <is>
          <t>1436/03/25</t>
        </is>
      </c>
    </row>
    <row r="13968">
      <c r="A13968" t="n">
        <v>14360326</v>
      </c>
      <c r="B13968" t="n">
        <v>57511</v>
      </c>
      <c r="C13968" t="inlineStr">
        <is>
          <t>1436/03/26</t>
        </is>
      </c>
    </row>
    <row r="13969">
      <c r="A13969" t="n">
        <v>14360327</v>
      </c>
      <c r="B13969" t="n">
        <v>57512</v>
      </c>
      <c r="C13969" t="inlineStr">
        <is>
          <t>1436/03/27</t>
        </is>
      </c>
    </row>
    <row r="13970">
      <c r="A13970" t="n">
        <v>14360328</v>
      </c>
      <c r="B13970" t="n">
        <v>57513</v>
      </c>
      <c r="C13970" t="inlineStr">
        <is>
          <t>1436/03/28</t>
        </is>
      </c>
    </row>
    <row r="13971">
      <c r="A13971" t="n">
        <v>14360329</v>
      </c>
      <c r="B13971" t="n">
        <v>57514</v>
      </c>
      <c r="C13971" t="inlineStr">
        <is>
          <t>1436/03/29</t>
        </is>
      </c>
    </row>
    <row r="13972">
      <c r="A13972" t="n">
        <v>14360330</v>
      </c>
      <c r="B13972" t="n">
        <v>57515</v>
      </c>
      <c r="C13972" t="inlineStr">
        <is>
          <t>1436/03/30</t>
        </is>
      </c>
    </row>
    <row r="13973">
      <c r="A13973" t="n">
        <v>14360331</v>
      </c>
      <c r="B13973" t="n">
        <v>57516</v>
      </c>
      <c r="C13973" t="inlineStr">
        <is>
          <t>1436/03/31</t>
        </is>
      </c>
    </row>
    <row r="13974">
      <c r="A13974" t="n">
        <v>14360401</v>
      </c>
      <c r="B13974" t="n">
        <v>57517</v>
      </c>
      <c r="C13974" t="inlineStr">
        <is>
          <t>1436/04/01</t>
        </is>
      </c>
    </row>
    <row r="13975">
      <c r="A13975" t="n">
        <v>14360402</v>
      </c>
      <c r="B13975" t="n">
        <v>57518</v>
      </c>
      <c r="C13975" t="inlineStr">
        <is>
          <t>1436/04/02</t>
        </is>
      </c>
    </row>
    <row r="13976">
      <c r="A13976" t="n">
        <v>14360403</v>
      </c>
      <c r="B13976" t="n">
        <v>57519</v>
      </c>
      <c r="C13976" t="inlineStr">
        <is>
          <t>1436/04/03</t>
        </is>
      </c>
    </row>
    <row r="13977">
      <c r="A13977" t="n">
        <v>14360404</v>
      </c>
      <c r="B13977" t="n">
        <v>57520</v>
      </c>
      <c r="C13977" t="inlineStr">
        <is>
          <t>1436/04/04</t>
        </is>
      </c>
    </row>
    <row r="13978">
      <c r="A13978" t="n">
        <v>14360405</v>
      </c>
      <c r="B13978" t="n">
        <v>57521</v>
      </c>
      <c r="C13978" t="inlineStr">
        <is>
          <t>1436/04/05</t>
        </is>
      </c>
    </row>
    <row r="13979">
      <c r="A13979" t="n">
        <v>14360406</v>
      </c>
      <c r="B13979" t="n">
        <v>57522</v>
      </c>
      <c r="C13979" t="inlineStr">
        <is>
          <t>1436/04/06</t>
        </is>
      </c>
    </row>
    <row r="13980">
      <c r="A13980" t="n">
        <v>14360407</v>
      </c>
      <c r="B13980" t="n">
        <v>57523</v>
      </c>
      <c r="C13980" t="inlineStr">
        <is>
          <t>1436/04/07</t>
        </is>
      </c>
    </row>
    <row r="13981">
      <c r="A13981" t="n">
        <v>14360408</v>
      </c>
      <c r="B13981" t="n">
        <v>57524</v>
      </c>
      <c r="C13981" t="inlineStr">
        <is>
          <t>1436/04/08</t>
        </is>
      </c>
    </row>
    <row r="13982">
      <c r="A13982" t="n">
        <v>14360409</v>
      </c>
      <c r="B13982" t="n">
        <v>57525</v>
      </c>
      <c r="C13982" t="inlineStr">
        <is>
          <t>1436/04/09</t>
        </is>
      </c>
    </row>
    <row r="13983">
      <c r="A13983" t="n">
        <v>14360410</v>
      </c>
      <c r="B13983" t="n">
        <v>57526</v>
      </c>
      <c r="C13983" t="inlineStr">
        <is>
          <t>1436/04/10</t>
        </is>
      </c>
    </row>
    <row r="13984">
      <c r="A13984" t="n">
        <v>14360411</v>
      </c>
      <c r="B13984" t="n">
        <v>57527</v>
      </c>
      <c r="C13984" t="inlineStr">
        <is>
          <t>1436/04/11</t>
        </is>
      </c>
    </row>
    <row r="13985">
      <c r="A13985" t="n">
        <v>14360412</v>
      </c>
      <c r="B13985" t="n">
        <v>57528</v>
      </c>
      <c r="C13985" t="inlineStr">
        <is>
          <t>1436/04/12</t>
        </is>
      </c>
    </row>
    <row r="13986">
      <c r="A13986" t="n">
        <v>14360413</v>
      </c>
      <c r="B13986" t="n">
        <v>57529</v>
      </c>
      <c r="C13986" t="inlineStr">
        <is>
          <t>1436/04/13</t>
        </is>
      </c>
    </row>
    <row r="13987">
      <c r="A13987" t="n">
        <v>14360414</v>
      </c>
      <c r="B13987" t="n">
        <v>57530</v>
      </c>
      <c r="C13987" t="inlineStr">
        <is>
          <t>1436/04/14</t>
        </is>
      </c>
    </row>
    <row r="13988">
      <c r="A13988" t="n">
        <v>14360415</v>
      </c>
      <c r="B13988" t="n">
        <v>57531</v>
      </c>
      <c r="C13988" t="inlineStr">
        <is>
          <t>1436/04/15</t>
        </is>
      </c>
    </row>
    <row r="13989">
      <c r="A13989" t="n">
        <v>14360416</v>
      </c>
      <c r="B13989" t="n">
        <v>57532</v>
      </c>
      <c r="C13989" t="inlineStr">
        <is>
          <t>1436/04/16</t>
        </is>
      </c>
    </row>
    <row r="13990">
      <c r="A13990" t="n">
        <v>14360417</v>
      </c>
      <c r="B13990" t="n">
        <v>57533</v>
      </c>
      <c r="C13990" t="inlineStr">
        <is>
          <t>1436/04/17</t>
        </is>
      </c>
    </row>
    <row r="13991">
      <c r="A13991" t="n">
        <v>14360418</v>
      </c>
      <c r="B13991" t="n">
        <v>57534</v>
      </c>
      <c r="C13991" t="inlineStr">
        <is>
          <t>1436/04/18</t>
        </is>
      </c>
    </row>
    <row r="13992">
      <c r="A13992" t="n">
        <v>14360419</v>
      </c>
      <c r="B13992" t="n">
        <v>57535</v>
      </c>
      <c r="C13992" t="inlineStr">
        <is>
          <t>1436/04/19</t>
        </is>
      </c>
    </row>
    <row r="13993">
      <c r="A13993" t="n">
        <v>14360420</v>
      </c>
      <c r="B13993" t="n">
        <v>57536</v>
      </c>
      <c r="C13993" t="inlineStr">
        <is>
          <t>1436/04/20</t>
        </is>
      </c>
    </row>
    <row r="13994">
      <c r="A13994" t="n">
        <v>14360421</v>
      </c>
      <c r="B13994" t="n">
        <v>57537</v>
      </c>
      <c r="C13994" t="inlineStr">
        <is>
          <t>1436/04/21</t>
        </is>
      </c>
    </row>
    <row r="13995">
      <c r="A13995" t="n">
        <v>14360422</v>
      </c>
      <c r="B13995" t="n">
        <v>57538</v>
      </c>
      <c r="C13995" t="inlineStr">
        <is>
          <t>1436/04/22</t>
        </is>
      </c>
    </row>
    <row r="13996">
      <c r="A13996" t="n">
        <v>14360423</v>
      </c>
      <c r="B13996" t="n">
        <v>57539</v>
      </c>
      <c r="C13996" t="inlineStr">
        <is>
          <t>1436/04/23</t>
        </is>
      </c>
    </row>
    <row r="13997">
      <c r="A13997" t="n">
        <v>14360424</v>
      </c>
      <c r="B13997" t="n">
        <v>57540</v>
      </c>
      <c r="C13997" t="inlineStr">
        <is>
          <t>1436/04/24</t>
        </is>
      </c>
    </row>
    <row r="13998">
      <c r="A13998" t="n">
        <v>14360425</v>
      </c>
      <c r="B13998" t="n">
        <v>57541</v>
      </c>
      <c r="C13998" t="inlineStr">
        <is>
          <t>1436/04/25</t>
        </is>
      </c>
    </row>
    <row r="13999">
      <c r="A13999" t="n">
        <v>14360426</v>
      </c>
      <c r="B13999" t="n">
        <v>57542</v>
      </c>
      <c r="C13999" t="inlineStr">
        <is>
          <t>1436/04/26</t>
        </is>
      </c>
    </row>
    <row r="14000">
      <c r="A14000" t="n">
        <v>14360427</v>
      </c>
      <c r="B14000" t="n">
        <v>57543</v>
      </c>
      <c r="C14000" t="inlineStr">
        <is>
          <t>1436/04/27</t>
        </is>
      </c>
    </row>
    <row r="14001">
      <c r="A14001" t="n">
        <v>14360428</v>
      </c>
      <c r="B14001" t="n">
        <v>57544</v>
      </c>
      <c r="C14001" t="inlineStr">
        <is>
          <t>1436/04/28</t>
        </is>
      </c>
    </row>
    <row r="14002">
      <c r="A14002" t="n">
        <v>14360429</v>
      </c>
      <c r="B14002" t="n">
        <v>57545</v>
      </c>
      <c r="C14002" t="inlineStr">
        <is>
          <t>1436/04/29</t>
        </is>
      </c>
    </row>
    <row r="14003">
      <c r="A14003" t="n">
        <v>14360430</v>
      </c>
      <c r="B14003" t="n">
        <v>57546</v>
      </c>
      <c r="C14003" t="inlineStr">
        <is>
          <t>1436/04/30</t>
        </is>
      </c>
    </row>
    <row r="14004">
      <c r="A14004" t="n">
        <v>14360431</v>
      </c>
      <c r="B14004" t="n">
        <v>57547</v>
      </c>
      <c r="C14004" t="inlineStr">
        <is>
          <t>1436/04/31</t>
        </is>
      </c>
    </row>
    <row r="14005">
      <c r="A14005" t="n">
        <v>14360501</v>
      </c>
      <c r="B14005" t="n">
        <v>57548</v>
      </c>
      <c r="C14005" t="inlineStr">
        <is>
          <t>1436/05/01</t>
        </is>
      </c>
    </row>
    <row r="14006">
      <c r="A14006" t="n">
        <v>14360502</v>
      </c>
      <c r="B14006" t="n">
        <v>57549</v>
      </c>
      <c r="C14006" t="inlineStr">
        <is>
          <t>1436/05/02</t>
        </is>
      </c>
    </row>
    <row r="14007">
      <c r="A14007" t="n">
        <v>14360503</v>
      </c>
      <c r="B14007" t="n">
        <v>57550</v>
      </c>
      <c r="C14007" t="inlineStr">
        <is>
          <t>1436/05/03</t>
        </is>
      </c>
    </row>
    <row r="14008">
      <c r="A14008" t="n">
        <v>14360504</v>
      </c>
      <c r="B14008" t="n">
        <v>57551</v>
      </c>
      <c r="C14008" t="inlineStr">
        <is>
          <t>1436/05/04</t>
        </is>
      </c>
    </row>
    <row r="14009">
      <c r="A14009" t="n">
        <v>14360505</v>
      </c>
      <c r="B14009" t="n">
        <v>57552</v>
      </c>
      <c r="C14009" t="inlineStr">
        <is>
          <t>1436/05/05</t>
        </is>
      </c>
    </row>
    <row r="14010">
      <c r="A14010" t="n">
        <v>14360506</v>
      </c>
      <c r="B14010" t="n">
        <v>57553</v>
      </c>
      <c r="C14010" t="inlineStr">
        <is>
          <t>1436/05/06</t>
        </is>
      </c>
    </row>
    <row r="14011">
      <c r="A14011" t="n">
        <v>14360507</v>
      </c>
      <c r="B14011" t="n">
        <v>57554</v>
      </c>
      <c r="C14011" t="inlineStr">
        <is>
          <t>1436/05/07</t>
        </is>
      </c>
    </row>
    <row r="14012">
      <c r="A14012" t="n">
        <v>14360508</v>
      </c>
      <c r="B14012" t="n">
        <v>57555</v>
      </c>
      <c r="C14012" t="inlineStr">
        <is>
          <t>1436/05/08</t>
        </is>
      </c>
    </row>
    <row r="14013">
      <c r="A14013" t="n">
        <v>14360509</v>
      </c>
      <c r="B14013" t="n">
        <v>57556</v>
      </c>
      <c r="C14013" t="inlineStr">
        <is>
          <t>1436/05/09</t>
        </is>
      </c>
    </row>
    <row r="14014">
      <c r="A14014" t="n">
        <v>14360510</v>
      </c>
      <c r="B14014" t="n">
        <v>57557</v>
      </c>
      <c r="C14014" t="inlineStr">
        <is>
          <t>1436/05/10</t>
        </is>
      </c>
    </row>
    <row r="14015">
      <c r="A14015" t="n">
        <v>14360511</v>
      </c>
      <c r="B14015" t="n">
        <v>57558</v>
      </c>
      <c r="C14015" t="inlineStr">
        <is>
          <t>1436/05/11</t>
        </is>
      </c>
    </row>
    <row r="14016">
      <c r="A14016" t="n">
        <v>14360512</v>
      </c>
      <c r="B14016" t="n">
        <v>57559</v>
      </c>
      <c r="C14016" t="inlineStr">
        <is>
          <t>1436/05/12</t>
        </is>
      </c>
    </row>
    <row r="14017">
      <c r="A14017" t="n">
        <v>14360513</v>
      </c>
      <c r="B14017" t="n">
        <v>57560</v>
      </c>
      <c r="C14017" t="inlineStr">
        <is>
          <t>1436/05/13</t>
        </is>
      </c>
    </row>
    <row r="14018">
      <c r="A14018" t="n">
        <v>14360514</v>
      </c>
      <c r="B14018" t="n">
        <v>57561</v>
      </c>
      <c r="C14018" t="inlineStr">
        <is>
          <t>1436/05/14</t>
        </is>
      </c>
    </row>
    <row r="14019">
      <c r="A14019" t="n">
        <v>14360515</v>
      </c>
      <c r="B14019" t="n">
        <v>57562</v>
      </c>
      <c r="C14019" t="inlineStr">
        <is>
          <t>1436/05/15</t>
        </is>
      </c>
    </row>
    <row r="14020">
      <c r="A14020" t="n">
        <v>14360516</v>
      </c>
      <c r="B14020" t="n">
        <v>57563</v>
      </c>
      <c r="C14020" t="inlineStr">
        <is>
          <t>1436/05/16</t>
        </is>
      </c>
    </row>
    <row r="14021">
      <c r="A14021" t="n">
        <v>14360517</v>
      </c>
      <c r="B14021" t="n">
        <v>57564</v>
      </c>
      <c r="C14021" t="inlineStr">
        <is>
          <t>1436/05/17</t>
        </is>
      </c>
    </row>
    <row r="14022">
      <c r="A14022" t="n">
        <v>14360518</v>
      </c>
      <c r="B14022" t="n">
        <v>57565</v>
      </c>
      <c r="C14022" t="inlineStr">
        <is>
          <t>1436/05/18</t>
        </is>
      </c>
    </row>
    <row r="14023">
      <c r="A14023" t="n">
        <v>14360519</v>
      </c>
      <c r="B14023" t="n">
        <v>57566</v>
      </c>
      <c r="C14023" t="inlineStr">
        <is>
          <t>1436/05/19</t>
        </is>
      </c>
    </row>
    <row r="14024">
      <c r="A14024" t="n">
        <v>14360520</v>
      </c>
      <c r="B14024" t="n">
        <v>57567</v>
      </c>
      <c r="C14024" t="inlineStr">
        <is>
          <t>1436/05/20</t>
        </is>
      </c>
    </row>
    <row r="14025">
      <c r="A14025" t="n">
        <v>14360521</v>
      </c>
      <c r="B14025" t="n">
        <v>57568</v>
      </c>
      <c r="C14025" t="inlineStr">
        <is>
          <t>1436/05/21</t>
        </is>
      </c>
    </row>
    <row r="14026">
      <c r="A14026" t="n">
        <v>14360522</v>
      </c>
      <c r="B14026" t="n">
        <v>57569</v>
      </c>
      <c r="C14026" t="inlineStr">
        <is>
          <t>1436/05/22</t>
        </is>
      </c>
    </row>
    <row r="14027">
      <c r="A14027" t="n">
        <v>14360523</v>
      </c>
      <c r="B14027" t="n">
        <v>57570</v>
      </c>
      <c r="C14027" t="inlineStr">
        <is>
          <t>1436/05/23</t>
        </is>
      </c>
    </row>
    <row r="14028">
      <c r="A14028" t="n">
        <v>14360524</v>
      </c>
      <c r="B14028" t="n">
        <v>57571</v>
      </c>
      <c r="C14028" t="inlineStr">
        <is>
          <t>1436/05/24</t>
        </is>
      </c>
    </row>
    <row r="14029">
      <c r="A14029" t="n">
        <v>14360525</v>
      </c>
      <c r="B14029" t="n">
        <v>57572</v>
      </c>
      <c r="C14029" t="inlineStr">
        <is>
          <t>1436/05/25</t>
        </is>
      </c>
    </row>
    <row r="14030">
      <c r="A14030" t="n">
        <v>14360526</v>
      </c>
      <c r="B14030" t="n">
        <v>57573</v>
      </c>
      <c r="C14030" t="inlineStr">
        <is>
          <t>1436/05/26</t>
        </is>
      </c>
    </row>
    <row r="14031">
      <c r="A14031" t="n">
        <v>14360527</v>
      </c>
      <c r="B14031" t="n">
        <v>57574</v>
      </c>
      <c r="C14031" t="inlineStr">
        <is>
          <t>1436/05/27</t>
        </is>
      </c>
    </row>
    <row r="14032">
      <c r="A14032" t="n">
        <v>14360528</v>
      </c>
      <c r="B14032" t="n">
        <v>57575</v>
      </c>
      <c r="C14032" t="inlineStr">
        <is>
          <t>1436/05/28</t>
        </is>
      </c>
    </row>
    <row r="14033">
      <c r="A14033" t="n">
        <v>14360529</v>
      </c>
      <c r="B14033" t="n">
        <v>57576</v>
      </c>
      <c r="C14033" t="inlineStr">
        <is>
          <t>1436/05/29</t>
        </is>
      </c>
    </row>
    <row r="14034">
      <c r="A14034" t="n">
        <v>14360530</v>
      </c>
      <c r="B14034" t="n">
        <v>57577</v>
      </c>
      <c r="C14034" t="inlineStr">
        <is>
          <t>1436/05/30</t>
        </is>
      </c>
    </row>
    <row r="14035">
      <c r="A14035" t="n">
        <v>14360531</v>
      </c>
      <c r="B14035" t="n">
        <v>57578</v>
      </c>
      <c r="C14035" t="inlineStr">
        <is>
          <t>1436/05/31</t>
        </is>
      </c>
    </row>
    <row r="14036">
      <c r="A14036" t="n">
        <v>14360601</v>
      </c>
      <c r="B14036" t="n">
        <v>57579</v>
      </c>
      <c r="C14036" t="inlineStr">
        <is>
          <t>1436/06/01</t>
        </is>
      </c>
    </row>
    <row r="14037">
      <c r="A14037" t="n">
        <v>14360602</v>
      </c>
      <c r="B14037" t="n">
        <v>57580</v>
      </c>
      <c r="C14037" t="inlineStr">
        <is>
          <t>1436/06/02</t>
        </is>
      </c>
    </row>
    <row r="14038">
      <c r="A14038" t="n">
        <v>14360603</v>
      </c>
      <c r="B14038" t="n">
        <v>57581</v>
      </c>
      <c r="C14038" t="inlineStr">
        <is>
          <t>1436/06/03</t>
        </is>
      </c>
    </row>
    <row r="14039">
      <c r="A14039" t="n">
        <v>14360604</v>
      </c>
      <c r="B14039" t="n">
        <v>57582</v>
      </c>
      <c r="C14039" t="inlineStr">
        <is>
          <t>1436/06/04</t>
        </is>
      </c>
    </row>
    <row r="14040">
      <c r="A14040" t="n">
        <v>14360605</v>
      </c>
      <c r="B14040" t="n">
        <v>57583</v>
      </c>
      <c r="C14040" t="inlineStr">
        <is>
          <t>1436/06/05</t>
        </is>
      </c>
    </row>
    <row r="14041">
      <c r="A14041" t="n">
        <v>14360606</v>
      </c>
      <c r="B14041" t="n">
        <v>57584</v>
      </c>
      <c r="C14041" t="inlineStr">
        <is>
          <t>1436/06/06</t>
        </is>
      </c>
    </row>
    <row r="14042">
      <c r="A14042" t="n">
        <v>14360607</v>
      </c>
      <c r="B14042" t="n">
        <v>57585</v>
      </c>
      <c r="C14042" t="inlineStr">
        <is>
          <t>1436/06/07</t>
        </is>
      </c>
    </row>
    <row r="14043">
      <c r="A14043" t="n">
        <v>14360608</v>
      </c>
      <c r="B14043" t="n">
        <v>57586</v>
      </c>
      <c r="C14043" t="inlineStr">
        <is>
          <t>1436/06/08</t>
        </is>
      </c>
    </row>
    <row r="14044">
      <c r="A14044" t="n">
        <v>14360609</v>
      </c>
      <c r="B14044" t="n">
        <v>57587</v>
      </c>
      <c r="C14044" t="inlineStr">
        <is>
          <t>1436/06/09</t>
        </is>
      </c>
    </row>
    <row r="14045">
      <c r="A14045" t="n">
        <v>14360610</v>
      </c>
      <c r="B14045" t="n">
        <v>57588</v>
      </c>
      <c r="C14045" t="inlineStr">
        <is>
          <t>1436/06/10</t>
        </is>
      </c>
    </row>
    <row r="14046">
      <c r="A14046" t="n">
        <v>14360611</v>
      </c>
      <c r="B14046" t="n">
        <v>57589</v>
      </c>
      <c r="C14046" t="inlineStr">
        <is>
          <t>1436/06/11</t>
        </is>
      </c>
    </row>
    <row r="14047">
      <c r="A14047" t="n">
        <v>14360612</v>
      </c>
      <c r="B14047" t="n">
        <v>57590</v>
      </c>
      <c r="C14047" t="inlineStr">
        <is>
          <t>1436/06/12</t>
        </is>
      </c>
    </row>
    <row r="14048">
      <c r="A14048" t="n">
        <v>14360613</v>
      </c>
      <c r="B14048" t="n">
        <v>57591</v>
      </c>
      <c r="C14048" t="inlineStr">
        <is>
          <t>1436/06/13</t>
        </is>
      </c>
    </row>
    <row r="14049">
      <c r="A14049" t="n">
        <v>14360614</v>
      </c>
      <c r="B14049" t="n">
        <v>57592</v>
      </c>
      <c r="C14049" t="inlineStr">
        <is>
          <t>1436/06/14</t>
        </is>
      </c>
    </row>
    <row r="14050">
      <c r="A14050" t="n">
        <v>14360615</v>
      </c>
      <c r="B14050" t="n">
        <v>57593</v>
      </c>
      <c r="C14050" t="inlineStr">
        <is>
          <t>1436/06/15</t>
        </is>
      </c>
    </row>
    <row r="14051">
      <c r="A14051" t="n">
        <v>14360616</v>
      </c>
      <c r="B14051" t="n">
        <v>57594</v>
      </c>
      <c r="C14051" t="inlineStr">
        <is>
          <t>1436/06/16</t>
        </is>
      </c>
    </row>
    <row r="14052">
      <c r="A14052" t="n">
        <v>14360617</v>
      </c>
      <c r="B14052" t="n">
        <v>57595</v>
      </c>
      <c r="C14052" t="inlineStr">
        <is>
          <t>1436/06/17</t>
        </is>
      </c>
    </row>
    <row r="14053">
      <c r="A14053" t="n">
        <v>14360618</v>
      </c>
      <c r="B14053" t="n">
        <v>57596</v>
      </c>
      <c r="C14053" t="inlineStr">
        <is>
          <t>1436/06/18</t>
        </is>
      </c>
    </row>
    <row r="14054">
      <c r="A14054" t="n">
        <v>14360619</v>
      </c>
      <c r="B14054" t="n">
        <v>57597</v>
      </c>
      <c r="C14054" t="inlineStr">
        <is>
          <t>1436/06/19</t>
        </is>
      </c>
    </row>
    <row r="14055">
      <c r="A14055" t="n">
        <v>14360620</v>
      </c>
      <c r="B14055" t="n">
        <v>57598</v>
      </c>
      <c r="C14055" t="inlineStr">
        <is>
          <t>1436/06/20</t>
        </is>
      </c>
    </row>
    <row r="14056">
      <c r="A14056" t="n">
        <v>14360621</v>
      </c>
      <c r="B14056" t="n">
        <v>57599</v>
      </c>
      <c r="C14056" t="inlineStr">
        <is>
          <t>1436/06/21</t>
        </is>
      </c>
    </row>
    <row r="14057">
      <c r="A14057" t="n">
        <v>14360622</v>
      </c>
      <c r="B14057" t="n">
        <v>57600</v>
      </c>
      <c r="C14057" t="inlineStr">
        <is>
          <t>1436/06/22</t>
        </is>
      </c>
    </row>
    <row r="14058">
      <c r="A14058" t="n">
        <v>14360623</v>
      </c>
      <c r="B14058" t="n">
        <v>57601</v>
      </c>
      <c r="C14058" t="inlineStr">
        <is>
          <t>1436/06/23</t>
        </is>
      </c>
    </row>
    <row r="14059">
      <c r="A14059" t="n">
        <v>14360624</v>
      </c>
      <c r="B14059" t="n">
        <v>57602</v>
      </c>
      <c r="C14059" t="inlineStr">
        <is>
          <t>1436/06/24</t>
        </is>
      </c>
    </row>
    <row r="14060">
      <c r="A14060" t="n">
        <v>14360625</v>
      </c>
      <c r="B14060" t="n">
        <v>57603</v>
      </c>
      <c r="C14060" t="inlineStr">
        <is>
          <t>1436/06/25</t>
        </is>
      </c>
    </row>
    <row r="14061">
      <c r="A14061" t="n">
        <v>14360626</v>
      </c>
      <c r="B14061" t="n">
        <v>57604</v>
      </c>
      <c r="C14061" t="inlineStr">
        <is>
          <t>1436/06/26</t>
        </is>
      </c>
    </row>
    <row r="14062">
      <c r="A14062" t="n">
        <v>14360627</v>
      </c>
      <c r="B14062" t="n">
        <v>57605</v>
      </c>
      <c r="C14062" t="inlineStr">
        <is>
          <t>1436/06/27</t>
        </is>
      </c>
    </row>
    <row r="14063">
      <c r="A14063" t="n">
        <v>14360628</v>
      </c>
      <c r="B14063" t="n">
        <v>57606</v>
      </c>
      <c r="C14063" t="inlineStr">
        <is>
          <t>1436/06/28</t>
        </is>
      </c>
    </row>
    <row r="14064">
      <c r="A14064" t="n">
        <v>14360629</v>
      </c>
      <c r="B14064" t="n">
        <v>57607</v>
      </c>
      <c r="C14064" t="inlineStr">
        <is>
          <t>1436/06/29</t>
        </is>
      </c>
    </row>
    <row r="14065">
      <c r="A14065" t="n">
        <v>14360630</v>
      </c>
      <c r="B14065" t="n">
        <v>57608</v>
      </c>
      <c r="C14065" t="inlineStr">
        <is>
          <t>1436/06/30</t>
        </is>
      </c>
    </row>
    <row r="14066">
      <c r="A14066" t="n">
        <v>14360631</v>
      </c>
      <c r="B14066" t="n">
        <v>57609</v>
      </c>
      <c r="C14066" t="inlineStr">
        <is>
          <t>1436/06/31</t>
        </is>
      </c>
    </row>
    <row r="14067">
      <c r="A14067" t="n">
        <v>14360701</v>
      </c>
      <c r="B14067" t="n">
        <v>57610</v>
      </c>
      <c r="C14067" t="inlineStr">
        <is>
          <t>1436/07/01</t>
        </is>
      </c>
    </row>
    <row r="14068">
      <c r="A14068" t="n">
        <v>14360702</v>
      </c>
      <c r="B14068" t="n">
        <v>57611</v>
      </c>
      <c r="C14068" t="inlineStr">
        <is>
          <t>1436/07/02</t>
        </is>
      </c>
    </row>
    <row r="14069">
      <c r="A14069" t="n">
        <v>14360703</v>
      </c>
      <c r="B14069" t="n">
        <v>57612</v>
      </c>
      <c r="C14069" t="inlineStr">
        <is>
          <t>1436/07/03</t>
        </is>
      </c>
    </row>
    <row r="14070">
      <c r="A14070" t="n">
        <v>14360704</v>
      </c>
      <c r="B14070" t="n">
        <v>57613</v>
      </c>
      <c r="C14070" t="inlineStr">
        <is>
          <t>1436/07/04</t>
        </is>
      </c>
    </row>
    <row r="14071">
      <c r="A14071" t="n">
        <v>14360705</v>
      </c>
      <c r="B14071" t="n">
        <v>57614</v>
      </c>
      <c r="C14071" t="inlineStr">
        <is>
          <t>1436/07/05</t>
        </is>
      </c>
    </row>
    <row r="14072">
      <c r="A14072" t="n">
        <v>14360706</v>
      </c>
      <c r="B14072" t="n">
        <v>57615</v>
      </c>
      <c r="C14072" t="inlineStr">
        <is>
          <t>1436/07/06</t>
        </is>
      </c>
    </row>
    <row r="14073">
      <c r="A14073" t="n">
        <v>14360707</v>
      </c>
      <c r="B14073" t="n">
        <v>57616</v>
      </c>
      <c r="C14073" t="inlineStr">
        <is>
          <t>1436/07/07</t>
        </is>
      </c>
    </row>
    <row r="14074">
      <c r="A14074" t="n">
        <v>14360708</v>
      </c>
      <c r="B14074" t="n">
        <v>57617</v>
      </c>
      <c r="C14074" t="inlineStr">
        <is>
          <t>1436/07/08</t>
        </is>
      </c>
    </row>
    <row r="14075">
      <c r="A14075" t="n">
        <v>14360709</v>
      </c>
      <c r="B14075" t="n">
        <v>57618</v>
      </c>
      <c r="C14075" t="inlineStr">
        <is>
          <t>1436/07/09</t>
        </is>
      </c>
    </row>
    <row r="14076">
      <c r="A14076" t="n">
        <v>14360710</v>
      </c>
      <c r="B14076" t="n">
        <v>57619</v>
      </c>
      <c r="C14076" t="inlineStr">
        <is>
          <t>1436/07/10</t>
        </is>
      </c>
    </row>
    <row r="14077">
      <c r="A14077" t="n">
        <v>14360711</v>
      </c>
      <c r="B14077" t="n">
        <v>57620</v>
      </c>
      <c r="C14077" t="inlineStr">
        <is>
          <t>1436/07/11</t>
        </is>
      </c>
    </row>
    <row r="14078">
      <c r="A14078" t="n">
        <v>14360712</v>
      </c>
      <c r="B14078" t="n">
        <v>57621</v>
      </c>
      <c r="C14078" t="inlineStr">
        <is>
          <t>1436/07/12</t>
        </is>
      </c>
    </row>
    <row r="14079">
      <c r="A14079" t="n">
        <v>14360713</v>
      </c>
      <c r="B14079" t="n">
        <v>57622</v>
      </c>
      <c r="C14079" t="inlineStr">
        <is>
          <t>1436/07/13</t>
        </is>
      </c>
    </row>
    <row r="14080">
      <c r="A14080" t="n">
        <v>14360714</v>
      </c>
      <c r="B14080" t="n">
        <v>57623</v>
      </c>
      <c r="C14080" t="inlineStr">
        <is>
          <t>1436/07/14</t>
        </is>
      </c>
    </row>
    <row r="14081">
      <c r="A14081" t="n">
        <v>14360715</v>
      </c>
      <c r="B14081" t="n">
        <v>57624</v>
      </c>
      <c r="C14081" t="inlineStr">
        <is>
          <t>1436/07/15</t>
        </is>
      </c>
    </row>
    <row r="14082">
      <c r="A14082" t="n">
        <v>14360716</v>
      </c>
      <c r="B14082" t="n">
        <v>57625</v>
      </c>
      <c r="C14082" t="inlineStr">
        <is>
          <t>1436/07/16</t>
        </is>
      </c>
    </row>
    <row r="14083">
      <c r="A14083" t="n">
        <v>14360717</v>
      </c>
      <c r="B14083" t="n">
        <v>57626</v>
      </c>
      <c r="C14083" t="inlineStr">
        <is>
          <t>1436/07/17</t>
        </is>
      </c>
    </row>
    <row r="14084">
      <c r="A14084" t="n">
        <v>14360718</v>
      </c>
      <c r="B14084" t="n">
        <v>57627</v>
      </c>
      <c r="C14084" t="inlineStr">
        <is>
          <t>1436/07/18</t>
        </is>
      </c>
    </row>
    <row r="14085">
      <c r="A14085" t="n">
        <v>14360719</v>
      </c>
      <c r="B14085" t="n">
        <v>57628</v>
      </c>
      <c r="C14085" t="inlineStr">
        <is>
          <t>1436/07/19</t>
        </is>
      </c>
    </row>
    <row r="14086">
      <c r="A14086" t="n">
        <v>14360720</v>
      </c>
      <c r="B14086" t="n">
        <v>57629</v>
      </c>
      <c r="C14086" t="inlineStr">
        <is>
          <t>1436/07/20</t>
        </is>
      </c>
    </row>
    <row r="14087">
      <c r="A14087" t="n">
        <v>14360721</v>
      </c>
      <c r="B14087" t="n">
        <v>57630</v>
      </c>
      <c r="C14087" t="inlineStr">
        <is>
          <t>1436/07/21</t>
        </is>
      </c>
    </row>
    <row r="14088">
      <c r="A14088" t="n">
        <v>14360722</v>
      </c>
      <c r="B14088" t="n">
        <v>57631</v>
      </c>
      <c r="C14088" t="inlineStr">
        <is>
          <t>1436/07/22</t>
        </is>
      </c>
    </row>
    <row r="14089">
      <c r="A14089" t="n">
        <v>14360723</v>
      </c>
      <c r="B14089" t="n">
        <v>57632</v>
      </c>
      <c r="C14089" t="inlineStr">
        <is>
          <t>1436/07/23</t>
        </is>
      </c>
    </row>
    <row r="14090">
      <c r="A14090" t="n">
        <v>14360724</v>
      </c>
      <c r="B14090" t="n">
        <v>57633</v>
      </c>
      <c r="C14090" t="inlineStr">
        <is>
          <t>1436/07/24</t>
        </is>
      </c>
    </row>
    <row r="14091">
      <c r="A14091" t="n">
        <v>14360725</v>
      </c>
      <c r="B14091" t="n">
        <v>57634</v>
      </c>
      <c r="C14091" t="inlineStr">
        <is>
          <t>1436/07/25</t>
        </is>
      </c>
    </row>
    <row r="14092">
      <c r="A14092" t="n">
        <v>14360726</v>
      </c>
      <c r="B14092" t="n">
        <v>57635</v>
      </c>
      <c r="C14092" t="inlineStr">
        <is>
          <t>1436/07/26</t>
        </is>
      </c>
    </row>
    <row r="14093">
      <c r="A14093" t="n">
        <v>14360727</v>
      </c>
      <c r="B14093" t="n">
        <v>57636</v>
      </c>
      <c r="C14093" t="inlineStr">
        <is>
          <t>1436/07/27</t>
        </is>
      </c>
    </row>
    <row r="14094">
      <c r="A14094" t="n">
        <v>14360728</v>
      </c>
      <c r="B14094" t="n">
        <v>57637</v>
      </c>
      <c r="C14094" t="inlineStr">
        <is>
          <t>1436/07/28</t>
        </is>
      </c>
    </row>
    <row r="14095">
      <c r="A14095" t="n">
        <v>14360729</v>
      </c>
      <c r="B14095" t="n">
        <v>57638</v>
      </c>
      <c r="C14095" t="inlineStr">
        <is>
          <t>1436/07/29</t>
        </is>
      </c>
    </row>
    <row r="14096">
      <c r="A14096" t="n">
        <v>14360730</v>
      </c>
      <c r="B14096" t="n">
        <v>57639</v>
      </c>
      <c r="C14096" t="inlineStr">
        <is>
          <t>1436/07/30</t>
        </is>
      </c>
    </row>
    <row r="14097">
      <c r="A14097" t="n">
        <v>14360801</v>
      </c>
      <c r="B14097" t="n">
        <v>57640</v>
      </c>
      <c r="C14097" t="inlineStr">
        <is>
          <t>1436/08/01</t>
        </is>
      </c>
    </row>
    <row r="14098">
      <c r="A14098" t="n">
        <v>14360802</v>
      </c>
      <c r="B14098" t="n">
        <v>57641</v>
      </c>
      <c r="C14098" t="inlineStr">
        <is>
          <t>1436/08/02</t>
        </is>
      </c>
    </row>
    <row r="14099">
      <c r="A14099" t="n">
        <v>14360803</v>
      </c>
      <c r="B14099" t="n">
        <v>57642</v>
      </c>
      <c r="C14099" t="inlineStr">
        <is>
          <t>1436/08/03</t>
        </is>
      </c>
    </row>
    <row r="14100">
      <c r="A14100" t="n">
        <v>14360804</v>
      </c>
      <c r="B14100" t="n">
        <v>57643</v>
      </c>
      <c r="C14100" t="inlineStr">
        <is>
          <t>1436/08/04</t>
        </is>
      </c>
    </row>
    <row r="14101">
      <c r="A14101" t="n">
        <v>14360805</v>
      </c>
      <c r="B14101" t="n">
        <v>57644</v>
      </c>
      <c r="C14101" t="inlineStr">
        <is>
          <t>1436/08/05</t>
        </is>
      </c>
    </row>
    <row r="14102">
      <c r="A14102" t="n">
        <v>14360806</v>
      </c>
      <c r="B14102" t="n">
        <v>57645</v>
      </c>
      <c r="C14102" t="inlineStr">
        <is>
          <t>1436/08/06</t>
        </is>
      </c>
    </row>
    <row r="14103">
      <c r="A14103" t="n">
        <v>14360807</v>
      </c>
      <c r="B14103" t="n">
        <v>57646</v>
      </c>
      <c r="C14103" t="inlineStr">
        <is>
          <t>1436/08/07</t>
        </is>
      </c>
    </row>
    <row r="14104">
      <c r="A14104" t="n">
        <v>14360808</v>
      </c>
      <c r="B14104" t="n">
        <v>57647</v>
      </c>
      <c r="C14104" t="inlineStr">
        <is>
          <t>1436/08/08</t>
        </is>
      </c>
    </row>
    <row r="14105">
      <c r="A14105" t="n">
        <v>14360809</v>
      </c>
      <c r="B14105" t="n">
        <v>57648</v>
      </c>
      <c r="C14105" t="inlineStr">
        <is>
          <t>1436/08/09</t>
        </is>
      </c>
    </row>
    <row r="14106">
      <c r="A14106" t="n">
        <v>14360810</v>
      </c>
      <c r="B14106" t="n">
        <v>57649</v>
      </c>
      <c r="C14106" t="inlineStr">
        <is>
          <t>1436/08/10</t>
        </is>
      </c>
    </row>
    <row r="14107">
      <c r="A14107" t="n">
        <v>14360811</v>
      </c>
      <c r="B14107" t="n">
        <v>57650</v>
      </c>
      <c r="C14107" t="inlineStr">
        <is>
          <t>1436/08/11</t>
        </is>
      </c>
    </row>
    <row r="14108">
      <c r="A14108" t="n">
        <v>14360812</v>
      </c>
      <c r="B14108" t="n">
        <v>57651</v>
      </c>
      <c r="C14108" t="inlineStr">
        <is>
          <t>1436/08/12</t>
        </is>
      </c>
    </row>
    <row r="14109">
      <c r="A14109" t="n">
        <v>14360813</v>
      </c>
      <c r="B14109" t="n">
        <v>57652</v>
      </c>
      <c r="C14109" t="inlineStr">
        <is>
          <t>1436/08/13</t>
        </is>
      </c>
    </row>
    <row r="14110">
      <c r="A14110" t="n">
        <v>14360814</v>
      </c>
      <c r="B14110" t="n">
        <v>57653</v>
      </c>
      <c r="C14110" t="inlineStr">
        <is>
          <t>1436/08/14</t>
        </is>
      </c>
    </row>
    <row r="14111">
      <c r="A14111" t="n">
        <v>14360815</v>
      </c>
      <c r="B14111" t="n">
        <v>57654</v>
      </c>
      <c r="C14111" t="inlineStr">
        <is>
          <t>1436/08/15</t>
        </is>
      </c>
    </row>
    <row r="14112">
      <c r="A14112" t="n">
        <v>14360816</v>
      </c>
      <c r="B14112" t="n">
        <v>57655</v>
      </c>
      <c r="C14112" t="inlineStr">
        <is>
          <t>1436/08/16</t>
        </is>
      </c>
    </row>
    <row r="14113">
      <c r="A14113" t="n">
        <v>14360817</v>
      </c>
      <c r="B14113" t="n">
        <v>57656</v>
      </c>
      <c r="C14113" t="inlineStr">
        <is>
          <t>1436/08/17</t>
        </is>
      </c>
    </row>
    <row r="14114">
      <c r="A14114" t="n">
        <v>14360818</v>
      </c>
      <c r="B14114" t="n">
        <v>57657</v>
      </c>
      <c r="C14114" t="inlineStr">
        <is>
          <t>1436/08/18</t>
        </is>
      </c>
    </row>
    <row r="14115">
      <c r="A14115" t="n">
        <v>14360819</v>
      </c>
      <c r="B14115" t="n">
        <v>57658</v>
      </c>
      <c r="C14115" t="inlineStr">
        <is>
          <t>1436/08/19</t>
        </is>
      </c>
    </row>
    <row r="14116">
      <c r="A14116" t="n">
        <v>14360820</v>
      </c>
      <c r="B14116" t="n">
        <v>57659</v>
      </c>
      <c r="C14116" t="inlineStr">
        <is>
          <t>1436/08/20</t>
        </is>
      </c>
    </row>
    <row r="14117">
      <c r="A14117" t="n">
        <v>14360821</v>
      </c>
      <c r="B14117" t="n">
        <v>57660</v>
      </c>
      <c r="C14117" t="inlineStr">
        <is>
          <t>1436/08/21</t>
        </is>
      </c>
    </row>
    <row r="14118">
      <c r="A14118" t="n">
        <v>14360822</v>
      </c>
      <c r="B14118" t="n">
        <v>57661</v>
      </c>
      <c r="C14118" t="inlineStr">
        <is>
          <t>1436/08/22</t>
        </is>
      </c>
    </row>
    <row r="14119">
      <c r="A14119" t="n">
        <v>14360823</v>
      </c>
      <c r="B14119" t="n">
        <v>57662</v>
      </c>
      <c r="C14119" t="inlineStr">
        <is>
          <t>1436/08/23</t>
        </is>
      </c>
    </row>
    <row r="14120">
      <c r="A14120" t="n">
        <v>14360824</v>
      </c>
      <c r="B14120" t="n">
        <v>57663</v>
      </c>
      <c r="C14120" t="inlineStr">
        <is>
          <t>1436/08/24</t>
        </is>
      </c>
    </row>
    <row r="14121">
      <c r="A14121" t="n">
        <v>14360825</v>
      </c>
      <c r="B14121" t="n">
        <v>57664</v>
      </c>
      <c r="C14121" t="inlineStr">
        <is>
          <t>1436/08/25</t>
        </is>
      </c>
    </row>
    <row r="14122">
      <c r="A14122" t="n">
        <v>14360826</v>
      </c>
      <c r="B14122" t="n">
        <v>57665</v>
      </c>
      <c r="C14122" t="inlineStr">
        <is>
          <t>1436/08/26</t>
        </is>
      </c>
    </row>
    <row r="14123">
      <c r="A14123" t="n">
        <v>14360827</v>
      </c>
      <c r="B14123" t="n">
        <v>57666</v>
      </c>
      <c r="C14123" t="inlineStr">
        <is>
          <t>1436/08/27</t>
        </is>
      </c>
    </row>
    <row r="14124">
      <c r="A14124" t="n">
        <v>14360828</v>
      </c>
      <c r="B14124" t="n">
        <v>57667</v>
      </c>
      <c r="C14124" t="inlineStr">
        <is>
          <t>1436/08/28</t>
        </is>
      </c>
    </row>
    <row r="14125">
      <c r="A14125" t="n">
        <v>14360829</v>
      </c>
      <c r="B14125" t="n">
        <v>57668</v>
      </c>
      <c r="C14125" t="inlineStr">
        <is>
          <t>1436/08/29</t>
        </is>
      </c>
    </row>
    <row r="14126">
      <c r="A14126" t="n">
        <v>14360830</v>
      </c>
      <c r="B14126" t="n">
        <v>57669</v>
      </c>
      <c r="C14126" t="inlineStr">
        <is>
          <t>1436/08/30</t>
        </is>
      </c>
    </row>
    <row r="14127">
      <c r="A14127" t="n">
        <v>14360901</v>
      </c>
      <c r="B14127" t="n">
        <v>57670</v>
      </c>
      <c r="C14127" t="inlineStr">
        <is>
          <t>1436/09/01</t>
        </is>
      </c>
    </row>
    <row r="14128">
      <c r="A14128" t="n">
        <v>14360902</v>
      </c>
      <c r="B14128" t="n">
        <v>57671</v>
      </c>
      <c r="C14128" t="inlineStr">
        <is>
          <t>1436/09/02</t>
        </is>
      </c>
    </row>
    <row r="14129">
      <c r="A14129" t="n">
        <v>14360903</v>
      </c>
      <c r="B14129" t="n">
        <v>57672</v>
      </c>
      <c r="C14129" t="inlineStr">
        <is>
          <t>1436/09/03</t>
        </is>
      </c>
    </row>
    <row r="14130">
      <c r="A14130" t="n">
        <v>14360904</v>
      </c>
      <c r="B14130" t="n">
        <v>57673</v>
      </c>
      <c r="C14130" t="inlineStr">
        <is>
          <t>1436/09/04</t>
        </is>
      </c>
    </row>
    <row r="14131">
      <c r="A14131" t="n">
        <v>14360905</v>
      </c>
      <c r="B14131" t="n">
        <v>57674</v>
      </c>
      <c r="C14131" t="inlineStr">
        <is>
          <t>1436/09/05</t>
        </is>
      </c>
    </row>
    <row r="14132">
      <c r="A14132" t="n">
        <v>14360906</v>
      </c>
      <c r="B14132" t="n">
        <v>57675</v>
      </c>
      <c r="C14132" t="inlineStr">
        <is>
          <t>1436/09/06</t>
        </is>
      </c>
    </row>
    <row r="14133">
      <c r="A14133" t="n">
        <v>14360907</v>
      </c>
      <c r="B14133" t="n">
        <v>57676</v>
      </c>
      <c r="C14133" t="inlineStr">
        <is>
          <t>1436/09/07</t>
        </is>
      </c>
    </row>
    <row r="14134">
      <c r="A14134" t="n">
        <v>14360908</v>
      </c>
      <c r="B14134" t="n">
        <v>57677</v>
      </c>
      <c r="C14134" t="inlineStr">
        <is>
          <t>1436/09/08</t>
        </is>
      </c>
    </row>
    <row r="14135">
      <c r="A14135" t="n">
        <v>14360909</v>
      </c>
      <c r="B14135" t="n">
        <v>57678</v>
      </c>
      <c r="C14135" t="inlineStr">
        <is>
          <t>1436/09/09</t>
        </is>
      </c>
    </row>
    <row r="14136">
      <c r="A14136" t="n">
        <v>14360910</v>
      </c>
      <c r="B14136" t="n">
        <v>57679</v>
      </c>
      <c r="C14136" t="inlineStr">
        <is>
          <t>1436/09/10</t>
        </is>
      </c>
    </row>
    <row r="14137">
      <c r="A14137" t="n">
        <v>14360911</v>
      </c>
      <c r="B14137" t="n">
        <v>57680</v>
      </c>
      <c r="C14137" t="inlineStr">
        <is>
          <t>1436/09/11</t>
        </is>
      </c>
    </row>
    <row r="14138">
      <c r="A14138" t="n">
        <v>14360912</v>
      </c>
      <c r="B14138" t="n">
        <v>57681</v>
      </c>
      <c r="C14138" t="inlineStr">
        <is>
          <t>1436/09/12</t>
        </is>
      </c>
    </row>
    <row r="14139">
      <c r="A14139" t="n">
        <v>14360913</v>
      </c>
      <c r="B14139" t="n">
        <v>57682</v>
      </c>
      <c r="C14139" t="inlineStr">
        <is>
          <t>1436/09/13</t>
        </is>
      </c>
    </row>
    <row r="14140">
      <c r="A14140" t="n">
        <v>14360914</v>
      </c>
      <c r="B14140" t="n">
        <v>57683</v>
      </c>
      <c r="C14140" t="inlineStr">
        <is>
          <t>1436/09/14</t>
        </is>
      </c>
    </row>
    <row r="14141">
      <c r="A14141" t="n">
        <v>14360915</v>
      </c>
      <c r="B14141" t="n">
        <v>57684</v>
      </c>
      <c r="C14141" t="inlineStr">
        <is>
          <t>1436/09/15</t>
        </is>
      </c>
    </row>
    <row r="14142">
      <c r="A14142" t="n">
        <v>14360916</v>
      </c>
      <c r="B14142" t="n">
        <v>57685</v>
      </c>
      <c r="C14142" t="inlineStr">
        <is>
          <t>1436/09/16</t>
        </is>
      </c>
    </row>
    <row r="14143">
      <c r="A14143" t="n">
        <v>14360917</v>
      </c>
      <c r="B14143" t="n">
        <v>57686</v>
      </c>
      <c r="C14143" t="inlineStr">
        <is>
          <t>1436/09/17</t>
        </is>
      </c>
    </row>
    <row r="14144">
      <c r="A14144" t="n">
        <v>14360918</v>
      </c>
      <c r="B14144" t="n">
        <v>57687</v>
      </c>
      <c r="C14144" t="inlineStr">
        <is>
          <t>1436/09/18</t>
        </is>
      </c>
    </row>
    <row r="14145">
      <c r="A14145" t="n">
        <v>14360919</v>
      </c>
      <c r="B14145" t="n">
        <v>57688</v>
      </c>
      <c r="C14145" t="inlineStr">
        <is>
          <t>1436/09/19</t>
        </is>
      </c>
    </row>
    <row r="14146">
      <c r="A14146" t="n">
        <v>14360920</v>
      </c>
      <c r="B14146" t="n">
        <v>57689</v>
      </c>
      <c r="C14146" t="inlineStr">
        <is>
          <t>1436/09/20</t>
        </is>
      </c>
    </row>
    <row r="14147">
      <c r="A14147" t="n">
        <v>14360921</v>
      </c>
      <c r="B14147" t="n">
        <v>57690</v>
      </c>
      <c r="C14147" t="inlineStr">
        <is>
          <t>1436/09/21</t>
        </is>
      </c>
    </row>
    <row r="14148">
      <c r="A14148" t="n">
        <v>14360922</v>
      </c>
      <c r="B14148" t="n">
        <v>57691</v>
      </c>
      <c r="C14148" t="inlineStr">
        <is>
          <t>1436/09/22</t>
        </is>
      </c>
    </row>
    <row r="14149">
      <c r="A14149" t="n">
        <v>14360923</v>
      </c>
      <c r="B14149" t="n">
        <v>57692</v>
      </c>
      <c r="C14149" t="inlineStr">
        <is>
          <t>1436/09/23</t>
        </is>
      </c>
    </row>
    <row r="14150">
      <c r="A14150" t="n">
        <v>14360924</v>
      </c>
      <c r="B14150" t="n">
        <v>57693</v>
      </c>
      <c r="C14150" t="inlineStr">
        <is>
          <t>1436/09/24</t>
        </is>
      </c>
    </row>
    <row r="14151">
      <c r="A14151" t="n">
        <v>14360925</v>
      </c>
      <c r="B14151" t="n">
        <v>57694</v>
      </c>
      <c r="C14151" t="inlineStr">
        <is>
          <t>1436/09/25</t>
        </is>
      </c>
    </row>
    <row r="14152">
      <c r="A14152" t="n">
        <v>14360926</v>
      </c>
      <c r="B14152" t="n">
        <v>57695</v>
      </c>
      <c r="C14152" t="inlineStr">
        <is>
          <t>1436/09/26</t>
        </is>
      </c>
    </row>
    <row r="14153">
      <c r="A14153" t="n">
        <v>14360927</v>
      </c>
      <c r="B14153" t="n">
        <v>57696</v>
      </c>
      <c r="C14153" t="inlineStr">
        <is>
          <t>1436/09/27</t>
        </is>
      </c>
    </row>
    <row r="14154">
      <c r="A14154" t="n">
        <v>14360928</v>
      </c>
      <c r="B14154" t="n">
        <v>57697</v>
      </c>
      <c r="C14154" t="inlineStr">
        <is>
          <t>1436/09/28</t>
        </is>
      </c>
    </row>
    <row r="14155">
      <c r="A14155" t="n">
        <v>14360929</v>
      </c>
      <c r="B14155" t="n">
        <v>57698</v>
      </c>
      <c r="C14155" t="inlineStr">
        <is>
          <t>1436/09/29</t>
        </is>
      </c>
    </row>
    <row r="14156">
      <c r="A14156" t="n">
        <v>14360930</v>
      </c>
      <c r="B14156" t="n">
        <v>57699</v>
      </c>
      <c r="C14156" t="inlineStr">
        <is>
          <t>1436/09/30</t>
        </is>
      </c>
    </row>
    <row r="14157">
      <c r="A14157" t="n">
        <v>14361001</v>
      </c>
      <c r="B14157" t="n">
        <v>57700</v>
      </c>
      <c r="C14157" t="inlineStr">
        <is>
          <t>1436/10/01</t>
        </is>
      </c>
    </row>
    <row r="14158">
      <c r="A14158" t="n">
        <v>14361002</v>
      </c>
      <c r="B14158" t="n">
        <v>57701</v>
      </c>
      <c r="C14158" t="inlineStr">
        <is>
          <t>1436/10/02</t>
        </is>
      </c>
    </row>
    <row r="14159">
      <c r="A14159" t="n">
        <v>14361003</v>
      </c>
      <c r="B14159" t="n">
        <v>57702</v>
      </c>
      <c r="C14159" t="inlineStr">
        <is>
          <t>1436/10/03</t>
        </is>
      </c>
    </row>
    <row r="14160">
      <c r="A14160" t="n">
        <v>14361004</v>
      </c>
      <c r="B14160" t="n">
        <v>57703</v>
      </c>
      <c r="C14160" t="inlineStr">
        <is>
          <t>1436/10/04</t>
        </is>
      </c>
    </row>
    <row r="14161">
      <c r="A14161" t="n">
        <v>14361005</v>
      </c>
      <c r="B14161" t="n">
        <v>57704</v>
      </c>
      <c r="C14161" t="inlineStr">
        <is>
          <t>1436/10/05</t>
        </is>
      </c>
    </row>
    <row r="14162">
      <c r="A14162" t="n">
        <v>14361006</v>
      </c>
      <c r="B14162" t="n">
        <v>57705</v>
      </c>
      <c r="C14162" t="inlineStr">
        <is>
          <t>1436/10/06</t>
        </is>
      </c>
    </row>
    <row r="14163">
      <c r="A14163" t="n">
        <v>14361007</v>
      </c>
      <c r="B14163" t="n">
        <v>57706</v>
      </c>
      <c r="C14163" t="inlineStr">
        <is>
          <t>1436/10/07</t>
        </is>
      </c>
    </row>
    <row r="14164">
      <c r="A14164" t="n">
        <v>14361008</v>
      </c>
      <c r="B14164" t="n">
        <v>57707</v>
      </c>
      <c r="C14164" t="inlineStr">
        <is>
          <t>1436/10/08</t>
        </is>
      </c>
    </row>
    <row r="14165">
      <c r="A14165" t="n">
        <v>14361009</v>
      </c>
      <c r="B14165" t="n">
        <v>57708</v>
      </c>
      <c r="C14165" t="inlineStr">
        <is>
          <t>1436/10/09</t>
        </is>
      </c>
    </row>
    <row r="14166">
      <c r="A14166" t="n">
        <v>14361010</v>
      </c>
      <c r="B14166" t="n">
        <v>57709</v>
      </c>
      <c r="C14166" t="inlineStr">
        <is>
          <t>1436/10/10</t>
        </is>
      </c>
    </row>
    <row r="14167">
      <c r="A14167" t="n">
        <v>14361011</v>
      </c>
      <c r="B14167" t="n">
        <v>57710</v>
      </c>
      <c r="C14167" t="inlineStr">
        <is>
          <t>1436/10/11</t>
        </is>
      </c>
    </row>
    <row r="14168">
      <c r="A14168" t="n">
        <v>14361012</v>
      </c>
      <c r="B14168" t="n">
        <v>57711</v>
      </c>
      <c r="C14168" t="inlineStr">
        <is>
          <t>1436/10/12</t>
        </is>
      </c>
    </row>
    <row r="14169">
      <c r="A14169" t="n">
        <v>14361013</v>
      </c>
      <c r="B14169" t="n">
        <v>57712</v>
      </c>
      <c r="C14169" t="inlineStr">
        <is>
          <t>1436/10/13</t>
        </is>
      </c>
    </row>
    <row r="14170">
      <c r="A14170" t="n">
        <v>14361014</v>
      </c>
      <c r="B14170" t="n">
        <v>57713</v>
      </c>
      <c r="C14170" t="inlineStr">
        <is>
          <t>1436/10/14</t>
        </is>
      </c>
    </row>
    <row r="14171">
      <c r="A14171" t="n">
        <v>14361015</v>
      </c>
      <c r="B14171" t="n">
        <v>57714</v>
      </c>
      <c r="C14171" t="inlineStr">
        <is>
          <t>1436/10/15</t>
        </is>
      </c>
    </row>
    <row r="14172">
      <c r="A14172" t="n">
        <v>14361016</v>
      </c>
      <c r="B14172" t="n">
        <v>57715</v>
      </c>
      <c r="C14172" t="inlineStr">
        <is>
          <t>1436/10/16</t>
        </is>
      </c>
    </row>
    <row r="14173">
      <c r="A14173" t="n">
        <v>14361017</v>
      </c>
      <c r="B14173" t="n">
        <v>57716</v>
      </c>
      <c r="C14173" t="inlineStr">
        <is>
          <t>1436/10/17</t>
        </is>
      </c>
    </row>
    <row r="14174">
      <c r="A14174" t="n">
        <v>14361018</v>
      </c>
      <c r="B14174" t="n">
        <v>57717</v>
      </c>
      <c r="C14174" t="inlineStr">
        <is>
          <t>1436/10/18</t>
        </is>
      </c>
    </row>
    <row r="14175">
      <c r="A14175" t="n">
        <v>14361019</v>
      </c>
      <c r="B14175" t="n">
        <v>57718</v>
      </c>
      <c r="C14175" t="inlineStr">
        <is>
          <t>1436/10/19</t>
        </is>
      </c>
    </row>
    <row r="14176">
      <c r="A14176" t="n">
        <v>14361020</v>
      </c>
      <c r="B14176" t="n">
        <v>57719</v>
      </c>
      <c r="C14176" t="inlineStr">
        <is>
          <t>1436/10/20</t>
        </is>
      </c>
    </row>
    <row r="14177">
      <c r="A14177" t="n">
        <v>14361021</v>
      </c>
      <c r="B14177" t="n">
        <v>57720</v>
      </c>
      <c r="C14177" t="inlineStr">
        <is>
          <t>1436/10/21</t>
        </is>
      </c>
    </row>
    <row r="14178">
      <c r="A14178" t="n">
        <v>14361022</v>
      </c>
      <c r="B14178" t="n">
        <v>57721</v>
      </c>
      <c r="C14178" t="inlineStr">
        <is>
          <t>1436/10/22</t>
        </is>
      </c>
    </row>
    <row r="14179">
      <c r="A14179" t="n">
        <v>14361023</v>
      </c>
      <c r="B14179" t="n">
        <v>57722</v>
      </c>
      <c r="C14179" t="inlineStr">
        <is>
          <t>1436/10/23</t>
        </is>
      </c>
    </row>
    <row r="14180">
      <c r="A14180" t="n">
        <v>14361024</v>
      </c>
      <c r="B14180" t="n">
        <v>57723</v>
      </c>
      <c r="C14180" t="inlineStr">
        <is>
          <t>1436/10/24</t>
        </is>
      </c>
    </row>
    <row r="14181">
      <c r="A14181" t="n">
        <v>14361025</v>
      </c>
      <c r="B14181" t="n">
        <v>57724</v>
      </c>
      <c r="C14181" t="inlineStr">
        <is>
          <t>1436/10/25</t>
        </is>
      </c>
    </row>
    <row r="14182">
      <c r="A14182" t="n">
        <v>14361026</v>
      </c>
      <c r="B14182" t="n">
        <v>57725</v>
      </c>
      <c r="C14182" t="inlineStr">
        <is>
          <t>1436/10/26</t>
        </is>
      </c>
    </row>
    <row r="14183">
      <c r="A14183" t="n">
        <v>14361027</v>
      </c>
      <c r="B14183" t="n">
        <v>57726</v>
      </c>
      <c r="C14183" t="inlineStr">
        <is>
          <t>1436/10/27</t>
        </is>
      </c>
    </row>
    <row r="14184">
      <c r="A14184" t="n">
        <v>14361028</v>
      </c>
      <c r="B14184" t="n">
        <v>57727</v>
      </c>
      <c r="C14184" t="inlineStr">
        <is>
          <t>1436/10/28</t>
        </is>
      </c>
    </row>
    <row r="14185">
      <c r="A14185" t="n">
        <v>14361029</v>
      </c>
      <c r="B14185" t="n">
        <v>57728</v>
      </c>
      <c r="C14185" t="inlineStr">
        <is>
          <t>1436/10/29</t>
        </is>
      </c>
    </row>
    <row r="14186">
      <c r="A14186" t="n">
        <v>14361030</v>
      </c>
      <c r="B14186" t="n">
        <v>57729</v>
      </c>
      <c r="C14186" t="inlineStr">
        <is>
          <t>1436/10/30</t>
        </is>
      </c>
    </row>
    <row r="14187">
      <c r="A14187" t="n">
        <v>14361101</v>
      </c>
      <c r="B14187" t="n">
        <v>57730</v>
      </c>
      <c r="C14187" t="inlineStr">
        <is>
          <t>1436/11/01</t>
        </is>
      </c>
    </row>
    <row r="14188">
      <c r="A14188" t="n">
        <v>14361102</v>
      </c>
      <c r="B14188" t="n">
        <v>57731</v>
      </c>
      <c r="C14188" t="inlineStr">
        <is>
          <t>1436/11/02</t>
        </is>
      </c>
    </row>
    <row r="14189">
      <c r="A14189" t="n">
        <v>14361103</v>
      </c>
      <c r="B14189" t="n">
        <v>57732</v>
      </c>
      <c r="C14189" t="inlineStr">
        <is>
          <t>1436/11/03</t>
        </is>
      </c>
    </row>
    <row r="14190">
      <c r="A14190" t="n">
        <v>14361104</v>
      </c>
      <c r="B14190" t="n">
        <v>57733</v>
      </c>
      <c r="C14190" t="inlineStr">
        <is>
          <t>1436/11/04</t>
        </is>
      </c>
    </row>
    <row r="14191">
      <c r="A14191" t="n">
        <v>14361105</v>
      </c>
      <c r="B14191" t="n">
        <v>57734</v>
      </c>
      <c r="C14191" t="inlineStr">
        <is>
          <t>1436/11/05</t>
        </is>
      </c>
    </row>
    <row r="14192">
      <c r="A14192" t="n">
        <v>14361106</v>
      </c>
      <c r="B14192" t="n">
        <v>57735</v>
      </c>
      <c r="C14192" t="inlineStr">
        <is>
          <t>1436/11/06</t>
        </is>
      </c>
    </row>
    <row r="14193">
      <c r="A14193" t="n">
        <v>14361107</v>
      </c>
      <c r="B14193" t="n">
        <v>57736</v>
      </c>
      <c r="C14193" t="inlineStr">
        <is>
          <t>1436/11/07</t>
        </is>
      </c>
    </row>
    <row r="14194">
      <c r="A14194" t="n">
        <v>14361108</v>
      </c>
      <c r="B14194" t="n">
        <v>57737</v>
      </c>
      <c r="C14194" t="inlineStr">
        <is>
          <t>1436/11/08</t>
        </is>
      </c>
    </row>
    <row r="14195">
      <c r="A14195" t="n">
        <v>14361109</v>
      </c>
      <c r="B14195" t="n">
        <v>57738</v>
      </c>
      <c r="C14195" t="inlineStr">
        <is>
          <t>1436/11/09</t>
        </is>
      </c>
    </row>
    <row r="14196">
      <c r="A14196" t="n">
        <v>14361110</v>
      </c>
      <c r="B14196" t="n">
        <v>57739</v>
      </c>
      <c r="C14196" t="inlineStr">
        <is>
          <t>1436/11/10</t>
        </is>
      </c>
    </row>
    <row r="14197">
      <c r="A14197" t="n">
        <v>14361111</v>
      </c>
      <c r="B14197" t="n">
        <v>57740</v>
      </c>
      <c r="C14197" t="inlineStr">
        <is>
          <t>1436/11/11</t>
        </is>
      </c>
    </row>
    <row r="14198">
      <c r="A14198" t="n">
        <v>14361112</v>
      </c>
      <c r="B14198" t="n">
        <v>57741</v>
      </c>
      <c r="C14198" t="inlineStr">
        <is>
          <t>1436/11/12</t>
        </is>
      </c>
    </row>
    <row r="14199">
      <c r="A14199" t="n">
        <v>14361113</v>
      </c>
      <c r="B14199" t="n">
        <v>57742</v>
      </c>
      <c r="C14199" t="inlineStr">
        <is>
          <t>1436/11/13</t>
        </is>
      </c>
    </row>
    <row r="14200">
      <c r="A14200" t="n">
        <v>14361114</v>
      </c>
      <c r="B14200" t="n">
        <v>57743</v>
      </c>
      <c r="C14200" t="inlineStr">
        <is>
          <t>1436/11/14</t>
        </is>
      </c>
    </row>
    <row r="14201">
      <c r="A14201" t="n">
        <v>14361115</v>
      </c>
      <c r="B14201" t="n">
        <v>57744</v>
      </c>
      <c r="C14201" t="inlineStr">
        <is>
          <t>1436/11/15</t>
        </is>
      </c>
    </row>
    <row r="14202">
      <c r="A14202" t="n">
        <v>14361116</v>
      </c>
      <c r="B14202" t="n">
        <v>57745</v>
      </c>
      <c r="C14202" t="inlineStr">
        <is>
          <t>1436/11/16</t>
        </is>
      </c>
    </row>
    <row r="14203">
      <c r="A14203" t="n">
        <v>14361117</v>
      </c>
      <c r="B14203" t="n">
        <v>57746</v>
      </c>
      <c r="C14203" t="inlineStr">
        <is>
          <t>1436/11/17</t>
        </is>
      </c>
    </row>
    <row r="14204">
      <c r="A14204" t="n">
        <v>14361118</v>
      </c>
      <c r="B14204" t="n">
        <v>57747</v>
      </c>
      <c r="C14204" t="inlineStr">
        <is>
          <t>1436/11/18</t>
        </is>
      </c>
    </row>
    <row r="14205">
      <c r="A14205" t="n">
        <v>14361119</v>
      </c>
      <c r="B14205" t="n">
        <v>57748</v>
      </c>
      <c r="C14205" t="inlineStr">
        <is>
          <t>1436/11/19</t>
        </is>
      </c>
    </row>
    <row r="14206">
      <c r="A14206" t="n">
        <v>14361120</v>
      </c>
      <c r="B14206" t="n">
        <v>57749</v>
      </c>
      <c r="C14206" t="inlineStr">
        <is>
          <t>1436/11/20</t>
        </is>
      </c>
    </row>
    <row r="14207">
      <c r="A14207" t="n">
        <v>14361121</v>
      </c>
      <c r="B14207" t="n">
        <v>57750</v>
      </c>
      <c r="C14207" t="inlineStr">
        <is>
          <t>1436/11/21</t>
        </is>
      </c>
    </row>
    <row r="14208">
      <c r="A14208" t="n">
        <v>14361122</v>
      </c>
      <c r="B14208" t="n">
        <v>57751</v>
      </c>
      <c r="C14208" t="inlineStr">
        <is>
          <t>1436/11/22</t>
        </is>
      </c>
    </row>
    <row r="14209">
      <c r="A14209" t="n">
        <v>14361123</v>
      </c>
      <c r="B14209" t="n">
        <v>57752</v>
      </c>
      <c r="C14209" t="inlineStr">
        <is>
          <t>1436/11/23</t>
        </is>
      </c>
    </row>
    <row r="14210">
      <c r="A14210" t="n">
        <v>14361124</v>
      </c>
      <c r="B14210" t="n">
        <v>57753</v>
      </c>
      <c r="C14210" t="inlineStr">
        <is>
          <t>1436/11/24</t>
        </is>
      </c>
    </row>
    <row r="14211">
      <c r="A14211" t="n">
        <v>14361125</v>
      </c>
      <c r="B14211" t="n">
        <v>57754</v>
      </c>
      <c r="C14211" t="inlineStr">
        <is>
          <t>1436/11/25</t>
        </is>
      </c>
    </row>
    <row r="14212">
      <c r="A14212" t="n">
        <v>14361126</v>
      </c>
      <c r="B14212" t="n">
        <v>57755</v>
      </c>
      <c r="C14212" t="inlineStr">
        <is>
          <t>1436/11/26</t>
        </is>
      </c>
    </row>
    <row r="14213">
      <c r="A14213" t="n">
        <v>14361127</v>
      </c>
      <c r="B14213" t="n">
        <v>57756</v>
      </c>
      <c r="C14213" t="inlineStr">
        <is>
          <t>1436/11/27</t>
        </is>
      </c>
    </row>
    <row r="14214">
      <c r="A14214" t="n">
        <v>14361128</v>
      </c>
      <c r="B14214" t="n">
        <v>57757</v>
      </c>
      <c r="C14214" t="inlineStr">
        <is>
          <t>1436/11/28</t>
        </is>
      </c>
    </row>
    <row r="14215">
      <c r="A14215" t="n">
        <v>14361129</v>
      </c>
      <c r="B14215" t="n">
        <v>57758</v>
      </c>
      <c r="C14215" t="inlineStr">
        <is>
          <t>1436/11/29</t>
        </is>
      </c>
    </row>
    <row r="14216">
      <c r="A14216" t="n">
        <v>14361130</v>
      </c>
      <c r="B14216" t="n">
        <v>57759</v>
      </c>
      <c r="C14216" t="inlineStr">
        <is>
          <t>1436/11/30</t>
        </is>
      </c>
    </row>
    <row r="14217">
      <c r="A14217" t="n">
        <v>14361201</v>
      </c>
      <c r="B14217" t="n">
        <v>57760</v>
      </c>
      <c r="C14217" t="inlineStr">
        <is>
          <t>1436/12/01</t>
        </is>
      </c>
    </row>
    <row r="14218">
      <c r="A14218" t="n">
        <v>14361202</v>
      </c>
      <c r="B14218" t="n">
        <v>57761</v>
      </c>
      <c r="C14218" t="inlineStr">
        <is>
          <t>1436/12/02</t>
        </is>
      </c>
    </row>
    <row r="14219">
      <c r="A14219" t="n">
        <v>14361203</v>
      </c>
      <c r="B14219" t="n">
        <v>57762</v>
      </c>
      <c r="C14219" t="inlineStr">
        <is>
          <t>1436/12/03</t>
        </is>
      </c>
    </row>
    <row r="14220">
      <c r="A14220" t="n">
        <v>14361204</v>
      </c>
      <c r="B14220" t="n">
        <v>57763</v>
      </c>
      <c r="C14220" t="inlineStr">
        <is>
          <t>1436/12/04</t>
        </is>
      </c>
    </row>
    <row r="14221">
      <c r="A14221" t="n">
        <v>14361205</v>
      </c>
      <c r="B14221" t="n">
        <v>57764</v>
      </c>
      <c r="C14221" t="inlineStr">
        <is>
          <t>1436/12/05</t>
        </is>
      </c>
    </row>
    <row r="14222">
      <c r="A14222" t="n">
        <v>14361206</v>
      </c>
      <c r="B14222" t="n">
        <v>57765</v>
      </c>
      <c r="C14222" t="inlineStr">
        <is>
          <t>1436/12/06</t>
        </is>
      </c>
    </row>
    <row r="14223">
      <c r="A14223" t="n">
        <v>14361207</v>
      </c>
      <c r="B14223" t="n">
        <v>57766</v>
      </c>
      <c r="C14223" t="inlineStr">
        <is>
          <t>1436/12/07</t>
        </is>
      </c>
    </row>
    <row r="14224">
      <c r="A14224" t="n">
        <v>14361208</v>
      </c>
      <c r="B14224" t="n">
        <v>57767</v>
      </c>
      <c r="C14224" t="inlineStr">
        <is>
          <t>1436/12/08</t>
        </is>
      </c>
    </row>
    <row r="14225">
      <c r="A14225" t="n">
        <v>14361209</v>
      </c>
      <c r="B14225" t="n">
        <v>57768</v>
      </c>
      <c r="C14225" t="inlineStr">
        <is>
          <t>1436/12/09</t>
        </is>
      </c>
    </row>
    <row r="14226">
      <c r="A14226" t="n">
        <v>14361210</v>
      </c>
      <c r="B14226" t="n">
        <v>57769</v>
      </c>
      <c r="C14226" t="inlineStr">
        <is>
          <t>1436/12/10</t>
        </is>
      </c>
    </row>
    <row r="14227">
      <c r="A14227" t="n">
        <v>14361211</v>
      </c>
      <c r="B14227" t="n">
        <v>57770</v>
      </c>
      <c r="C14227" t="inlineStr">
        <is>
          <t>1436/12/11</t>
        </is>
      </c>
    </row>
    <row r="14228">
      <c r="A14228" t="n">
        <v>14361212</v>
      </c>
      <c r="B14228" t="n">
        <v>57771</v>
      </c>
      <c r="C14228" t="inlineStr">
        <is>
          <t>1436/12/12</t>
        </is>
      </c>
    </row>
    <row r="14229">
      <c r="A14229" t="n">
        <v>14361213</v>
      </c>
      <c r="B14229" t="n">
        <v>57772</v>
      </c>
      <c r="C14229" t="inlineStr">
        <is>
          <t>1436/12/13</t>
        </is>
      </c>
    </row>
    <row r="14230">
      <c r="A14230" t="n">
        <v>14361214</v>
      </c>
      <c r="B14230" t="n">
        <v>57773</v>
      </c>
      <c r="C14230" t="inlineStr">
        <is>
          <t>1436/12/14</t>
        </is>
      </c>
    </row>
    <row r="14231">
      <c r="A14231" t="n">
        <v>14361215</v>
      </c>
      <c r="B14231" t="n">
        <v>57774</v>
      </c>
      <c r="C14231" t="inlineStr">
        <is>
          <t>1436/12/15</t>
        </is>
      </c>
    </row>
    <row r="14232">
      <c r="A14232" t="n">
        <v>14361216</v>
      </c>
      <c r="B14232" t="n">
        <v>57775</v>
      </c>
      <c r="C14232" t="inlineStr">
        <is>
          <t>1436/12/16</t>
        </is>
      </c>
    </row>
    <row r="14233">
      <c r="A14233" t="n">
        <v>14361217</v>
      </c>
      <c r="B14233" t="n">
        <v>57776</v>
      </c>
      <c r="C14233" t="inlineStr">
        <is>
          <t>1436/12/17</t>
        </is>
      </c>
    </row>
    <row r="14234">
      <c r="A14234" t="n">
        <v>14361218</v>
      </c>
      <c r="B14234" t="n">
        <v>57777</v>
      </c>
      <c r="C14234" t="inlineStr">
        <is>
          <t>1436/12/18</t>
        </is>
      </c>
    </row>
    <row r="14235">
      <c r="A14235" t="n">
        <v>14361219</v>
      </c>
      <c r="B14235" t="n">
        <v>57778</v>
      </c>
      <c r="C14235" t="inlineStr">
        <is>
          <t>1436/12/19</t>
        </is>
      </c>
    </row>
    <row r="14236">
      <c r="A14236" t="n">
        <v>14361220</v>
      </c>
      <c r="B14236" t="n">
        <v>57779</v>
      </c>
      <c r="C14236" t="inlineStr">
        <is>
          <t>1436/12/20</t>
        </is>
      </c>
    </row>
    <row r="14237">
      <c r="A14237" t="n">
        <v>14361221</v>
      </c>
      <c r="B14237" t="n">
        <v>57780</v>
      </c>
      <c r="C14237" t="inlineStr">
        <is>
          <t>1436/12/21</t>
        </is>
      </c>
    </row>
    <row r="14238">
      <c r="A14238" t="n">
        <v>14361222</v>
      </c>
      <c r="B14238" t="n">
        <v>57781</v>
      </c>
      <c r="C14238" t="inlineStr">
        <is>
          <t>1436/12/22</t>
        </is>
      </c>
    </row>
    <row r="14239">
      <c r="A14239" t="n">
        <v>14361223</v>
      </c>
      <c r="B14239" t="n">
        <v>57782</v>
      </c>
      <c r="C14239" t="inlineStr">
        <is>
          <t>1436/12/23</t>
        </is>
      </c>
    </row>
    <row r="14240">
      <c r="A14240" t="n">
        <v>14361224</v>
      </c>
      <c r="B14240" t="n">
        <v>57783</v>
      </c>
      <c r="C14240" t="inlineStr">
        <is>
          <t>1436/12/24</t>
        </is>
      </c>
    </row>
    <row r="14241">
      <c r="A14241" t="n">
        <v>14361225</v>
      </c>
      <c r="B14241" t="n">
        <v>57784</v>
      </c>
      <c r="C14241" t="inlineStr">
        <is>
          <t>1436/12/25</t>
        </is>
      </c>
    </row>
    <row r="14242">
      <c r="A14242" t="n">
        <v>14361226</v>
      </c>
      <c r="B14242" t="n">
        <v>57785</v>
      </c>
      <c r="C14242" t="inlineStr">
        <is>
          <t>1436/12/26</t>
        </is>
      </c>
    </row>
    <row r="14243">
      <c r="A14243" t="n">
        <v>14361227</v>
      </c>
      <c r="B14243" t="n">
        <v>57786</v>
      </c>
      <c r="C14243" t="inlineStr">
        <is>
          <t>1436/12/27</t>
        </is>
      </c>
    </row>
    <row r="14244">
      <c r="A14244" t="n">
        <v>14361228</v>
      </c>
      <c r="B14244" t="n">
        <v>57787</v>
      </c>
      <c r="C14244" t="inlineStr">
        <is>
          <t>1436/12/28</t>
        </is>
      </c>
    </row>
    <row r="14245">
      <c r="A14245" t="n">
        <v>14361229</v>
      </c>
      <c r="B14245" t="n">
        <v>57788</v>
      </c>
      <c r="C14245" t="inlineStr">
        <is>
          <t>1436/12/29</t>
        </is>
      </c>
    </row>
    <row r="14246">
      <c r="A14246" t="n">
        <v>14361230</v>
      </c>
      <c r="B14246" t="n">
        <v>57789</v>
      </c>
      <c r="C14246" t="inlineStr">
        <is>
          <t>1436/12/30</t>
        </is>
      </c>
    </row>
    <row r="14247">
      <c r="A14247" t="n">
        <v>14370101</v>
      </c>
      <c r="B14247" t="n">
        <v>57790</v>
      </c>
      <c r="C14247" t="inlineStr">
        <is>
          <t>1437/01/01</t>
        </is>
      </c>
    </row>
    <row r="14248">
      <c r="A14248" t="n">
        <v>14370102</v>
      </c>
      <c r="B14248" t="n">
        <v>57791</v>
      </c>
      <c r="C14248" t="inlineStr">
        <is>
          <t>1437/01/02</t>
        </is>
      </c>
    </row>
    <row r="14249">
      <c r="A14249" t="n">
        <v>14370103</v>
      </c>
      <c r="B14249" t="n">
        <v>57792</v>
      </c>
      <c r="C14249" t="inlineStr">
        <is>
          <t>1437/01/03</t>
        </is>
      </c>
    </row>
    <row r="14250">
      <c r="A14250" t="n">
        <v>14370104</v>
      </c>
      <c r="B14250" t="n">
        <v>57793</v>
      </c>
      <c r="C14250" t="inlineStr">
        <is>
          <t>1437/01/04</t>
        </is>
      </c>
    </row>
    <row r="14251">
      <c r="A14251" t="n">
        <v>14370105</v>
      </c>
      <c r="B14251" t="n">
        <v>57794</v>
      </c>
      <c r="C14251" t="inlineStr">
        <is>
          <t>1437/01/05</t>
        </is>
      </c>
    </row>
    <row r="14252">
      <c r="A14252" t="n">
        <v>14370106</v>
      </c>
      <c r="B14252" t="n">
        <v>57795</v>
      </c>
      <c r="C14252" t="inlineStr">
        <is>
          <t>1437/01/06</t>
        </is>
      </c>
    </row>
    <row r="14253">
      <c r="A14253" t="n">
        <v>14370107</v>
      </c>
      <c r="B14253" t="n">
        <v>57796</v>
      </c>
      <c r="C14253" t="inlineStr">
        <is>
          <t>1437/01/07</t>
        </is>
      </c>
    </row>
    <row r="14254">
      <c r="A14254" t="n">
        <v>14370108</v>
      </c>
      <c r="B14254" t="n">
        <v>57797</v>
      </c>
      <c r="C14254" t="inlineStr">
        <is>
          <t>1437/01/08</t>
        </is>
      </c>
    </row>
    <row r="14255">
      <c r="A14255" t="n">
        <v>14370109</v>
      </c>
      <c r="B14255" t="n">
        <v>57798</v>
      </c>
      <c r="C14255" t="inlineStr">
        <is>
          <t>1437/01/09</t>
        </is>
      </c>
    </row>
    <row r="14256">
      <c r="A14256" t="n">
        <v>14370110</v>
      </c>
      <c r="B14256" t="n">
        <v>57799</v>
      </c>
      <c r="C14256" t="inlineStr">
        <is>
          <t>1437/01/10</t>
        </is>
      </c>
    </row>
    <row r="14257">
      <c r="A14257" t="n">
        <v>14370111</v>
      </c>
      <c r="B14257" t="n">
        <v>57800</v>
      </c>
      <c r="C14257" t="inlineStr">
        <is>
          <t>1437/01/11</t>
        </is>
      </c>
    </row>
    <row r="14258">
      <c r="A14258" t="n">
        <v>14370112</v>
      </c>
      <c r="B14258" t="n">
        <v>57801</v>
      </c>
      <c r="C14258" t="inlineStr">
        <is>
          <t>1437/01/12</t>
        </is>
      </c>
    </row>
    <row r="14259">
      <c r="A14259" t="n">
        <v>14370113</v>
      </c>
      <c r="B14259" t="n">
        <v>57802</v>
      </c>
      <c r="C14259" t="inlineStr">
        <is>
          <t>1437/01/13</t>
        </is>
      </c>
    </row>
    <row r="14260">
      <c r="A14260" t="n">
        <v>14370114</v>
      </c>
      <c r="B14260" t="n">
        <v>57803</v>
      </c>
      <c r="C14260" t="inlineStr">
        <is>
          <t>1437/01/14</t>
        </is>
      </c>
    </row>
    <row r="14261">
      <c r="A14261" t="n">
        <v>14370115</v>
      </c>
      <c r="B14261" t="n">
        <v>57804</v>
      </c>
      <c r="C14261" t="inlineStr">
        <is>
          <t>1437/01/15</t>
        </is>
      </c>
    </row>
    <row r="14262">
      <c r="A14262" t="n">
        <v>14370116</v>
      </c>
      <c r="B14262" t="n">
        <v>57805</v>
      </c>
      <c r="C14262" t="inlineStr">
        <is>
          <t>1437/01/16</t>
        </is>
      </c>
    </row>
    <row r="14263">
      <c r="A14263" t="n">
        <v>14370117</v>
      </c>
      <c r="B14263" t="n">
        <v>57806</v>
      </c>
      <c r="C14263" t="inlineStr">
        <is>
          <t>1437/01/17</t>
        </is>
      </c>
    </row>
    <row r="14264">
      <c r="A14264" t="n">
        <v>14370118</v>
      </c>
      <c r="B14264" t="n">
        <v>57807</v>
      </c>
      <c r="C14264" t="inlineStr">
        <is>
          <t>1437/01/18</t>
        </is>
      </c>
    </row>
    <row r="14265">
      <c r="A14265" t="n">
        <v>14370119</v>
      </c>
      <c r="B14265" t="n">
        <v>57808</v>
      </c>
      <c r="C14265" t="inlineStr">
        <is>
          <t>1437/01/19</t>
        </is>
      </c>
    </row>
    <row r="14266">
      <c r="A14266" t="n">
        <v>14370120</v>
      </c>
      <c r="B14266" t="n">
        <v>57809</v>
      </c>
      <c r="C14266" t="inlineStr">
        <is>
          <t>1437/01/20</t>
        </is>
      </c>
    </row>
    <row r="14267">
      <c r="A14267" t="n">
        <v>14370121</v>
      </c>
      <c r="B14267" t="n">
        <v>57810</v>
      </c>
      <c r="C14267" t="inlineStr">
        <is>
          <t>1437/01/21</t>
        </is>
      </c>
    </row>
    <row r="14268">
      <c r="A14268" t="n">
        <v>14370122</v>
      </c>
      <c r="B14268" t="n">
        <v>57811</v>
      </c>
      <c r="C14268" t="inlineStr">
        <is>
          <t>1437/01/22</t>
        </is>
      </c>
    </row>
    <row r="14269">
      <c r="A14269" t="n">
        <v>14370123</v>
      </c>
      <c r="B14269" t="n">
        <v>57812</v>
      </c>
      <c r="C14269" t="inlineStr">
        <is>
          <t>1437/01/23</t>
        </is>
      </c>
    </row>
    <row r="14270">
      <c r="A14270" t="n">
        <v>14370124</v>
      </c>
      <c r="B14270" t="n">
        <v>57813</v>
      </c>
      <c r="C14270" t="inlineStr">
        <is>
          <t>1437/01/24</t>
        </is>
      </c>
    </row>
    <row r="14271">
      <c r="A14271" t="n">
        <v>14370125</v>
      </c>
      <c r="B14271" t="n">
        <v>57814</v>
      </c>
      <c r="C14271" t="inlineStr">
        <is>
          <t>1437/01/25</t>
        </is>
      </c>
    </row>
    <row r="14272">
      <c r="A14272" t="n">
        <v>14370126</v>
      </c>
      <c r="B14272" t="n">
        <v>57815</v>
      </c>
      <c r="C14272" t="inlineStr">
        <is>
          <t>1437/01/26</t>
        </is>
      </c>
    </row>
    <row r="14273">
      <c r="A14273" t="n">
        <v>14370127</v>
      </c>
      <c r="B14273" t="n">
        <v>57816</v>
      </c>
      <c r="C14273" t="inlineStr">
        <is>
          <t>1437/01/27</t>
        </is>
      </c>
    </row>
    <row r="14274">
      <c r="A14274" t="n">
        <v>14370128</v>
      </c>
      <c r="B14274" t="n">
        <v>57817</v>
      </c>
      <c r="C14274" t="inlineStr">
        <is>
          <t>1437/01/28</t>
        </is>
      </c>
    </row>
    <row r="14275">
      <c r="A14275" t="n">
        <v>14370129</v>
      </c>
      <c r="B14275" t="n">
        <v>57818</v>
      </c>
      <c r="C14275" t="inlineStr">
        <is>
          <t>1437/01/29</t>
        </is>
      </c>
    </row>
    <row r="14276">
      <c r="A14276" t="n">
        <v>14370130</v>
      </c>
      <c r="B14276" t="n">
        <v>57819</v>
      </c>
      <c r="C14276" t="inlineStr">
        <is>
          <t>1437/01/30</t>
        </is>
      </c>
    </row>
    <row r="14277">
      <c r="A14277" t="n">
        <v>14370131</v>
      </c>
      <c r="B14277" t="n">
        <v>57820</v>
      </c>
      <c r="C14277" t="inlineStr">
        <is>
          <t>1437/01/31</t>
        </is>
      </c>
    </row>
    <row r="14278">
      <c r="A14278" t="n">
        <v>14370201</v>
      </c>
      <c r="B14278" t="n">
        <v>57821</v>
      </c>
      <c r="C14278" t="inlineStr">
        <is>
          <t>1437/02/01</t>
        </is>
      </c>
    </row>
    <row r="14279">
      <c r="A14279" t="n">
        <v>14370202</v>
      </c>
      <c r="B14279" t="n">
        <v>57822</v>
      </c>
      <c r="C14279" t="inlineStr">
        <is>
          <t>1437/02/02</t>
        </is>
      </c>
    </row>
    <row r="14280">
      <c r="A14280" t="n">
        <v>14370203</v>
      </c>
      <c r="B14280" t="n">
        <v>57823</v>
      </c>
      <c r="C14280" t="inlineStr">
        <is>
          <t>1437/02/03</t>
        </is>
      </c>
    </row>
    <row r="14281">
      <c r="A14281" t="n">
        <v>14370204</v>
      </c>
      <c r="B14281" t="n">
        <v>57824</v>
      </c>
      <c r="C14281" t="inlineStr">
        <is>
          <t>1437/02/04</t>
        </is>
      </c>
    </row>
    <row r="14282">
      <c r="A14282" t="n">
        <v>14370205</v>
      </c>
      <c r="B14282" t="n">
        <v>57825</v>
      </c>
      <c r="C14282" t="inlineStr">
        <is>
          <t>1437/02/05</t>
        </is>
      </c>
    </row>
    <row r="14283">
      <c r="A14283" t="n">
        <v>14370206</v>
      </c>
      <c r="B14283" t="n">
        <v>57826</v>
      </c>
      <c r="C14283" t="inlineStr">
        <is>
          <t>1437/02/06</t>
        </is>
      </c>
    </row>
    <row r="14284">
      <c r="A14284" t="n">
        <v>14370207</v>
      </c>
      <c r="B14284" t="n">
        <v>57827</v>
      </c>
      <c r="C14284" t="inlineStr">
        <is>
          <t>1437/02/07</t>
        </is>
      </c>
    </row>
    <row r="14285">
      <c r="A14285" t="n">
        <v>14370208</v>
      </c>
      <c r="B14285" t="n">
        <v>57828</v>
      </c>
      <c r="C14285" t="inlineStr">
        <is>
          <t>1437/02/08</t>
        </is>
      </c>
    </row>
    <row r="14286">
      <c r="A14286" t="n">
        <v>14370209</v>
      </c>
      <c r="B14286" t="n">
        <v>57829</v>
      </c>
      <c r="C14286" t="inlineStr">
        <is>
          <t>1437/02/09</t>
        </is>
      </c>
    </row>
    <row r="14287">
      <c r="A14287" t="n">
        <v>14370210</v>
      </c>
      <c r="B14287" t="n">
        <v>57830</v>
      </c>
      <c r="C14287" t="inlineStr">
        <is>
          <t>1437/02/10</t>
        </is>
      </c>
    </row>
    <row r="14288">
      <c r="A14288" t="n">
        <v>14370211</v>
      </c>
      <c r="B14288" t="n">
        <v>57831</v>
      </c>
      <c r="C14288" t="inlineStr">
        <is>
          <t>1437/02/11</t>
        </is>
      </c>
    </row>
    <row r="14289">
      <c r="A14289" t="n">
        <v>14370212</v>
      </c>
      <c r="B14289" t="n">
        <v>57832</v>
      </c>
      <c r="C14289" t="inlineStr">
        <is>
          <t>1437/02/12</t>
        </is>
      </c>
    </row>
    <row r="14290">
      <c r="A14290" t="n">
        <v>14370213</v>
      </c>
      <c r="B14290" t="n">
        <v>57833</v>
      </c>
      <c r="C14290" t="inlineStr">
        <is>
          <t>1437/02/13</t>
        </is>
      </c>
    </row>
    <row r="14291">
      <c r="A14291" t="n">
        <v>14370214</v>
      </c>
      <c r="B14291" t="n">
        <v>57834</v>
      </c>
      <c r="C14291" t="inlineStr">
        <is>
          <t>1437/02/14</t>
        </is>
      </c>
    </row>
    <row r="14292">
      <c r="A14292" t="n">
        <v>14370215</v>
      </c>
      <c r="B14292" t="n">
        <v>57835</v>
      </c>
      <c r="C14292" t="inlineStr">
        <is>
          <t>1437/02/15</t>
        </is>
      </c>
    </row>
    <row r="14293">
      <c r="A14293" t="n">
        <v>14370216</v>
      </c>
      <c r="B14293" t="n">
        <v>57836</v>
      </c>
      <c r="C14293" t="inlineStr">
        <is>
          <t>1437/02/16</t>
        </is>
      </c>
    </row>
    <row r="14294">
      <c r="A14294" t="n">
        <v>14370217</v>
      </c>
      <c r="B14294" t="n">
        <v>57837</v>
      </c>
      <c r="C14294" t="inlineStr">
        <is>
          <t>1437/02/17</t>
        </is>
      </c>
    </row>
    <row r="14295">
      <c r="A14295" t="n">
        <v>14370218</v>
      </c>
      <c r="B14295" t="n">
        <v>57838</v>
      </c>
      <c r="C14295" t="inlineStr">
        <is>
          <t>1437/02/18</t>
        </is>
      </c>
    </row>
    <row r="14296">
      <c r="A14296" t="n">
        <v>14370219</v>
      </c>
      <c r="B14296" t="n">
        <v>57839</v>
      </c>
      <c r="C14296" t="inlineStr">
        <is>
          <t>1437/02/19</t>
        </is>
      </c>
    </row>
    <row r="14297">
      <c r="A14297" t="n">
        <v>14370220</v>
      </c>
      <c r="B14297" t="n">
        <v>57840</v>
      </c>
      <c r="C14297" t="inlineStr">
        <is>
          <t>1437/02/20</t>
        </is>
      </c>
    </row>
    <row r="14298">
      <c r="A14298" t="n">
        <v>14370221</v>
      </c>
      <c r="B14298" t="n">
        <v>57841</v>
      </c>
      <c r="C14298" t="inlineStr">
        <is>
          <t>1437/02/21</t>
        </is>
      </c>
    </row>
    <row r="14299">
      <c r="A14299" t="n">
        <v>14370222</v>
      </c>
      <c r="B14299" t="n">
        <v>57842</v>
      </c>
      <c r="C14299" t="inlineStr">
        <is>
          <t>1437/02/22</t>
        </is>
      </c>
    </row>
    <row r="14300">
      <c r="A14300" t="n">
        <v>14370223</v>
      </c>
      <c r="B14300" t="n">
        <v>57843</v>
      </c>
      <c r="C14300" t="inlineStr">
        <is>
          <t>1437/02/23</t>
        </is>
      </c>
    </row>
    <row r="14301">
      <c r="A14301" t="n">
        <v>14370224</v>
      </c>
      <c r="B14301" t="n">
        <v>57844</v>
      </c>
      <c r="C14301" t="inlineStr">
        <is>
          <t>1437/02/24</t>
        </is>
      </c>
    </row>
    <row r="14302">
      <c r="A14302" t="n">
        <v>14370225</v>
      </c>
      <c r="B14302" t="n">
        <v>57845</v>
      </c>
      <c r="C14302" t="inlineStr">
        <is>
          <t>1437/02/25</t>
        </is>
      </c>
    </row>
    <row r="14303">
      <c r="A14303" t="n">
        <v>14370226</v>
      </c>
      <c r="B14303" t="n">
        <v>57846</v>
      </c>
      <c r="C14303" t="inlineStr">
        <is>
          <t>1437/02/26</t>
        </is>
      </c>
    </row>
    <row r="14304">
      <c r="A14304" t="n">
        <v>14370227</v>
      </c>
      <c r="B14304" t="n">
        <v>57847</v>
      </c>
      <c r="C14304" t="inlineStr">
        <is>
          <t>1437/02/27</t>
        </is>
      </c>
    </row>
    <row r="14305">
      <c r="A14305" t="n">
        <v>14370228</v>
      </c>
      <c r="B14305" t="n">
        <v>57848</v>
      </c>
      <c r="C14305" t="inlineStr">
        <is>
          <t>1437/02/28</t>
        </is>
      </c>
    </row>
    <row r="14306">
      <c r="A14306" t="n">
        <v>14370229</v>
      </c>
      <c r="B14306" t="n">
        <v>57849</v>
      </c>
      <c r="C14306" t="inlineStr">
        <is>
          <t>1437/02/29</t>
        </is>
      </c>
    </row>
    <row r="14307">
      <c r="A14307" t="n">
        <v>14370230</v>
      </c>
      <c r="B14307" t="n">
        <v>57850</v>
      </c>
      <c r="C14307" t="inlineStr">
        <is>
          <t>1437/02/30</t>
        </is>
      </c>
    </row>
    <row r="14308">
      <c r="A14308" t="n">
        <v>14370231</v>
      </c>
      <c r="B14308" t="n">
        <v>57851</v>
      </c>
      <c r="C14308" t="inlineStr">
        <is>
          <t>1437/02/31</t>
        </is>
      </c>
    </row>
    <row r="14309">
      <c r="A14309" t="n">
        <v>14370301</v>
      </c>
      <c r="B14309" t="n">
        <v>57852</v>
      </c>
      <c r="C14309" t="inlineStr">
        <is>
          <t>1437/03/01</t>
        </is>
      </c>
    </row>
    <row r="14310">
      <c r="A14310" t="n">
        <v>14370302</v>
      </c>
      <c r="B14310" t="n">
        <v>57853</v>
      </c>
      <c r="C14310" t="inlineStr">
        <is>
          <t>1437/03/02</t>
        </is>
      </c>
    </row>
    <row r="14311">
      <c r="A14311" t="n">
        <v>14370303</v>
      </c>
      <c r="B14311" t="n">
        <v>57854</v>
      </c>
      <c r="C14311" t="inlineStr">
        <is>
          <t>1437/03/03</t>
        </is>
      </c>
    </row>
    <row r="14312">
      <c r="A14312" t="n">
        <v>14370304</v>
      </c>
      <c r="B14312" t="n">
        <v>57855</v>
      </c>
      <c r="C14312" t="inlineStr">
        <is>
          <t>1437/03/04</t>
        </is>
      </c>
    </row>
    <row r="14313">
      <c r="A14313" t="n">
        <v>14370305</v>
      </c>
      <c r="B14313" t="n">
        <v>57856</v>
      </c>
      <c r="C14313" t="inlineStr">
        <is>
          <t>1437/03/05</t>
        </is>
      </c>
    </row>
    <row r="14314">
      <c r="A14314" t="n">
        <v>14370306</v>
      </c>
      <c r="B14314" t="n">
        <v>57857</v>
      </c>
      <c r="C14314" t="inlineStr">
        <is>
          <t>1437/03/06</t>
        </is>
      </c>
    </row>
    <row r="14315">
      <c r="A14315" t="n">
        <v>14370307</v>
      </c>
      <c r="B14315" t="n">
        <v>57858</v>
      </c>
      <c r="C14315" t="inlineStr">
        <is>
          <t>1437/03/07</t>
        </is>
      </c>
    </row>
    <row r="14316">
      <c r="A14316" t="n">
        <v>14370308</v>
      </c>
      <c r="B14316" t="n">
        <v>57859</v>
      </c>
      <c r="C14316" t="inlineStr">
        <is>
          <t>1437/03/08</t>
        </is>
      </c>
    </row>
    <row r="14317">
      <c r="A14317" t="n">
        <v>14370309</v>
      </c>
      <c r="B14317" t="n">
        <v>57860</v>
      </c>
      <c r="C14317" t="inlineStr">
        <is>
          <t>1437/03/09</t>
        </is>
      </c>
    </row>
    <row r="14318">
      <c r="A14318" t="n">
        <v>14370310</v>
      </c>
      <c r="B14318" t="n">
        <v>57861</v>
      </c>
      <c r="C14318" t="inlineStr">
        <is>
          <t>1437/03/10</t>
        </is>
      </c>
    </row>
    <row r="14319">
      <c r="A14319" t="n">
        <v>14370311</v>
      </c>
      <c r="B14319" t="n">
        <v>57862</v>
      </c>
      <c r="C14319" t="inlineStr">
        <is>
          <t>1437/03/11</t>
        </is>
      </c>
    </row>
    <row r="14320">
      <c r="A14320" t="n">
        <v>14370312</v>
      </c>
      <c r="B14320" t="n">
        <v>57863</v>
      </c>
      <c r="C14320" t="inlineStr">
        <is>
          <t>1437/03/12</t>
        </is>
      </c>
    </row>
    <row r="14321">
      <c r="A14321" t="n">
        <v>14370313</v>
      </c>
      <c r="B14321" t="n">
        <v>57864</v>
      </c>
      <c r="C14321" t="inlineStr">
        <is>
          <t>1437/03/13</t>
        </is>
      </c>
    </row>
    <row r="14322">
      <c r="A14322" t="n">
        <v>14370314</v>
      </c>
      <c r="B14322" t="n">
        <v>57865</v>
      </c>
      <c r="C14322" t="inlineStr">
        <is>
          <t>1437/03/14</t>
        </is>
      </c>
    </row>
    <row r="14323">
      <c r="A14323" t="n">
        <v>14370315</v>
      </c>
      <c r="B14323" t="n">
        <v>57866</v>
      </c>
      <c r="C14323" t="inlineStr">
        <is>
          <t>1437/03/15</t>
        </is>
      </c>
    </row>
    <row r="14324">
      <c r="A14324" t="n">
        <v>14370316</v>
      </c>
      <c r="B14324" t="n">
        <v>57867</v>
      </c>
      <c r="C14324" t="inlineStr">
        <is>
          <t>1437/03/16</t>
        </is>
      </c>
    </row>
    <row r="14325">
      <c r="A14325" t="n">
        <v>14370317</v>
      </c>
      <c r="B14325" t="n">
        <v>57868</v>
      </c>
      <c r="C14325" t="inlineStr">
        <is>
          <t>1437/03/17</t>
        </is>
      </c>
    </row>
    <row r="14326">
      <c r="A14326" t="n">
        <v>14370318</v>
      </c>
      <c r="B14326" t="n">
        <v>57869</v>
      </c>
      <c r="C14326" t="inlineStr">
        <is>
          <t>1437/03/18</t>
        </is>
      </c>
    </row>
    <row r="14327">
      <c r="A14327" t="n">
        <v>14370319</v>
      </c>
      <c r="B14327" t="n">
        <v>57870</v>
      </c>
      <c r="C14327" t="inlineStr">
        <is>
          <t>1437/03/19</t>
        </is>
      </c>
    </row>
    <row r="14328">
      <c r="A14328" t="n">
        <v>14370320</v>
      </c>
      <c r="B14328" t="n">
        <v>57871</v>
      </c>
      <c r="C14328" t="inlineStr">
        <is>
          <t>1437/03/20</t>
        </is>
      </c>
    </row>
    <row r="14329">
      <c r="A14329" t="n">
        <v>14370321</v>
      </c>
      <c r="B14329" t="n">
        <v>57872</v>
      </c>
      <c r="C14329" t="inlineStr">
        <is>
          <t>1437/03/21</t>
        </is>
      </c>
    </row>
    <row r="14330">
      <c r="A14330" t="n">
        <v>14370322</v>
      </c>
      <c r="B14330" t="n">
        <v>57873</v>
      </c>
      <c r="C14330" t="inlineStr">
        <is>
          <t>1437/03/22</t>
        </is>
      </c>
    </row>
    <row r="14331">
      <c r="A14331" t="n">
        <v>14370323</v>
      </c>
      <c r="B14331" t="n">
        <v>57874</v>
      </c>
      <c r="C14331" t="inlineStr">
        <is>
          <t>1437/03/23</t>
        </is>
      </c>
    </row>
    <row r="14332">
      <c r="A14332" t="n">
        <v>14370324</v>
      </c>
      <c r="B14332" t="n">
        <v>57875</v>
      </c>
      <c r="C14332" t="inlineStr">
        <is>
          <t>1437/03/24</t>
        </is>
      </c>
    </row>
    <row r="14333">
      <c r="A14333" t="n">
        <v>14370325</v>
      </c>
      <c r="B14333" t="n">
        <v>57876</v>
      </c>
      <c r="C14333" t="inlineStr">
        <is>
          <t>1437/03/25</t>
        </is>
      </c>
    </row>
    <row r="14334">
      <c r="A14334" t="n">
        <v>14370326</v>
      </c>
      <c r="B14334" t="n">
        <v>57877</v>
      </c>
      <c r="C14334" t="inlineStr">
        <is>
          <t>1437/03/26</t>
        </is>
      </c>
    </row>
    <row r="14335">
      <c r="A14335" t="n">
        <v>14370327</v>
      </c>
      <c r="B14335" t="n">
        <v>57878</v>
      </c>
      <c r="C14335" t="inlineStr">
        <is>
          <t>1437/03/27</t>
        </is>
      </c>
    </row>
    <row r="14336">
      <c r="A14336" t="n">
        <v>14370328</v>
      </c>
      <c r="B14336" t="n">
        <v>57879</v>
      </c>
      <c r="C14336" t="inlineStr">
        <is>
          <t>1437/03/28</t>
        </is>
      </c>
    </row>
    <row r="14337">
      <c r="A14337" t="n">
        <v>14370329</v>
      </c>
      <c r="B14337" t="n">
        <v>57880</v>
      </c>
      <c r="C14337" t="inlineStr">
        <is>
          <t>1437/03/29</t>
        </is>
      </c>
    </row>
    <row r="14338">
      <c r="A14338" t="n">
        <v>14370330</v>
      </c>
      <c r="B14338" t="n">
        <v>57881</v>
      </c>
      <c r="C14338" t="inlineStr">
        <is>
          <t>1437/03/30</t>
        </is>
      </c>
    </row>
    <row r="14339">
      <c r="A14339" t="n">
        <v>14370331</v>
      </c>
      <c r="B14339" t="n">
        <v>57882</v>
      </c>
      <c r="C14339" t="inlineStr">
        <is>
          <t>1437/03/31</t>
        </is>
      </c>
    </row>
    <row r="14340">
      <c r="A14340" t="n">
        <v>14370401</v>
      </c>
      <c r="B14340" t="n">
        <v>57883</v>
      </c>
      <c r="C14340" t="inlineStr">
        <is>
          <t>1437/04/01</t>
        </is>
      </c>
    </row>
    <row r="14341">
      <c r="A14341" t="n">
        <v>14370402</v>
      </c>
      <c r="B14341" t="n">
        <v>57884</v>
      </c>
      <c r="C14341" t="inlineStr">
        <is>
          <t>1437/04/02</t>
        </is>
      </c>
    </row>
    <row r="14342">
      <c r="A14342" t="n">
        <v>14370403</v>
      </c>
      <c r="B14342" t="n">
        <v>57885</v>
      </c>
      <c r="C14342" t="inlineStr">
        <is>
          <t>1437/04/03</t>
        </is>
      </c>
    </row>
    <row r="14343">
      <c r="A14343" t="n">
        <v>14370404</v>
      </c>
      <c r="B14343" t="n">
        <v>57886</v>
      </c>
      <c r="C14343" t="inlineStr">
        <is>
          <t>1437/04/04</t>
        </is>
      </c>
    </row>
    <row r="14344">
      <c r="A14344" t="n">
        <v>14370405</v>
      </c>
      <c r="B14344" t="n">
        <v>57887</v>
      </c>
      <c r="C14344" t="inlineStr">
        <is>
          <t>1437/04/05</t>
        </is>
      </c>
    </row>
    <row r="14345">
      <c r="A14345" t="n">
        <v>14370406</v>
      </c>
      <c r="B14345" t="n">
        <v>57888</v>
      </c>
      <c r="C14345" t="inlineStr">
        <is>
          <t>1437/04/06</t>
        </is>
      </c>
    </row>
    <row r="14346">
      <c r="A14346" t="n">
        <v>14370407</v>
      </c>
      <c r="B14346" t="n">
        <v>57889</v>
      </c>
      <c r="C14346" t="inlineStr">
        <is>
          <t>1437/04/07</t>
        </is>
      </c>
    </row>
    <row r="14347">
      <c r="A14347" t="n">
        <v>14370408</v>
      </c>
      <c r="B14347" t="n">
        <v>57890</v>
      </c>
      <c r="C14347" t="inlineStr">
        <is>
          <t>1437/04/08</t>
        </is>
      </c>
    </row>
    <row r="14348">
      <c r="A14348" t="n">
        <v>14370409</v>
      </c>
      <c r="B14348" t="n">
        <v>57891</v>
      </c>
      <c r="C14348" t="inlineStr">
        <is>
          <t>1437/04/09</t>
        </is>
      </c>
    </row>
    <row r="14349">
      <c r="A14349" t="n">
        <v>14370410</v>
      </c>
      <c r="B14349" t="n">
        <v>57892</v>
      </c>
      <c r="C14349" t="inlineStr">
        <is>
          <t>1437/04/10</t>
        </is>
      </c>
    </row>
    <row r="14350">
      <c r="A14350" t="n">
        <v>14370411</v>
      </c>
      <c r="B14350" t="n">
        <v>57893</v>
      </c>
      <c r="C14350" t="inlineStr">
        <is>
          <t>1437/04/11</t>
        </is>
      </c>
    </row>
    <row r="14351">
      <c r="A14351" t="n">
        <v>14370412</v>
      </c>
      <c r="B14351" t="n">
        <v>57894</v>
      </c>
      <c r="C14351" t="inlineStr">
        <is>
          <t>1437/04/12</t>
        </is>
      </c>
    </row>
    <row r="14352">
      <c r="A14352" t="n">
        <v>14370413</v>
      </c>
      <c r="B14352" t="n">
        <v>57895</v>
      </c>
      <c r="C14352" t="inlineStr">
        <is>
          <t>1437/04/13</t>
        </is>
      </c>
    </row>
    <row r="14353">
      <c r="A14353" t="n">
        <v>14370414</v>
      </c>
      <c r="B14353" t="n">
        <v>57896</v>
      </c>
      <c r="C14353" t="inlineStr">
        <is>
          <t>1437/04/14</t>
        </is>
      </c>
    </row>
    <row r="14354">
      <c r="A14354" t="n">
        <v>14370415</v>
      </c>
      <c r="B14354" t="n">
        <v>57897</v>
      </c>
      <c r="C14354" t="inlineStr">
        <is>
          <t>1437/04/15</t>
        </is>
      </c>
    </row>
    <row r="14355">
      <c r="A14355" t="n">
        <v>14370416</v>
      </c>
      <c r="B14355" t="n">
        <v>57898</v>
      </c>
      <c r="C14355" t="inlineStr">
        <is>
          <t>1437/04/16</t>
        </is>
      </c>
    </row>
    <row r="14356">
      <c r="A14356" t="n">
        <v>14370417</v>
      </c>
      <c r="B14356" t="n">
        <v>57899</v>
      </c>
      <c r="C14356" t="inlineStr">
        <is>
          <t>1437/04/17</t>
        </is>
      </c>
    </row>
    <row r="14357">
      <c r="A14357" t="n">
        <v>14370418</v>
      </c>
      <c r="B14357" t="n">
        <v>57900</v>
      </c>
      <c r="C14357" t="inlineStr">
        <is>
          <t>1437/04/18</t>
        </is>
      </c>
    </row>
    <row r="14358">
      <c r="A14358" t="n">
        <v>14370419</v>
      </c>
      <c r="B14358" t="n">
        <v>57901</v>
      </c>
      <c r="C14358" t="inlineStr">
        <is>
          <t>1437/04/19</t>
        </is>
      </c>
    </row>
    <row r="14359">
      <c r="A14359" t="n">
        <v>14370420</v>
      </c>
      <c r="B14359" t="n">
        <v>57902</v>
      </c>
      <c r="C14359" t="inlineStr">
        <is>
          <t>1437/04/20</t>
        </is>
      </c>
    </row>
    <row r="14360">
      <c r="A14360" t="n">
        <v>14370421</v>
      </c>
      <c r="B14360" t="n">
        <v>57903</v>
      </c>
      <c r="C14360" t="inlineStr">
        <is>
          <t>1437/04/21</t>
        </is>
      </c>
    </row>
    <row r="14361">
      <c r="A14361" t="n">
        <v>14370422</v>
      </c>
      <c r="B14361" t="n">
        <v>57904</v>
      </c>
      <c r="C14361" t="inlineStr">
        <is>
          <t>1437/04/22</t>
        </is>
      </c>
    </row>
    <row r="14362">
      <c r="A14362" t="n">
        <v>14370423</v>
      </c>
      <c r="B14362" t="n">
        <v>57905</v>
      </c>
      <c r="C14362" t="inlineStr">
        <is>
          <t>1437/04/23</t>
        </is>
      </c>
    </row>
    <row r="14363">
      <c r="A14363" t="n">
        <v>14370424</v>
      </c>
      <c r="B14363" t="n">
        <v>57906</v>
      </c>
      <c r="C14363" t="inlineStr">
        <is>
          <t>1437/04/24</t>
        </is>
      </c>
    </row>
    <row r="14364">
      <c r="A14364" t="n">
        <v>14370425</v>
      </c>
      <c r="B14364" t="n">
        <v>57907</v>
      </c>
      <c r="C14364" t="inlineStr">
        <is>
          <t>1437/04/25</t>
        </is>
      </c>
    </row>
    <row r="14365">
      <c r="A14365" t="n">
        <v>14370426</v>
      </c>
      <c r="B14365" t="n">
        <v>57908</v>
      </c>
      <c r="C14365" t="inlineStr">
        <is>
          <t>1437/04/26</t>
        </is>
      </c>
    </row>
    <row r="14366">
      <c r="A14366" t="n">
        <v>14370427</v>
      </c>
      <c r="B14366" t="n">
        <v>57909</v>
      </c>
      <c r="C14366" t="inlineStr">
        <is>
          <t>1437/04/27</t>
        </is>
      </c>
    </row>
    <row r="14367">
      <c r="A14367" t="n">
        <v>14370428</v>
      </c>
      <c r="B14367" t="n">
        <v>57910</v>
      </c>
      <c r="C14367" t="inlineStr">
        <is>
          <t>1437/04/28</t>
        </is>
      </c>
    </row>
    <row r="14368">
      <c r="A14368" t="n">
        <v>14370429</v>
      </c>
      <c r="B14368" t="n">
        <v>57911</v>
      </c>
      <c r="C14368" t="inlineStr">
        <is>
          <t>1437/04/29</t>
        </is>
      </c>
    </row>
    <row r="14369">
      <c r="A14369" t="n">
        <v>14370430</v>
      </c>
      <c r="B14369" t="n">
        <v>57912</v>
      </c>
      <c r="C14369" t="inlineStr">
        <is>
          <t>1437/04/30</t>
        </is>
      </c>
    </row>
    <row r="14370">
      <c r="A14370" t="n">
        <v>14370431</v>
      </c>
      <c r="B14370" t="n">
        <v>57913</v>
      </c>
      <c r="C14370" t="inlineStr">
        <is>
          <t>1437/04/31</t>
        </is>
      </c>
    </row>
    <row r="14371">
      <c r="A14371" t="n">
        <v>14370501</v>
      </c>
      <c r="B14371" t="n">
        <v>57914</v>
      </c>
      <c r="C14371" t="inlineStr">
        <is>
          <t>1437/05/01</t>
        </is>
      </c>
    </row>
    <row r="14372">
      <c r="A14372" t="n">
        <v>14370502</v>
      </c>
      <c r="B14372" t="n">
        <v>57915</v>
      </c>
      <c r="C14372" t="inlineStr">
        <is>
          <t>1437/05/02</t>
        </is>
      </c>
    </row>
    <row r="14373">
      <c r="A14373" t="n">
        <v>14370503</v>
      </c>
      <c r="B14373" t="n">
        <v>57916</v>
      </c>
      <c r="C14373" t="inlineStr">
        <is>
          <t>1437/05/03</t>
        </is>
      </c>
    </row>
    <row r="14374">
      <c r="A14374" t="n">
        <v>14370504</v>
      </c>
      <c r="B14374" t="n">
        <v>57917</v>
      </c>
      <c r="C14374" t="inlineStr">
        <is>
          <t>1437/05/04</t>
        </is>
      </c>
    </row>
    <row r="14375">
      <c r="A14375" t="n">
        <v>14370505</v>
      </c>
      <c r="B14375" t="n">
        <v>57918</v>
      </c>
      <c r="C14375" t="inlineStr">
        <is>
          <t>1437/05/05</t>
        </is>
      </c>
    </row>
    <row r="14376">
      <c r="A14376" t="n">
        <v>14370506</v>
      </c>
      <c r="B14376" t="n">
        <v>57919</v>
      </c>
      <c r="C14376" t="inlineStr">
        <is>
          <t>1437/05/06</t>
        </is>
      </c>
    </row>
    <row r="14377">
      <c r="A14377" t="n">
        <v>14370507</v>
      </c>
      <c r="B14377" t="n">
        <v>57920</v>
      </c>
      <c r="C14377" t="inlineStr">
        <is>
          <t>1437/05/07</t>
        </is>
      </c>
    </row>
    <row r="14378">
      <c r="A14378" t="n">
        <v>14370508</v>
      </c>
      <c r="B14378" t="n">
        <v>57921</v>
      </c>
      <c r="C14378" t="inlineStr">
        <is>
          <t>1437/05/08</t>
        </is>
      </c>
    </row>
    <row r="14379">
      <c r="A14379" t="n">
        <v>14370509</v>
      </c>
      <c r="B14379" t="n">
        <v>57922</v>
      </c>
      <c r="C14379" t="inlineStr">
        <is>
          <t>1437/05/09</t>
        </is>
      </c>
    </row>
    <row r="14380">
      <c r="A14380" t="n">
        <v>14370510</v>
      </c>
      <c r="B14380" t="n">
        <v>57923</v>
      </c>
      <c r="C14380" t="inlineStr">
        <is>
          <t>1437/05/10</t>
        </is>
      </c>
    </row>
    <row r="14381">
      <c r="A14381" t="n">
        <v>14370511</v>
      </c>
      <c r="B14381" t="n">
        <v>57924</v>
      </c>
      <c r="C14381" t="inlineStr">
        <is>
          <t>1437/05/11</t>
        </is>
      </c>
    </row>
    <row r="14382">
      <c r="A14382" t="n">
        <v>14370512</v>
      </c>
      <c r="B14382" t="n">
        <v>57925</v>
      </c>
      <c r="C14382" t="inlineStr">
        <is>
          <t>1437/05/12</t>
        </is>
      </c>
    </row>
    <row r="14383">
      <c r="A14383" t="n">
        <v>14370513</v>
      </c>
      <c r="B14383" t="n">
        <v>57926</v>
      </c>
      <c r="C14383" t="inlineStr">
        <is>
          <t>1437/05/13</t>
        </is>
      </c>
    </row>
    <row r="14384">
      <c r="A14384" t="n">
        <v>14370514</v>
      </c>
      <c r="B14384" t="n">
        <v>57927</v>
      </c>
      <c r="C14384" t="inlineStr">
        <is>
          <t>1437/05/14</t>
        </is>
      </c>
    </row>
    <row r="14385">
      <c r="A14385" t="n">
        <v>14370515</v>
      </c>
      <c r="B14385" t="n">
        <v>57928</v>
      </c>
      <c r="C14385" t="inlineStr">
        <is>
          <t>1437/05/15</t>
        </is>
      </c>
    </row>
    <row r="14386">
      <c r="A14386" t="n">
        <v>14370516</v>
      </c>
      <c r="B14386" t="n">
        <v>57929</v>
      </c>
      <c r="C14386" t="inlineStr">
        <is>
          <t>1437/05/16</t>
        </is>
      </c>
    </row>
    <row r="14387">
      <c r="A14387" t="n">
        <v>14370517</v>
      </c>
      <c r="B14387" t="n">
        <v>57930</v>
      </c>
      <c r="C14387" t="inlineStr">
        <is>
          <t>1437/05/17</t>
        </is>
      </c>
    </row>
    <row r="14388">
      <c r="A14388" t="n">
        <v>14370518</v>
      </c>
      <c r="B14388" t="n">
        <v>57931</v>
      </c>
      <c r="C14388" t="inlineStr">
        <is>
          <t>1437/05/18</t>
        </is>
      </c>
    </row>
    <row r="14389">
      <c r="A14389" t="n">
        <v>14370519</v>
      </c>
      <c r="B14389" t="n">
        <v>57932</v>
      </c>
      <c r="C14389" t="inlineStr">
        <is>
          <t>1437/05/19</t>
        </is>
      </c>
    </row>
    <row r="14390">
      <c r="A14390" t="n">
        <v>14370520</v>
      </c>
      <c r="B14390" t="n">
        <v>57933</v>
      </c>
      <c r="C14390" t="inlineStr">
        <is>
          <t>1437/05/20</t>
        </is>
      </c>
    </row>
    <row r="14391">
      <c r="A14391" t="n">
        <v>14370521</v>
      </c>
      <c r="B14391" t="n">
        <v>57934</v>
      </c>
      <c r="C14391" t="inlineStr">
        <is>
          <t>1437/05/21</t>
        </is>
      </c>
    </row>
    <row r="14392">
      <c r="A14392" t="n">
        <v>14370522</v>
      </c>
      <c r="B14392" t="n">
        <v>57935</v>
      </c>
      <c r="C14392" t="inlineStr">
        <is>
          <t>1437/05/22</t>
        </is>
      </c>
    </row>
    <row r="14393">
      <c r="A14393" t="n">
        <v>14370523</v>
      </c>
      <c r="B14393" t="n">
        <v>57936</v>
      </c>
      <c r="C14393" t="inlineStr">
        <is>
          <t>1437/05/23</t>
        </is>
      </c>
    </row>
    <row r="14394">
      <c r="A14394" t="n">
        <v>14370524</v>
      </c>
      <c r="B14394" t="n">
        <v>57937</v>
      </c>
      <c r="C14394" t="inlineStr">
        <is>
          <t>1437/05/24</t>
        </is>
      </c>
    </row>
    <row r="14395">
      <c r="A14395" t="n">
        <v>14370525</v>
      </c>
      <c r="B14395" t="n">
        <v>57938</v>
      </c>
      <c r="C14395" t="inlineStr">
        <is>
          <t>1437/05/25</t>
        </is>
      </c>
    </row>
    <row r="14396">
      <c r="A14396" t="n">
        <v>14370526</v>
      </c>
      <c r="B14396" t="n">
        <v>57939</v>
      </c>
      <c r="C14396" t="inlineStr">
        <is>
          <t>1437/05/26</t>
        </is>
      </c>
    </row>
    <row r="14397">
      <c r="A14397" t="n">
        <v>14370527</v>
      </c>
      <c r="B14397" t="n">
        <v>57940</v>
      </c>
      <c r="C14397" t="inlineStr">
        <is>
          <t>1437/05/27</t>
        </is>
      </c>
    </row>
    <row r="14398">
      <c r="A14398" t="n">
        <v>14370528</v>
      </c>
      <c r="B14398" t="n">
        <v>57941</v>
      </c>
      <c r="C14398" t="inlineStr">
        <is>
          <t>1437/05/28</t>
        </is>
      </c>
    </row>
    <row r="14399">
      <c r="A14399" t="n">
        <v>14370529</v>
      </c>
      <c r="B14399" t="n">
        <v>57942</v>
      </c>
      <c r="C14399" t="inlineStr">
        <is>
          <t>1437/05/29</t>
        </is>
      </c>
    </row>
    <row r="14400">
      <c r="A14400" t="n">
        <v>14370530</v>
      </c>
      <c r="B14400" t="n">
        <v>57943</v>
      </c>
      <c r="C14400" t="inlineStr">
        <is>
          <t>1437/05/30</t>
        </is>
      </c>
    </row>
    <row r="14401">
      <c r="A14401" t="n">
        <v>14370531</v>
      </c>
      <c r="B14401" t="n">
        <v>57944</v>
      </c>
      <c r="C14401" t="inlineStr">
        <is>
          <t>1437/05/31</t>
        </is>
      </c>
    </row>
    <row r="14402">
      <c r="A14402" t="n">
        <v>14370601</v>
      </c>
      <c r="B14402" t="n">
        <v>57945</v>
      </c>
      <c r="C14402" t="inlineStr">
        <is>
          <t>1437/06/01</t>
        </is>
      </c>
    </row>
    <row r="14403">
      <c r="A14403" t="n">
        <v>14370602</v>
      </c>
      <c r="B14403" t="n">
        <v>57946</v>
      </c>
      <c r="C14403" t="inlineStr">
        <is>
          <t>1437/06/02</t>
        </is>
      </c>
    </row>
    <row r="14404">
      <c r="A14404" t="n">
        <v>14370603</v>
      </c>
      <c r="B14404" t="n">
        <v>57947</v>
      </c>
      <c r="C14404" t="inlineStr">
        <is>
          <t>1437/06/03</t>
        </is>
      </c>
    </row>
    <row r="14405">
      <c r="A14405" t="n">
        <v>14370604</v>
      </c>
      <c r="B14405" t="n">
        <v>57948</v>
      </c>
      <c r="C14405" t="inlineStr">
        <is>
          <t>1437/06/04</t>
        </is>
      </c>
    </row>
    <row r="14406">
      <c r="A14406" t="n">
        <v>14370605</v>
      </c>
      <c r="B14406" t="n">
        <v>57949</v>
      </c>
      <c r="C14406" t="inlineStr">
        <is>
          <t>1437/06/05</t>
        </is>
      </c>
    </row>
    <row r="14407">
      <c r="A14407" t="n">
        <v>14370606</v>
      </c>
      <c r="B14407" t="n">
        <v>57950</v>
      </c>
      <c r="C14407" t="inlineStr">
        <is>
          <t>1437/06/06</t>
        </is>
      </c>
    </row>
    <row r="14408">
      <c r="A14408" t="n">
        <v>14370607</v>
      </c>
      <c r="B14408" t="n">
        <v>57951</v>
      </c>
      <c r="C14408" t="inlineStr">
        <is>
          <t>1437/06/07</t>
        </is>
      </c>
    </row>
    <row r="14409">
      <c r="A14409" t="n">
        <v>14370608</v>
      </c>
      <c r="B14409" t="n">
        <v>57952</v>
      </c>
      <c r="C14409" t="inlineStr">
        <is>
          <t>1437/06/08</t>
        </is>
      </c>
    </row>
    <row r="14410">
      <c r="A14410" t="n">
        <v>14370609</v>
      </c>
      <c r="B14410" t="n">
        <v>57953</v>
      </c>
      <c r="C14410" t="inlineStr">
        <is>
          <t>1437/06/09</t>
        </is>
      </c>
    </row>
    <row r="14411">
      <c r="A14411" t="n">
        <v>14370610</v>
      </c>
      <c r="B14411" t="n">
        <v>57954</v>
      </c>
      <c r="C14411" t="inlineStr">
        <is>
          <t>1437/06/10</t>
        </is>
      </c>
    </row>
    <row r="14412">
      <c r="A14412" t="n">
        <v>14370611</v>
      </c>
      <c r="B14412" t="n">
        <v>57955</v>
      </c>
      <c r="C14412" t="inlineStr">
        <is>
          <t>1437/06/11</t>
        </is>
      </c>
    </row>
    <row r="14413">
      <c r="A14413" t="n">
        <v>14370612</v>
      </c>
      <c r="B14413" t="n">
        <v>57956</v>
      </c>
      <c r="C14413" t="inlineStr">
        <is>
          <t>1437/06/12</t>
        </is>
      </c>
    </row>
    <row r="14414">
      <c r="A14414" t="n">
        <v>14370613</v>
      </c>
      <c r="B14414" t="n">
        <v>57957</v>
      </c>
      <c r="C14414" t="inlineStr">
        <is>
          <t>1437/06/13</t>
        </is>
      </c>
    </row>
    <row r="14415">
      <c r="A14415" t="n">
        <v>14370614</v>
      </c>
      <c r="B14415" t="n">
        <v>57958</v>
      </c>
      <c r="C14415" t="inlineStr">
        <is>
          <t>1437/06/14</t>
        </is>
      </c>
    </row>
    <row r="14416">
      <c r="A14416" t="n">
        <v>14370615</v>
      </c>
      <c r="B14416" t="n">
        <v>57959</v>
      </c>
      <c r="C14416" t="inlineStr">
        <is>
          <t>1437/06/15</t>
        </is>
      </c>
    </row>
    <row r="14417">
      <c r="A14417" t="n">
        <v>14370616</v>
      </c>
      <c r="B14417" t="n">
        <v>57960</v>
      </c>
      <c r="C14417" t="inlineStr">
        <is>
          <t>1437/06/16</t>
        </is>
      </c>
    </row>
    <row r="14418">
      <c r="A14418" t="n">
        <v>14370617</v>
      </c>
      <c r="B14418" t="n">
        <v>57961</v>
      </c>
      <c r="C14418" t="inlineStr">
        <is>
          <t>1437/06/17</t>
        </is>
      </c>
    </row>
    <row r="14419">
      <c r="A14419" t="n">
        <v>14370618</v>
      </c>
      <c r="B14419" t="n">
        <v>57962</v>
      </c>
      <c r="C14419" t="inlineStr">
        <is>
          <t>1437/06/18</t>
        </is>
      </c>
    </row>
    <row r="14420">
      <c r="A14420" t="n">
        <v>14370619</v>
      </c>
      <c r="B14420" t="n">
        <v>57963</v>
      </c>
      <c r="C14420" t="inlineStr">
        <is>
          <t>1437/06/19</t>
        </is>
      </c>
    </row>
    <row r="14421">
      <c r="A14421" t="n">
        <v>14370620</v>
      </c>
      <c r="B14421" t="n">
        <v>57964</v>
      </c>
      <c r="C14421" t="inlineStr">
        <is>
          <t>1437/06/20</t>
        </is>
      </c>
    </row>
    <row r="14422">
      <c r="A14422" t="n">
        <v>14370621</v>
      </c>
      <c r="B14422" t="n">
        <v>57965</v>
      </c>
      <c r="C14422" t="inlineStr">
        <is>
          <t>1437/06/21</t>
        </is>
      </c>
    </row>
    <row r="14423">
      <c r="A14423" t="n">
        <v>14370622</v>
      </c>
      <c r="B14423" t="n">
        <v>57966</v>
      </c>
      <c r="C14423" t="inlineStr">
        <is>
          <t>1437/06/22</t>
        </is>
      </c>
    </row>
    <row r="14424">
      <c r="A14424" t="n">
        <v>14370623</v>
      </c>
      <c r="B14424" t="n">
        <v>57967</v>
      </c>
      <c r="C14424" t="inlineStr">
        <is>
          <t>1437/06/23</t>
        </is>
      </c>
    </row>
    <row r="14425">
      <c r="A14425" t="n">
        <v>14370624</v>
      </c>
      <c r="B14425" t="n">
        <v>57968</v>
      </c>
      <c r="C14425" t="inlineStr">
        <is>
          <t>1437/06/24</t>
        </is>
      </c>
    </row>
    <row r="14426">
      <c r="A14426" t="n">
        <v>14370625</v>
      </c>
      <c r="B14426" t="n">
        <v>57969</v>
      </c>
      <c r="C14426" t="inlineStr">
        <is>
          <t>1437/06/25</t>
        </is>
      </c>
    </row>
    <row r="14427">
      <c r="A14427" t="n">
        <v>14370626</v>
      </c>
      <c r="B14427" t="n">
        <v>57970</v>
      </c>
      <c r="C14427" t="inlineStr">
        <is>
          <t>1437/06/26</t>
        </is>
      </c>
    </row>
    <row r="14428">
      <c r="A14428" t="n">
        <v>14370627</v>
      </c>
      <c r="B14428" t="n">
        <v>57971</v>
      </c>
      <c r="C14428" t="inlineStr">
        <is>
          <t>1437/06/27</t>
        </is>
      </c>
    </row>
    <row r="14429">
      <c r="A14429" t="n">
        <v>14370628</v>
      </c>
      <c r="B14429" t="n">
        <v>57972</v>
      </c>
      <c r="C14429" t="inlineStr">
        <is>
          <t>1437/06/28</t>
        </is>
      </c>
    </row>
    <row r="14430">
      <c r="A14430" t="n">
        <v>14370629</v>
      </c>
      <c r="B14430" t="n">
        <v>57973</v>
      </c>
      <c r="C14430" t="inlineStr">
        <is>
          <t>1437/06/29</t>
        </is>
      </c>
    </row>
    <row r="14431">
      <c r="A14431" t="n">
        <v>14370630</v>
      </c>
      <c r="B14431" t="n">
        <v>57974</v>
      </c>
      <c r="C14431" t="inlineStr">
        <is>
          <t>1437/06/30</t>
        </is>
      </c>
    </row>
    <row r="14432">
      <c r="A14432" t="n">
        <v>14370631</v>
      </c>
      <c r="B14432" t="n">
        <v>57975</v>
      </c>
      <c r="C14432" t="inlineStr">
        <is>
          <t>1437/06/31</t>
        </is>
      </c>
    </row>
    <row r="14433">
      <c r="A14433" t="n">
        <v>14370701</v>
      </c>
      <c r="B14433" t="n">
        <v>57976</v>
      </c>
      <c r="C14433" t="inlineStr">
        <is>
          <t>1437/07/01</t>
        </is>
      </c>
    </row>
    <row r="14434">
      <c r="A14434" t="n">
        <v>14370702</v>
      </c>
      <c r="B14434" t="n">
        <v>57977</v>
      </c>
      <c r="C14434" t="inlineStr">
        <is>
          <t>1437/07/02</t>
        </is>
      </c>
    </row>
    <row r="14435">
      <c r="A14435" t="n">
        <v>14370703</v>
      </c>
      <c r="B14435" t="n">
        <v>57978</v>
      </c>
      <c r="C14435" t="inlineStr">
        <is>
          <t>1437/07/03</t>
        </is>
      </c>
    </row>
    <row r="14436">
      <c r="A14436" t="n">
        <v>14370704</v>
      </c>
      <c r="B14436" t="n">
        <v>57979</v>
      </c>
      <c r="C14436" t="inlineStr">
        <is>
          <t>1437/07/04</t>
        </is>
      </c>
    </row>
    <row r="14437">
      <c r="A14437" t="n">
        <v>14370705</v>
      </c>
      <c r="B14437" t="n">
        <v>57980</v>
      </c>
      <c r="C14437" t="inlineStr">
        <is>
          <t>1437/07/05</t>
        </is>
      </c>
    </row>
    <row r="14438">
      <c r="A14438" t="n">
        <v>14370706</v>
      </c>
      <c r="B14438" t="n">
        <v>57981</v>
      </c>
      <c r="C14438" t="inlineStr">
        <is>
          <t>1437/07/06</t>
        </is>
      </c>
    </row>
    <row r="14439">
      <c r="A14439" t="n">
        <v>14370707</v>
      </c>
      <c r="B14439" t="n">
        <v>57982</v>
      </c>
      <c r="C14439" t="inlineStr">
        <is>
          <t>1437/07/07</t>
        </is>
      </c>
    </row>
    <row r="14440">
      <c r="A14440" t="n">
        <v>14370708</v>
      </c>
      <c r="B14440" t="n">
        <v>57983</v>
      </c>
      <c r="C14440" t="inlineStr">
        <is>
          <t>1437/07/08</t>
        </is>
      </c>
    </row>
    <row r="14441">
      <c r="A14441" t="n">
        <v>14370709</v>
      </c>
      <c r="B14441" t="n">
        <v>57984</v>
      </c>
      <c r="C14441" t="inlineStr">
        <is>
          <t>1437/07/09</t>
        </is>
      </c>
    </row>
    <row r="14442">
      <c r="A14442" t="n">
        <v>14370710</v>
      </c>
      <c r="B14442" t="n">
        <v>57985</v>
      </c>
      <c r="C14442" t="inlineStr">
        <is>
          <t>1437/07/10</t>
        </is>
      </c>
    </row>
    <row r="14443">
      <c r="A14443" t="n">
        <v>14370711</v>
      </c>
      <c r="B14443" t="n">
        <v>57986</v>
      </c>
      <c r="C14443" t="inlineStr">
        <is>
          <t>1437/07/11</t>
        </is>
      </c>
    </row>
    <row r="14444">
      <c r="A14444" t="n">
        <v>14370712</v>
      </c>
      <c r="B14444" t="n">
        <v>57987</v>
      </c>
      <c r="C14444" t="inlineStr">
        <is>
          <t>1437/07/12</t>
        </is>
      </c>
    </row>
    <row r="14445">
      <c r="A14445" t="n">
        <v>14370713</v>
      </c>
      <c r="B14445" t="n">
        <v>57988</v>
      </c>
      <c r="C14445" t="inlineStr">
        <is>
          <t>1437/07/13</t>
        </is>
      </c>
    </row>
    <row r="14446">
      <c r="A14446" t="n">
        <v>14370714</v>
      </c>
      <c r="B14446" t="n">
        <v>57989</v>
      </c>
      <c r="C14446" t="inlineStr">
        <is>
          <t>1437/07/14</t>
        </is>
      </c>
    </row>
    <row r="14447">
      <c r="A14447" t="n">
        <v>14370715</v>
      </c>
      <c r="B14447" t="n">
        <v>57990</v>
      </c>
      <c r="C14447" t="inlineStr">
        <is>
          <t>1437/07/15</t>
        </is>
      </c>
    </row>
    <row r="14448">
      <c r="A14448" t="n">
        <v>14370716</v>
      </c>
      <c r="B14448" t="n">
        <v>57991</v>
      </c>
      <c r="C14448" t="inlineStr">
        <is>
          <t>1437/07/16</t>
        </is>
      </c>
    </row>
    <row r="14449">
      <c r="A14449" t="n">
        <v>14370717</v>
      </c>
      <c r="B14449" t="n">
        <v>57992</v>
      </c>
      <c r="C14449" t="inlineStr">
        <is>
          <t>1437/07/17</t>
        </is>
      </c>
    </row>
    <row r="14450">
      <c r="A14450" t="n">
        <v>14370718</v>
      </c>
      <c r="B14450" t="n">
        <v>57993</v>
      </c>
      <c r="C14450" t="inlineStr">
        <is>
          <t>1437/07/18</t>
        </is>
      </c>
    </row>
    <row r="14451">
      <c r="A14451" t="n">
        <v>14370719</v>
      </c>
      <c r="B14451" t="n">
        <v>57994</v>
      </c>
      <c r="C14451" t="inlineStr">
        <is>
          <t>1437/07/19</t>
        </is>
      </c>
    </row>
    <row r="14452">
      <c r="A14452" t="n">
        <v>14370720</v>
      </c>
      <c r="B14452" t="n">
        <v>57995</v>
      </c>
      <c r="C14452" t="inlineStr">
        <is>
          <t>1437/07/20</t>
        </is>
      </c>
    </row>
    <row r="14453">
      <c r="A14453" t="n">
        <v>14370721</v>
      </c>
      <c r="B14453" t="n">
        <v>57996</v>
      </c>
      <c r="C14453" t="inlineStr">
        <is>
          <t>1437/07/21</t>
        </is>
      </c>
    </row>
    <row r="14454">
      <c r="A14454" t="n">
        <v>14370722</v>
      </c>
      <c r="B14454" t="n">
        <v>57997</v>
      </c>
      <c r="C14454" t="inlineStr">
        <is>
          <t>1437/07/22</t>
        </is>
      </c>
    </row>
    <row r="14455">
      <c r="A14455" t="n">
        <v>14370723</v>
      </c>
      <c r="B14455" t="n">
        <v>57998</v>
      </c>
      <c r="C14455" t="inlineStr">
        <is>
          <t>1437/07/23</t>
        </is>
      </c>
    </row>
    <row r="14456">
      <c r="A14456" t="n">
        <v>14370724</v>
      </c>
      <c r="B14456" t="n">
        <v>57999</v>
      </c>
      <c r="C14456" t="inlineStr">
        <is>
          <t>1437/07/24</t>
        </is>
      </c>
    </row>
    <row r="14457">
      <c r="A14457" t="n">
        <v>14370725</v>
      </c>
      <c r="B14457" t="n">
        <v>58000</v>
      </c>
      <c r="C14457" t="inlineStr">
        <is>
          <t>1437/07/25</t>
        </is>
      </c>
    </row>
    <row r="14458">
      <c r="A14458" t="n">
        <v>14370726</v>
      </c>
      <c r="B14458" t="n">
        <v>58001</v>
      </c>
      <c r="C14458" t="inlineStr">
        <is>
          <t>1437/07/26</t>
        </is>
      </c>
    </row>
    <row r="14459">
      <c r="A14459" t="n">
        <v>14370727</v>
      </c>
      <c r="B14459" t="n">
        <v>58002</v>
      </c>
      <c r="C14459" t="inlineStr">
        <is>
          <t>1437/07/27</t>
        </is>
      </c>
    </row>
    <row r="14460">
      <c r="A14460" t="n">
        <v>14370728</v>
      </c>
      <c r="B14460" t="n">
        <v>58003</v>
      </c>
      <c r="C14460" t="inlineStr">
        <is>
          <t>1437/07/28</t>
        </is>
      </c>
    </row>
    <row r="14461">
      <c r="A14461" t="n">
        <v>14370729</v>
      </c>
      <c r="B14461" t="n">
        <v>58004</v>
      </c>
      <c r="C14461" t="inlineStr">
        <is>
          <t>1437/07/29</t>
        </is>
      </c>
    </row>
    <row r="14462">
      <c r="A14462" t="n">
        <v>14370730</v>
      </c>
      <c r="B14462" t="n">
        <v>58005</v>
      </c>
      <c r="C14462" t="inlineStr">
        <is>
          <t>1437/07/30</t>
        </is>
      </c>
    </row>
    <row r="14463">
      <c r="A14463" t="n">
        <v>14370801</v>
      </c>
      <c r="B14463" t="n">
        <v>58006</v>
      </c>
      <c r="C14463" t="inlineStr">
        <is>
          <t>1437/08/01</t>
        </is>
      </c>
    </row>
    <row r="14464">
      <c r="A14464" t="n">
        <v>14370802</v>
      </c>
      <c r="B14464" t="n">
        <v>58007</v>
      </c>
      <c r="C14464" t="inlineStr">
        <is>
          <t>1437/08/02</t>
        </is>
      </c>
    </row>
    <row r="14465">
      <c r="A14465" t="n">
        <v>14370803</v>
      </c>
      <c r="B14465" t="n">
        <v>58008</v>
      </c>
      <c r="C14465" t="inlineStr">
        <is>
          <t>1437/08/03</t>
        </is>
      </c>
    </row>
    <row r="14466">
      <c r="A14466" t="n">
        <v>14370804</v>
      </c>
      <c r="B14466" t="n">
        <v>58009</v>
      </c>
      <c r="C14466" t="inlineStr">
        <is>
          <t>1437/08/04</t>
        </is>
      </c>
    </row>
    <row r="14467">
      <c r="A14467" t="n">
        <v>14370805</v>
      </c>
      <c r="B14467" t="n">
        <v>58010</v>
      </c>
      <c r="C14467" t="inlineStr">
        <is>
          <t>1437/08/05</t>
        </is>
      </c>
    </row>
    <row r="14468">
      <c r="A14468" t="n">
        <v>14370806</v>
      </c>
      <c r="B14468" t="n">
        <v>58011</v>
      </c>
      <c r="C14468" t="inlineStr">
        <is>
          <t>1437/08/06</t>
        </is>
      </c>
    </row>
    <row r="14469">
      <c r="A14469" t="n">
        <v>14370807</v>
      </c>
      <c r="B14469" t="n">
        <v>58012</v>
      </c>
      <c r="C14469" t="inlineStr">
        <is>
          <t>1437/08/07</t>
        </is>
      </c>
    </row>
    <row r="14470">
      <c r="A14470" t="n">
        <v>14370808</v>
      </c>
      <c r="B14470" t="n">
        <v>58013</v>
      </c>
      <c r="C14470" t="inlineStr">
        <is>
          <t>1437/08/08</t>
        </is>
      </c>
    </row>
    <row r="14471">
      <c r="A14471" t="n">
        <v>14370809</v>
      </c>
      <c r="B14471" t="n">
        <v>58014</v>
      </c>
      <c r="C14471" t="inlineStr">
        <is>
          <t>1437/08/09</t>
        </is>
      </c>
    </row>
    <row r="14472">
      <c r="A14472" t="n">
        <v>14370810</v>
      </c>
      <c r="B14472" t="n">
        <v>58015</v>
      </c>
      <c r="C14472" t="inlineStr">
        <is>
          <t>1437/08/10</t>
        </is>
      </c>
    </row>
    <row r="14473">
      <c r="A14473" t="n">
        <v>14370811</v>
      </c>
      <c r="B14473" t="n">
        <v>58016</v>
      </c>
      <c r="C14473" t="inlineStr">
        <is>
          <t>1437/08/11</t>
        </is>
      </c>
    </row>
    <row r="14474">
      <c r="A14474" t="n">
        <v>14370812</v>
      </c>
      <c r="B14474" t="n">
        <v>58017</v>
      </c>
      <c r="C14474" t="inlineStr">
        <is>
          <t>1437/08/12</t>
        </is>
      </c>
    </row>
    <row r="14475">
      <c r="A14475" t="n">
        <v>14370813</v>
      </c>
      <c r="B14475" t="n">
        <v>58018</v>
      </c>
      <c r="C14475" t="inlineStr">
        <is>
          <t>1437/08/13</t>
        </is>
      </c>
    </row>
    <row r="14476">
      <c r="A14476" t="n">
        <v>14370814</v>
      </c>
      <c r="B14476" t="n">
        <v>58019</v>
      </c>
      <c r="C14476" t="inlineStr">
        <is>
          <t>1437/08/14</t>
        </is>
      </c>
    </row>
    <row r="14477">
      <c r="A14477" t="n">
        <v>14370815</v>
      </c>
      <c r="B14477" t="n">
        <v>58020</v>
      </c>
      <c r="C14477" t="inlineStr">
        <is>
          <t>1437/08/15</t>
        </is>
      </c>
    </row>
    <row r="14478">
      <c r="A14478" t="n">
        <v>14370816</v>
      </c>
      <c r="B14478" t="n">
        <v>58021</v>
      </c>
      <c r="C14478" t="inlineStr">
        <is>
          <t>1437/08/16</t>
        </is>
      </c>
    </row>
    <row r="14479">
      <c r="A14479" t="n">
        <v>14370817</v>
      </c>
      <c r="B14479" t="n">
        <v>58022</v>
      </c>
      <c r="C14479" t="inlineStr">
        <is>
          <t>1437/08/17</t>
        </is>
      </c>
    </row>
    <row r="14480">
      <c r="A14480" t="n">
        <v>14370818</v>
      </c>
      <c r="B14480" t="n">
        <v>58023</v>
      </c>
      <c r="C14480" t="inlineStr">
        <is>
          <t>1437/08/18</t>
        </is>
      </c>
    </row>
    <row r="14481">
      <c r="A14481" t="n">
        <v>14370819</v>
      </c>
      <c r="B14481" t="n">
        <v>58024</v>
      </c>
      <c r="C14481" t="inlineStr">
        <is>
          <t>1437/08/19</t>
        </is>
      </c>
    </row>
    <row r="14482">
      <c r="A14482" t="n">
        <v>14370820</v>
      </c>
      <c r="B14482" t="n">
        <v>58025</v>
      </c>
      <c r="C14482" t="inlineStr">
        <is>
          <t>1437/08/20</t>
        </is>
      </c>
    </row>
    <row r="14483">
      <c r="A14483" t="n">
        <v>14370821</v>
      </c>
      <c r="B14483" t="n">
        <v>58026</v>
      </c>
      <c r="C14483" t="inlineStr">
        <is>
          <t>1437/08/21</t>
        </is>
      </c>
    </row>
    <row r="14484">
      <c r="A14484" t="n">
        <v>14370822</v>
      </c>
      <c r="B14484" t="n">
        <v>58027</v>
      </c>
      <c r="C14484" t="inlineStr">
        <is>
          <t>1437/08/22</t>
        </is>
      </c>
    </row>
    <row r="14485">
      <c r="A14485" t="n">
        <v>14370823</v>
      </c>
      <c r="B14485" t="n">
        <v>58028</v>
      </c>
      <c r="C14485" t="inlineStr">
        <is>
          <t>1437/08/23</t>
        </is>
      </c>
    </row>
    <row r="14486">
      <c r="A14486" t="n">
        <v>14370824</v>
      </c>
      <c r="B14486" t="n">
        <v>58029</v>
      </c>
      <c r="C14486" t="inlineStr">
        <is>
          <t>1437/08/24</t>
        </is>
      </c>
    </row>
    <row r="14487">
      <c r="A14487" t="n">
        <v>14370825</v>
      </c>
      <c r="B14487" t="n">
        <v>58030</v>
      </c>
      <c r="C14487" t="inlineStr">
        <is>
          <t>1437/08/25</t>
        </is>
      </c>
    </row>
    <row r="14488">
      <c r="A14488" t="n">
        <v>14370826</v>
      </c>
      <c r="B14488" t="n">
        <v>58031</v>
      </c>
      <c r="C14488" t="inlineStr">
        <is>
          <t>1437/08/26</t>
        </is>
      </c>
    </row>
    <row r="14489">
      <c r="A14489" t="n">
        <v>14370827</v>
      </c>
      <c r="B14489" t="n">
        <v>58032</v>
      </c>
      <c r="C14489" t="inlineStr">
        <is>
          <t>1437/08/27</t>
        </is>
      </c>
    </row>
    <row r="14490">
      <c r="A14490" t="n">
        <v>14370828</v>
      </c>
      <c r="B14490" t="n">
        <v>58033</v>
      </c>
      <c r="C14490" t="inlineStr">
        <is>
          <t>1437/08/28</t>
        </is>
      </c>
    </row>
    <row r="14491">
      <c r="A14491" t="n">
        <v>14370829</v>
      </c>
      <c r="B14491" t="n">
        <v>58034</v>
      </c>
      <c r="C14491" t="inlineStr">
        <is>
          <t>1437/08/29</t>
        </is>
      </c>
    </row>
    <row r="14492">
      <c r="A14492" t="n">
        <v>14370830</v>
      </c>
      <c r="B14492" t="n">
        <v>58035</v>
      </c>
      <c r="C14492" t="inlineStr">
        <is>
          <t>1437/08/30</t>
        </is>
      </c>
    </row>
    <row r="14493">
      <c r="A14493" t="n">
        <v>14370901</v>
      </c>
      <c r="B14493" t="n">
        <v>58036</v>
      </c>
      <c r="C14493" t="inlineStr">
        <is>
          <t>1437/09/01</t>
        </is>
      </c>
    </row>
    <row r="14494">
      <c r="A14494" t="n">
        <v>14370902</v>
      </c>
      <c r="B14494" t="n">
        <v>58037</v>
      </c>
      <c r="C14494" t="inlineStr">
        <is>
          <t>1437/09/02</t>
        </is>
      </c>
    </row>
    <row r="14495">
      <c r="A14495" t="n">
        <v>14370903</v>
      </c>
      <c r="B14495" t="n">
        <v>58038</v>
      </c>
      <c r="C14495" t="inlineStr">
        <is>
          <t>1437/09/03</t>
        </is>
      </c>
    </row>
    <row r="14496">
      <c r="A14496" t="n">
        <v>14370904</v>
      </c>
      <c r="B14496" t="n">
        <v>58039</v>
      </c>
      <c r="C14496" t="inlineStr">
        <is>
          <t>1437/09/04</t>
        </is>
      </c>
    </row>
    <row r="14497">
      <c r="A14497" t="n">
        <v>14370905</v>
      </c>
      <c r="B14497" t="n">
        <v>58040</v>
      </c>
      <c r="C14497" t="inlineStr">
        <is>
          <t>1437/09/05</t>
        </is>
      </c>
    </row>
    <row r="14498">
      <c r="A14498" t="n">
        <v>14370906</v>
      </c>
      <c r="B14498" t="n">
        <v>58041</v>
      </c>
      <c r="C14498" t="inlineStr">
        <is>
          <t>1437/09/06</t>
        </is>
      </c>
    </row>
    <row r="14499">
      <c r="A14499" t="n">
        <v>14370907</v>
      </c>
      <c r="B14499" t="n">
        <v>58042</v>
      </c>
      <c r="C14499" t="inlineStr">
        <is>
          <t>1437/09/07</t>
        </is>
      </c>
    </row>
    <row r="14500">
      <c r="A14500" t="n">
        <v>14370908</v>
      </c>
      <c r="B14500" t="n">
        <v>58043</v>
      </c>
      <c r="C14500" t="inlineStr">
        <is>
          <t>1437/09/08</t>
        </is>
      </c>
    </row>
    <row r="14501">
      <c r="A14501" t="n">
        <v>14370909</v>
      </c>
      <c r="B14501" t="n">
        <v>58044</v>
      </c>
      <c r="C14501" t="inlineStr">
        <is>
          <t>1437/09/09</t>
        </is>
      </c>
    </row>
    <row r="14502">
      <c r="A14502" t="n">
        <v>14370910</v>
      </c>
      <c r="B14502" t="n">
        <v>58045</v>
      </c>
      <c r="C14502" t="inlineStr">
        <is>
          <t>1437/09/10</t>
        </is>
      </c>
    </row>
    <row r="14503">
      <c r="A14503" t="n">
        <v>14370911</v>
      </c>
      <c r="B14503" t="n">
        <v>58046</v>
      </c>
      <c r="C14503" t="inlineStr">
        <is>
          <t>1437/09/11</t>
        </is>
      </c>
    </row>
    <row r="14504">
      <c r="A14504" t="n">
        <v>14370912</v>
      </c>
      <c r="B14504" t="n">
        <v>58047</v>
      </c>
      <c r="C14504" t="inlineStr">
        <is>
          <t>1437/09/12</t>
        </is>
      </c>
    </row>
    <row r="14505">
      <c r="A14505" t="n">
        <v>14370913</v>
      </c>
      <c r="B14505" t="n">
        <v>58048</v>
      </c>
      <c r="C14505" t="inlineStr">
        <is>
          <t>1437/09/13</t>
        </is>
      </c>
    </row>
    <row r="14506">
      <c r="A14506" t="n">
        <v>14370914</v>
      </c>
      <c r="B14506" t="n">
        <v>58049</v>
      </c>
      <c r="C14506" t="inlineStr">
        <is>
          <t>1437/09/14</t>
        </is>
      </c>
    </row>
    <row r="14507">
      <c r="A14507" t="n">
        <v>14370915</v>
      </c>
      <c r="B14507" t="n">
        <v>58050</v>
      </c>
      <c r="C14507" t="inlineStr">
        <is>
          <t>1437/09/15</t>
        </is>
      </c>
    </row>
    <row r="14508">
      <c r="A14508" t="n">
        <v>14370916</v>
      </c>
      <c r="B14508" t="n">
        <v>58051</v>
      </c>
      <c r="C14508" t="inlineStr">
        <is>
          <t>1437/09/16</t>
        </is>
      </c>
    </row>
    <row r="14509">
      <c r="A14509" t="n">
        <v>14370917</v>
      </c>
      <c r="B14509" t="n">
        <v>58052</v>
      </c>
      <c r="C14509" t="inlineStr">
        <is>
          <t>1437/09/17</t>
        </is>
      </c>
    </row>
    <row r="14510">
      <c r="A14510" t="n">
        <v>14370918</v>
      </c>
      <c r="B14510" t="n">
        <v>58053</v>
      </c>
      <c r="C14510" t="inlineStr">
        <is>
          <t>1437/09/18</t>
        </is>
      </c>
    </row>
    <row r="14511">
      <c r="A14511" t="n">
        <v>14370919</v>
      </c>
      <c r="B14511" t="n">
        <v>58054</v>
      </c>
      <c r="C14511" t="inlineStr">
        <is>
          <t>1437/09/19</t>
        </is>
      </c>
    </row>
    <row r="14512">
      <c r="A14512" t="n">
        <v>14370920</v>
      </c>
      <c r="B14512" t="n">
        <v>58055</v>
      </c>
      <c r="C14512" t="inlineStr">
        <is>
          <t>1437/09/20</t>
        </is>
      </c>
    </row>
    <row r="14513">
      <c r="A14513" t="n">
        <v>14370921</v>
      </c>
      <c r="B14513" t="n">
        <v>58056</v>
      </c>
      <c r="C14513" t="inlineStr">
        <is>
          <t>1437/09/21</t>
        </is>
      </c>
    </row>
    <row r="14514">
      <c r="A14514" t="n">
        <v>14370922</v>
      </c>
      <c r="B14514" t="n">
        <v>58057</v>
      </c>
      <c r="C14514" t="inlineStr">
        <is>
          <t>1437/09/22</t>
        </is>
      </c>
    </row>
    <row r="14515">
      <c r="A14515" t="n">
        <v>14370923</v>
      </c>
      <c r="B14515" t="n">
        <v>58058</v>
      </c>
      <c r="C14515" t="inlineStr">
        <is>
          <t>1437/09/23</t>
        </is>
      </c>
    </row>
    <row r="14516">
      <c r="A14516" t="n">
        <v>14370924</v>
      </c>
      <c r="B14516" t="n">
        <v>58059</v>
      </c>
      <c r="C14516" t="inlineStr">
        <is>
          <t>1437/09/24</t>
        </is>
      </c>
    </row>
    <row r="14517">
      <c r="A14517" t="n">
        <v>14370925</v>
      </c>
      <c r="B14517" t="n">
        <v>58060</v>
      </c>
      <c r="C14517" t="inlineStr">
        <is>
          <t>1437/09/25</t>
        </is>
      </c>
    </row>
    <row r="14518">
      <c r="A14518" t="n">
        <v>14370926</v>
      </c>
      <c r="B14518" t="n">
        <v>58061</v>
      </c>
      <c r="C14518" t="inlineStr">
        <is>
          <t>1437/09/26</t>
        </is>
      </c>
    </row>
    <row r="14519">
      <c r="A14519" t="n">
        <v>14370927</v>
      </c>
      <c r="B14519" t="n">
        <v>58062</v>
      </c>
      <c r="C14519" t="inlineStr">
        <is>
          <t>1437/09/27</t>
        </is>
      </c>
    </row>
    <row r="14520">
      <c r="A14520" t="n">
        <v>14370928</v>
      </c>
      <c r="B14520" t="n">
        <v>58063</v>
      </c>
      <c r="C14520" t="inlineStr">
        <is>
          <t>1437/09/28</t>
        </is>
      </c>
    </row>
    <row r="14521">
      <c r="A14521" t="n">
        <v>14370929</v>
      </c>
      <c r="B14521" t="n">
        <v>58064</v>
      </c>
      <c r="C14521" t="inlineStr">
        <is>
          <t>1437/09/29</t>
        </is>
      </c>
    </row>
    <row r="14522">
      <c r="A14522" t="n">
        <v>14370930</v>
      </c>
      <c r="B14522" t="n">
        <v>58065</v>
      </c>
      <c r="C14522" t="inlineStr">
        <is>
          <t>1437/09/30</t>
        </is>
      </c>
    </row>
    <row r="14523">
      <c r="A14523" t="n">
        <v>14371001</v>
      </c>
      <c r="B14523" t="n">
        <v>58066</v>
      </c>
      <c r="C14523" t="inlineStr">
        <is>
          <t>1437/10/01</t>
        </is>
      </c>
    </row>
    <row r="14524">
      <c r="A14524" t="n">
        <v>14371002</v>
      </c>
      <c r="B14524" t="n">
        <v>58067</v>
      </c>
      <c r="C14524" t="inlineStr">
        <is>
          <t>1437/10/02</t>
        </is>
      </c>
    </row>
    <row r="14525">
      <c r="A14525" t="n">
        <v>14371003</v>
      </c>
      <c r="B14525" t="n">
        <v>58068</v>
      </c>
      <c r="C14525" t="inlineStr">
        <is>
          <t>1437/10/03</t>
        </is>
      </c>
    </row>
    <row r="14526">
      <c r="A14526" t="n">
        <v>14371004</v>
      </c>
      <c r="B14526" t="n">
        <v>58069</v>
      </c>
      <c r="C14526" t="inlineStr">
        <is>
          <t>1437/10/04</t>
        </is>
      </c>
    </row>
    <row r="14527">
      <c r="A14527" t="n">
        <v>14371005</v>
      </c>
      <c r="B14527" t="n">
        <v>58070</v>
      </c>
      <c r="C14527" t="inlineStr">
        <is>
          <t>1437/10/05</t>
        </is>
      </c>
    </row>
    <row r="14528">
      <c r="A14528" t="n">
        <v>14371006</v>
      </c>
      <c r="B14528" t="n">
        <v>58071</v>
      </c>
      <c r="C14528" t="inlineStr">
        <is>
          <t>1437/10/06</t>
        </is>
      </c>
    </row>
    <row r="14529">
      <c r="A14529" t="n">
        <v>14371007</v>
      </c>
      <c r="B14529" t="n">
        <v>58072</v>
      </c>
      <c r="C14529" t="inlineStr">
        <is>
          <t>1437/10/07</t>
        </is>
      </c>
    </row>
    <row r="14530">
      <c r="A14530" t="n">
        <v>14371008</v>
      </c>
      <c r="B14530" t="n">
        <v>58073</v>
      </c>
      <c r="C14530" t="inlineStr">
        <is>
          <t>1437/10/08</t>
        </is>
      </c>
    </row>
    <row r="14531">
      <c r="A14531" t="n">
        <v>14371009</v>
      </c>
      <c r="B14531" t="n">
        <v>58074</v>
      </c>
      <c r="C14531" t="inlineStr">
        <is>
          <t>1437/10/09</t>
        </is>
      </c>
    </row>
    <row r="14532">
      <c r="A14532" t="n">
        <v>14371010</v>
      </c>
      <c r="B14532" t="n">
        <v>58075</v>
      </c>
      <c r="C14532" t="inlineStr">
        <is>
          <t>1437/10/10</t>
        </is>
      </c>
    </row>
    <row r="14533">
      <c r="A14533" t="n">
        <v>14371011</v>
      </c>
      <c r="B14533" t="n">
        <v>58076</v>
      </c>
      <c r="C14533" t="inlineStr">
        <is>
          <t>1437/10/11</t>
        </is>
      </c>
    </row>
    <row r="14534">
      <c r="A14534" t="n">
        <v>14371012</v>
      </c>
      <c r="B14534" t="n">
        <v>58077</v>
      </c>
      <c r="C14534" t="inlineStr">
        <is>
          <t>1437/10/12</t>
        </is>
      </c>
    </row>
    <row r="14535">
      <c r="A14535" t="n">
        <v>14371013</v>
      </c>
      <c r="B14535" t="n">
        <v>58078</v>
      </c>
      <c r="C14535" t="inlineStr">
        <is>
          <t>1437/10/13</t>
        </is>
      </c>
    </row>
    <row r="14536">
      <c r="A14536" t="n">
        <v>14371014</v>
      </c>
      <c r="B14536" t="n">
        <v>58079</v>
      </c>
      <c r="C14536" t="inlineStr">
        <is>
          <t>1437/10/14</t>
        </is>
      </c>
    </row>
    <row r="14537">
      <c r="A14537" t="n">
        <v>14371015</v>
      </c>
      <c r="B14537" t="n">
        <v>58080</v>
      </c>
      <c r="C14537" t="inlineStr">
        <is>
          <t>1437/10/15</t>
        </is>
      </c>
    </row>
    <row r="14538">
      <c r="A14538" t="n">
        <v>14371016</v>
      </c>
      <c r="B14538" t="n">
        <v>58081</v>
      </c>
      <c r="C14538" t="inlineStr">
        <is>
          <t>1437/10/16</t>
        </is>
      </c>
    </row>
    <row r="14539">
      <c r="A14539" t="n">
        <v>14371017</v>
      </c>
      <c r="B14539" t="n">
        <v>58082</v>
      </c>
      <c r="C14539" t="inlineStr">
        <is>
          <t>1437/10/17</t>
        </is>
      </c>
    </row>
    <row r="14540">
      <c r="A14540" t="n">
        <v>14371018</v>
      </c>
      <c r="B14540" t="n">
        <v>58083</v>
      </c>
      <c r="C14540" t="inlineStr">
        <is>
          <t>1437/10/18</t>
        </is>
      </c>
    </row>
    <row r="14541">
      <c r="A14541" t="n">
        <v>14371019</v>
      </c>
      <c r="B14541" t="n">
        <v>58084</v>
      </c>
      <c r="C14541" t="inlineStr">
        <is>
          <t>1437/10/19</t>
        </is>
      </c>
    </row>
    <row r="14542">
      <c r="A14542" t="n">
        <v>14371020</v>
      </c>
      <c r="B14542" t="n">
        <v>58085</v>
      </c>
      <c r="C14542" t="inlineStr">
        <is>
          <t>1437/10/20</t>
        </is>
      </c>
    </row>
    <row r="14543">
      <c r="A14543" t="n">
        <v>14371021</v>
      </c>
      <c r="B14543" t="n">
        <v>58086</v>
      </c>
      <c r="C14543" t="inlineStr">
        <is>
          <t>1437/10/21</t>
        </is>
      </c>
    </row>
    <row r="14544">
      <c r="A14544" t="n">
        <v>14371022</v>
      </c>
      <c r="B14544" t="n">
        <v>58087</v>
      </c>
      <c r="C14544" t="inlineStr">
        <is>
          <t>1437/10/22</t>
        </is>
      </c>
    </row>
    <row r="14545">
      <c r="A14545" t="n">
        <v>14371023</v>
      </c>
      <c r="B14545" t="n">
        <v>58088</v>
      </c>
      <c r="C14545" t="inlineStr">
        <is>
          <t>1437/10/23</t>
        </is>
      </c>
    </row>
    <row r="14546">
      <c r="A14546" t="n">
        <v>14371024</v>
      </c>
      <c r="B14546" t="n">
        <v>58089</v>
      </c>
      <c r="C14546" t="inlineStr">
        <is>
          <t>1437/10/24</t>
        </is>
      </c>
    </row>
    <row r="14547">
      <c r="A14547" t="n">
        <v>14371025</v>
      </c>
      <c r="B14547" t="n">
        <v>58090</v>
      </c>
      <c r="C14547" t="inlineStr">
        <is>
          <t>1437/10/25</t>
        </is>
      </c>
    </row>
    <row r="14548">
      <c r="A14548" t="n">
        <v>14371026</v>
      </c>
      <c r="B14548" t="n">
        <v>58091</v>
      </c>
      <c r="C14548" t="inlineStr">
        <is>
          <t>1437/10/26</t>
        </is>
      </c>
    </row>
    <row r="14549">
      <c r="A14549" t="n">
        <v>14371027</v>
      </c>
      <c r="B14549" t="n">
        <v>58092</v>
      </c>
      <c r="C14549" t="inlineStr">
        <is>
          <t>1437/10/27</t>
        </is>
      </c>
    </row>
    <row r="14550">
      <c r="A14550" t="n">
        <v>14371028</v>
      </c>
      <c r="B14550" t="n">
        <v>58093</v>
      </c>
      <c r="C14550" t="inlineStr">
        <is>
          <t>1437/10/28</t>
        </is>
      </c>
    </row>
    <row r="14551">
      <c r="A14551" t="n">
        <v>14371029</v>
      </c>
      <c r="B14551" t="n">
        <v>58094</v>
      </c>
      <c r="C14551" t="inlineStr">
        <is>
          <t>1437/10/29</t>
        </is>
      </c>
    </row>
    <row r="14552">
      <c r="A14552" t="n">
        <v>14371030</v>
      </c>
      <c r="B14552" t="n">
        <v>58095</v>
      </c>
      <c r="C14552" t="inlineStr">
        <is>
          <t>1437/10/30</t>
        </is>
      </c>
    </row>
    <row r="14553">
      <c r="A14553" t="n">
        <v>14371101</v>
      </c>
      <c r="B14553" t="n">
        <v>58096</v>
      </c>
      <c r="C14553" t="inlineStr">
        <is>
          <t>1437/11/01</t>
        </is>
      </c>
    </row>
    <row r="14554">
      <c r="A14554" t="n">
        <v>14371102</v>
      </c>
      <c r="B14554" t="n">
        <v>58097</v>
      </c>
      <c r="C14554" t="inlineStr">
        <is>
          <t>1437/11/02</t>
        </is>
      </c>
    </row>
    <row r="14555">
      <c r="A14555" t="n">
        <v>14371103</v>
      </c>
      <c r="B14555" t="n">
        <v>58098</v>
      </c>
      <c r="C14555" t="inlineStr">
        <is>
          <t>1437/11/03</t>
        </is>
      </c>
    </row>
    <row r="14556">
      <c r="A14556" t="n">
        <v>14371104</v>
      </c>
      <c r="B14556" t="n">
        <v>58099</v>
      </c>
      <c r="C14556" t="inlineStr">
        <is>
          <t>1437/11/04</t>
        </is>
      </c>
    </row>
    <row r="14557">
      <c r="A14557" t="n">
        <v>14371105</v>
      </c>
      <c r="B14557" t="n">
        <v>58100</v>
      </c>
      <c r="C14557" t="inlineStr">
        <is>
          <t>1437/11/05</t>
        </is>
      </c>
    </row>
    <row r="14558">
      <c r="A14558" t="n">
        <v>14371106</v>
      </c>
      <c r="B14558" t="n">
        <v>58101</v>
      </c>
      <c r="C14558" t="inlineStr">
        <is>
          <t>1437/11/06</t>
        </is>
      </c>
    </row>
    <row r="14559">
      <c r="A14559" t="n">
        <v>14371107</v>
      </c>
      <c r="B14559" t="n">
        <v>58102</v>
      </c>
      <c r="C14559" t="inlineStr">
        <is>
          <t>1437/11/07</t>
        </is>
      </c>
    </row>
    <row r="14560">
      <c r="A14560" t="n">
        <v>14371108</v>
      </c>
      <c r="B14560" t="n">
        <v>58103</v>
      </c>
      <c r="C14560" t="inlineStr">
        <is>
          <t>1437/11/08</t>
        </is>
      </c>
    </row>
    <row r="14561">
      <c r="A14561" t="n">
        <v>14371109</v>
      </c>
      <c r="B14561" t="n">
        <v>58104</v>
      </c>
      <c r="C14561" t="inlineStr">
        <is>
          <t>1437/11/09</t>
        </is>
      </c>
    </row>
    <row r="14562">
      <c r="A14562" t="n">
        <v>14371110</v>
      </c>
      <c r="B14562" t="n">
        <v>58105</v>
      </c>
      <c r="C14562" t="inlineStr">
        <is>
          <t>1437/11/10</t>
        </is>
      </c>
    </row>
    <row r="14563">
      <c r="A14563" t="n">
        <v>14371111</v>
      </c>
      <c r="B14563" t="n">
        <v>58106</v>
      </c>
      <c r="C14563" t="inlineStr">
        <is>
          <t>1437/11/11</t>
        </is>
      </c>
    </row>
    <row r="14564">
      <c r="A14564" t="n">
        <v>14371112</v>
      </c>
      <c r="B14564" t="n">
        <v>58107</v>
      </c>
      <c r="C14564" t="inlineStr">
        <is>
          <t>1437/11/12</t>
        </is>
      </c>
    </row>
    <row r="14565">
      <c r="A14565" t="n">
        <v>14371113</v>
      </c>
      <c r="B14565" t="n">
        <v>58108</v>
      </c>
      <c r="C14565" t="inlineStr">
        <is>
          <t>1437/11/13</t>
        </is>
      </c>
    </row>
    <row r="14566">
      <c r="A14566" t="n">
        <v>14371114</v>
      </c>
      <c r="B14566" t="n">
        <v>58109</v>
      </c>
      <c r="C14566" t="inlineStr">
        <is>
          <t>1437/11/14</t>
        </is>
      </c>
    </row>
    <row r="14567">
      <c r="A14567" t="n">
        <v>14371115</v>
      </c>
      <c r="B14567" t="n">
        <v>58110</v>
      </c>
      <c r="C14567" t="inlineStr">
        <is>
          <t>1437/11/15</t>
        </is>
      </c>
    </row>
    <row r="14568">
      <c r="A14568" t="n">
        <v>14371116</v>
      </c>
      <c r="B14568" t="n">
        <v>58111</v>
      </c>
      <c r="C14568" t="inlineStr">
        <is>
          <t>1437/11/16</t>
        </is>
      </c>
    </row>
    <row r="14569">
      <c r="A14569" t="n">
        <v>14371117</v>
      </c>
      <c r="B14569" t="n">
        <v>58112</v>
      </c>
      <c r="C14569" t="inlineStr">
        <is>
          <t>1437/11/17</t>
        </is>
      </c>
    </row>
    <row r="14570">
      <c r="A14570" t="n">
        <v>14371118</v>
      </c>
      <c r="B14570" t="n">
        <v>58113</v>
      </c>
      <c r="C14570" t="inlineStr">
        <is>
          <t>1437/11/18</t>
        </is>
      </c>
    </row>
    <row r="14571">
      <c r="A14571" t="n">
        <v>14371119</v>
      </c>
      <c r="B14571" t="n">
        <v>58114</v>
      </c>
      <c r="C14571" t="inlineStr">
        <is>
          <t>1437/11/19</t>
        </is>
      </c>
    </row>
    <row r="14572">
      <c r="A14572" t="n">
        <v>14371120</v>
      </c>
      <c r="B14572" t="n">
        <v>58115</v>
      </c>
      <c r="C14572" t="inlineStr">
        <is>
          <t>1437/11/20</t>
        </is>
      </c>
    </row>
    <row r="14573">
      <c r="A14573" t="n">
        <v>14371121</v>
      </c>
      <c r="B14573" t="n">
        <v>58116</v>
      </c>
      <c r="C14573" t="inlineStr">
        <is>
          <t>1437/11/21</t>
        </is>
      </c>
    </row>
    <row r="14574">
      <c r="A14574" t="n">
        <v>14371122</v>
      </c>
      <c r="B14574" t="n">
        <v>58117</v>
      </c>
      <c r="C14574" t="inlineStr">
        <is>
          <t>1437/11/22</t>
        </is>
      </c>
    </row>
    <row r="14575">
      <c r="A14575" t="n">
        <v>14371123</v>
      </c>
      <c r="B14575" t="n">
        <v>58118</v>
      </c>
      <c r="C14575" t="inlineStr">
        <is>
          <t>1437/11/23</t>
        </is>
      </c>
    </row>
    <row r="14576">
      <c r="A14576" t="n">
        <v>14371124</v>
      </c>
      <c r="B14576" t="n">
        <v>58119</v>
      </c>
      <c r="C14576" t="inlineStr">
        <is>
          <t>1437/11/24</t>
        </is>
      </c>
    </row>
    <row r="14577">
      <c r="A14577" t="n">
        <v>14371125</v>
      </c>
      <c r="B14577" t="n">
        <v>58120</v>
      </c>
      <c r="C14577" t="inlineStr">
        <is>
          <t>1437/11/25</t>
        </is>
      </c>
    </row>
    <row r="14578">
      <c r="A14578" t="n">
        <v>14371126</v>
      </c>
      <c r="B14578" t="n">
        <v>58121</v>
      </c>
      <c r="C14578" t="inlineStr">
        <is>
          <t>1437/11/26</t>
        </is>
      </c>
    </row>
    <row r="14579">
      <c r="A14579" t="n">
        <v>14371127</v>
      </c>
      <c r="B14579" t="n">
        <v>58122</v>
      </c>
      <c r="C14579" t="inlineStr">
        <is>
          <t>1437/11/27</t>
        </is>
      </c>
    </row>
    <row r="14580">
      <c r="A14580" t="n">
        <v>14371128</v>
      </c>
      <c r="B14580" t="n">
        <v>58123</v>
      </c>
      <c r="C14580" t="inlineStr">
        <is>
          <t>1437/11/28</t>
        </is>
      </c>
    </row>
    <row r="14581">
      <c r="A14581" t="n">
        <v>14371129</v>
      </c>
      <c r="B14581" t="n">
        <v>58124</v>
      </c>
      <c r="C14581" t="inlineStr">
        <is>
          <t>1437/11/29</t>
        </is>
      </c>
    </row>
    <row r="14582">
      <c r="A14582" t="n">
        <v>14371130</v>
      </c>
      <c r="B14582" t="n">
        <v>58125</v>
      </c>
      <c r="C14582" t="inlineStr">
        <is>
          <t>1437/11/30</t>
        </is>
      </c>
    </row>
    <row r="14583">
      <c r="A14583" t="n">
        <v>14371201</v>
      </c>
      <c r="B14583" t="n">
        <v>58126</v>
      </c>
      <c r="C14583" t="inlineStr">
        <is>
          <t>1437/12/01</t>
        </is>
      </c>
    </row>
    <row r="14584">
      <c r="A14584" t="n">
        <v>14371202</v>
      </c>
      <c r="B14584" t="n">
        <v>58127</v>
      </c>
      <c r="C14584" t="inlineStr">
        <is>
          <t>1437/12/02</t>
        </is>
      </c>
    </row>
    <row r="14585">
      <c r="A14585" t="n">
        <v>14371203</v>
      </c>
      <c r="B14585" t="n">
        <v>58128</v>
      </c>
      <c r="C14585" t="inlineStr">
        <is>
          <t>1437/12/03</t>
        </is>
      </c>
    </row>
    <row r="14586">
      <c r="A14586" t="n">
        <v>14371204</v>
      </c>
      <c r="B14586" t="n">
        <v>58129</v>
      </c>
      <c r="C14586" t="inlineStr">
        <is>
          <t>1437/12/04</t>
        </is>
      </c>
    </row>
    <row r="14587">
      <c r="A14587" t="n">
        <v>14371205</v>
      </c>
      <c r="B14587" t="n">
        <v>58130</v>
      </c>
      <c r="C14587" t="inlineStr">
        <is>
          <t>1437/12/05</t>
        </is>
      </c>
    </row>
    <row r="14588">
      <c r="A14588" t="n">
        <v>14371206</v>
      </c>
      <c r="B14588" t="n">
        <v>58131</v>
      </c>
      <c r="C14588" t="inlineStr">
        <is>
          <t>1437/12/06</t>
        </is>
      </c>
    </row>
    <row r="14589">
      <c r="A14589" t="n">
        <v>14371207</v>
      </c>
      <c r="B14589" t="n">
        <v>58132</v>
      </c>
      <c r="C14589" t="inlineStr">
        <is>
          <t>1437/12/07</t>
        </is>
      </c>
    </row>
    <row r="14590">
      <c r="A14590" t="n">
        <v>14371208</v>
      </c>
      <c r="B14590" t="n">
        <v>58133</v>
      </c>
      <c r="C14590" t="inlineStr">
        <is>
          <t>1437/12/08</t>
        </is>
      </c>
    </row>
    <row r="14591">
      <c r="A14591" t="n">
        <v>14371209</v>
      </c>
      <c r="B14591" t="n">
        <v>58134</v>
      </c>
      <c r="C14591" t="inlineStr">
        <is>
          <t>1437/12/09</t>
        </is>
      </c>
    </row>
    <row r="14592">
      <c r="A14592" t="n">
        <v>14371210</v>
      </c>
      <c r="B14592" t="n">
        <v>58135</v>
      </c>
      <c r="C14592" t="inlineStr">
        <is>
          <t>1437/12/10</t>
        </is>
      </c>
    </row>
    <row r="14593">
      <c r="A14593" t="n">
        <v>14371211</v>
      </c>
      <c r="B14593" t="n">
        <v>58136</v>
      </c>
      <c r="C14593" t="inlineStr">
        <is>
          <t>1437/12/11</t>
        </is>
      </c>
    </row>
    <row r="14594">
      <c r="A14594" t="n">
        <v>14371212</v>
      </c>
      <c r="B14594" t="n">
        <v>58137</v>
      </c>
      <c r="C14594" t="inlineStr">
        <is>
          <t>1437/12/12</t>
        </is>
      </c>
    </row>
    <row r="14595">
      <c r="A14595" t="n">
        <v>14371213</v>
      </c>
      <c r="B14595" t="n">
        <v>58138</v>
      </c>
      <c r="C14595" t="inlineStr">
        <is>
          <t>1437/12/13</t>
        </is>
      </c>
    </row>
    <row r="14596">
      <c r="A14596" t="n">
        <v>14371214</v>
      </c>
      <c r="B14596" t="n">
        <v>58139</v>
      </c>
      <c r="C14596" t="inlineStr">
        <is>
          <t>1437/12/14</t>
        </is>
      </c>
    </row>
    <row r="14597">
      <c r="A14597" t="n">
        <v>14371215</v>
      </c>
      <c r="B14597" t="n">
        <v>58140</v>
      </c>
      <c r="C14597" t="inlineStr">
        <is>
          <t>1437/12/15</t>
        </is>
      </c>
    </row>
    <row r="14598">
      <c r="A14598" t="n">
        <v>14371216</v>
      </c>
      <c r="B14598" t="n">
        <v>58141</v>
      </c>
      <c r="C14598" t="inlineStr">
        <is>
          <t>1437/12/16</t>
        </is>
      </c>
    </row>
    <row r="14599">
      <c r="A14599" t="n">
        <v>14371217</v>
      </c>
      <c r="B14599" t="n">
        <v>58142</v>
      </c>
      <c r="C14599" t="inlineStr">
        <is>
          <t>1437/12/17</t>
        </is>
      </c>
    </row>
    <row r="14600">
      <c r="A14600" t="n">
        <v>14371218</v>
      </c>
      <c r="B14600" t="n">
        <v>58143</v>
      </c>
      <c r="C14600" t="inlineStr">
        <is>
          <t>1437/12/18</t>
        </is>
      </c>
    </row>
    <row r="14601">
      <c r="A14601" t="n">
        <v>14371219</v>
      </c>
      <c r="B14601" t="n">
        <v>58144</v>
      </c>
      <c r="C14601" t="inlineStr">
        <is>
          <t>1437/12/19</t>
        </is>
      </c>
    </row>
    <row r="14602">
      <c r="A14602" t="n">
        <v>14371220</v>
      </c>
      <c r="B14602" t="n">
        <v>58145</v>
      </c>
      <c r="C14602" t="inlineStr">
        <is>
          <t>1437/12/20</t>
        </is>
      </c>
    </row>
    <row r="14603">
      <c r="A14603" t="n">
        <v>14371221</v>
      </c>
      <c r="B14603" t="n">
        <v>58146</v>
      </c>
      <c r="C14603" t="inlineStr">
        <is>
          <t>1437/12/21</t>
        </is>
      </c>
    </row>
    <row r="14604">
      <c r="A14604" t="n">
        <v>14371222</v>
      </c>
      <c r="B14604" t="n">
        <v>58147</v>
      </c>
      <c r="C14604" t="inlineStr">
        <is>
          <t>1437/12/22</t>
        </is>
      </c>
    </row>
    <row r="14605">
      <c r="A14605" t="n">
        <v>14371223</v>
      </c>
      <c r="B14605" t="n">
        <v>58148</v>
      </c>
      <c r="C14605" t="inlineStr">
        <is>
          <t>1437/12/23</t>
        </is>
      </c>
    </row>
    <row r="14606">
      <c r="A14606" t="n">
        <v>14371224</v>
      </c>
      <c r="B14606" t="n">
        <v>58149</v>
      </c>
      <c r="C14606" t="inlineStr">
        <is>
          <t>1437/12/24</t>
        </is>
      </c>
    </row>
    <row r="14607">
      <c r="A14607" t="n">
        <v>14371225</v>
      </c>
      <c r="B14607" t="n">
        <v>58150</v>
      </c>
      <c r="C14607" t="inlineStr">
        <is>
          <t>1437/12/25</t>
        </is>
      </c>
    </row>
    <row r="14608">
      <c r="A14608" t="n">
        <v>14371226</v>
      </c>
      <c r="B14608" t="n">
        <v>58151</v>
      </c>
      <c r="C14608" t="inlineStr">
        <is>
          <t>1437/12/26</t>
        </is>
      </c>
    </row>
    <row r="14609">
      <c r="A14609" t="n">
        <v>14371227</v>
      </c>
      <c r="B14609" t="n">
        <v>58152</v>
      </c>
      <c r="C14609" t="inlineStr">
        <is>
          <t>1437/12/27</t>
        </is>
      </c>
    </row>
    <row r="14610">
      <c r="A14610" t="n">
        <v>14371228</v>
      </c>
      <c r="B14610" t="n">
        <v>58153</v>
      </c>
      <c r="C14610" t="inlineStr">
        <is>
          <t>1437/12/28</t>
        </is>
      </c>
    </row>
    <row r="14611">
      <c r="A14611" t="n">
        <v>14371229</v>
      </c>
      <c r="B14611" t="n">
        <v>58154</v>
      </c>
      <c r="C14611" t="inlineStr">
        <is>
          <t>1437/12/29</t>
        </is>
      </c>
    </row>
    <row r="14612">
      <c r="A14612" t="n">
        <v>14380101</v>
      </c>
      <c r="B14612" t="n">
        <v>58155</v>
      </c>
      <c r="C14612" t="inlineStr">
        <is>
          <t>1438/01/01</t>
        </is>
      </c>
    </row>
    <row r="14613">
      <c r="A14613" t="n">
        <v>14380102</v>
      </c>
      <c r="B14613" t="n">
        <v>58156</v>
      </c>
      <c r="C14613" t="inlineStr">
        <is>
          <t>1438/01/02</t>
        </is>
      </c>
    </row>
    <row r="14614">
      <c r="A14614" t="n">
        <v>14380103</v>
      </c>
      <c r="B14614" t="n">
        <v>58157</v>
      </c>
      <c r="C14614" t="inlineStr">
        <is>
          <t>1438/01/03</t>
        </is>
      </c>
    </row>
    <row r="14615">
      <c r="A14615" t="n">
        <v>14380104</v>
      </c>
      <c r="B14615" t="n">
        <v>58158</v>
      </c>
      <c r="C14615" t="inlineStr">
        <is>
          <t>1438/01/04</t>
        </is>
      </c>
    </row>
    <row r="14616">
      <c r="A14616" t="n">
        <v>14380105</v>
      </c>
      <c r="B14616" t="n">
        <v>58159</v>
      </c>
      <c r="C14616" t="inlineStr">
        <is>
          <t>1438/01/05</t>
        </is>
      </c>
    </row>
    <row r="14617">
      <c r="A14617" t="n">
        <v>14380106</v>
      </c>
      <c r="B14617" t="n">
        <v>58160</v>
      </c>
      <c r="C14617" t="inlineStr">
        <is>
          <t>1438/01/06</t>
        </is>
      </c>
    </row>
    <row r="14618">
      <c r="A14618" t="n">
        <v>14380107</v>
      </c>
      <c r="B14618" t="n">
        <v>58161</v>
      </c>
      <c r="C14618" t="inlineStr">
        <is>
          <t>1438/01/07</t>
        </is>
      </c>
    </row>
    <row r="14619">
      <c r="A14619" t="n">
        <v>14380108</v>
      </c>
      <c r="B14619" t="n">
        <v>58162</v>
      </c>
      <c r="C14619" t="inlineStr">
        <is>
          <t>1438/01/08</t>
        </is>
      </c>
    </row>
    <row r="14620">
      <c r="A14620" t="n">
        <v>14380109</v>
      </c>
      <c r="B14620" t="n">
        <v>58163</v>
      </c>
      <c r="C14620" t="inlineStr">
        <is>
          <t>1438/01/09</t>
        </is>
      </c>
    </row>
    <row r="14621">
      <c r="A14621" t="n">
        <v>14380110</v>
      </c>
      <c r="B14621" t="n">
        <v>58164</v>
      </c>
      <c r="C14621" t="inlineStr">
        <is>
          <t>1438/01/10</t>
        </is>
      </c>
    </row>
    <row r="14622">
      <c r="A14622" t="n">
        <v>14380111</v>
      </c>
      <c r="B14622" t="n">
        <v>58165</v>
      </c>
      <c r="C14622" t="inlineStr">
        <is>
          <t>1438/01/11</t>
        </is>
      </c>
    </row>
    <row r="14623">
      <c r="A14623" t="n">
        <v>14380112</v>
      </c>
      <c r="B14623" t="n">
        <v>58166</v>
      </c>
      <c r="C14623" t="inlineStr">
        <is>
          <t>1438/01/12</t>
        </is>
      </c>
    </row>
    <row r="14624">
      <c r="A14624" t="n">
        <v>14380113</v>
      </c>
      <c r="B14624" t="n">
        <v>58167</v>
      </c>
      <c r="C14624" t="inlineStr">
        <is>
          <t>1438/01/13</t>
        </is>
      </c>
    </row>
    <row r="14625">
      <c r="A14625" t="n">
        <v>14380114</v>
      </c>
      <c r="B14625" t="n">
        <v>58168</v>
      </c>
      <c r="C14625" t="inlineStr">
        <is>
          <t>1438/01/14</t>
        </is>
      </c>
    </row>
    <row r="14626">
      <c r="A14626" t="n">
        <v>14380115</v>
      </c>
      <c r="B14626" t="n">
        <v>58169</v>
      </c>
      <c r="C14626" t="inlineStr">
        <is>
          <t>1438/01/15</t>
        </is>
      </c>
    </row>
    <row r="14627">
      <c r="A14627" t="n">
        <v>14380116</v>
      </c>
      <c r="B14627" t="n">
        <v>58170</v>
      </c>
      <c r="C14627" t="inlineStr">
        <is>
          <t>1438/01/16</t>
        </is>
      </c>
    </row>
    <row r="14628">
      <c r="A14628" t="n">
        <v>14380117</v>
      </c>
      <c r="B14628" t="n">
        <v>58171</v>
      </c>
      <c r="C14628" t="inlineStr">
        <is>
          <t>1438/01/17</t>
        </is>
      </c>
    </row>
    <row r="14629">
      <c r="A14629" t="n">
        <v>14380118</v>
      </c>
      <c r="B14629" t="n">
        <v>58172</v>
      </c>
      <c r="C14629" t="inlineStr">
        <is>
          <t>1438/01/18</t>
        </is>
      </c>
    </row>
    <row r="14630">
      <c r="A14630" t="n">
        <v>14380119</v>
      </c>
      <c r="B14630" t="n">
        <v>58173</v>
      </c>
      <c r="C14630" t="inlineStr">
        <is>
          <t>1438/01/19</t>
        </is>
      </c>
    </row>
    <row r="14631">
      <c r="A14631" t="n">
        <v>14380120</v>
      </c>
      <c r="B14631" t="n">
        <v>58174</v>
      </c>
      <c r="C14631" t="inlineStr">
        <is>
          <t>1438/01/20</t>
        </is>
      </c>
    </row>
    <row r="14632">
      <c r="A14632" t="n">
        <v>14380121</v>
      </c>
      <c r="B14632" t="n">
        <v>58175</v>
      </c>
      <c r="C14632" t="inlineStr">
        <is>
          <t>1438/01/21</t>
        </is>
      </c>
    </row>
    <row r="14633">
      <c r="A14633" t="n">
        <v>14380122</v>
      </c>
      <c r="B14633" t="n">
        <v>58176</v>
      </c>
      <c r="C14633" t="inlineStr">
        <is>
          <t>1438/01/22</t>
        </is>
      </c>
    </row>
    <row r="14634">
      <c r="A14634" t="n">
        <v>14380123</v>
      </c>
      <c r="B14634" t="n">
        <v>58177</v>
      </c>
      <c r="C14634" t="inlineStr">
        <is>
          <t>1438/01/23</t>
        </is>
      </c>
    </row>
    <row r="14635">
      <c r="A14635" t="n">
        <v>14380124</v>
      </c>
      <c r="B14635" t="n">
        <v>58178</v>
      </c>
      <c r="C14635" t="inlineStr">
        <is>
          <t>1438/01/24</t>
        </is>
      </c>
    </row>
    <row r="14636">
      <c r="A14636" t="n">
        <v>14380125</v>
      </c>
      <c r="B14636" t="n">
        <v>58179</v>
      </c>
      <c r="C14636" t="inlineStr">
        <is>
          <t>1438/01/25</t>
        </is>
      </c>
    </row>
    <row r="14637">
      <c r="A14637" t="n">
        <v>14380126</v>
      </c>
      <c r="B14637" t="n">
        <v>58180</v>
      </c>
      <c r="C14637" t="inlineStr">
        <is>
          <t>1438/01/26</t>
        </is>
      </c>
    </row>
    <row r="14638">
      <c r="A14638" t="n">
        <v>14380127</v>
      </c>
      <c r="B14638" t="n">
        <v>58181</v>
      </c>
      <c r="C14638" t="inlineStr">
        <is>
          <t>1438/01/27</t>
        </is>
      </c>
    </row>
    <row r="14639">
      <c r="A14639" t="n">
        <v>14380128</v>
      </c>
      <c r="B14639" t="n">
        <v>58182</v>
      </c>
      <c r="C14639" t="inlineStr">
        <is>
          <t>1438/01/28</t>
        </is>
      </c>
    </row>
    <row r="14640">
      <c r="A14640" t="n">
        <v>14380129</v>
      </c>
      <c r="B14640" t="n">
        <v>58183</v>
      </c>
      <c r="C14640" t="inlineStr">
        <is>
          <t>1438/01/29</t>
        </is>
      </c>
    </row>
    <row r="14641">
      <c r="A14641" t="n">
        <v>14380130</v>
      </c>
      <c r="B14641" t="n">
        <v>58184</v>
      </c>
      <c r="C14641" t="inlineStr">
        <is>
          <t>1438/01/30</t>
        </is>
      </c>
    </row>
    <row r="14642">
      <c r="A14642" t="n">
        <v>14380131</v>
      </c>
      <c r="B14642" t="n">
        <v>58185</v>
      </c>
      <c r="C14642" t="inlineStr">
        <is>
          <t>1438/01/31</t>
        </is>
      </c>
    </row>
    <row r="14643">
      <c r="A14643" t="n">
        <v>14380201</v>
      </c>
      <c r="B14643" t="n">
        <v>58186</v>
      </c>
      <c r="C14643" t="inlineStr">
        <is>
          <t>1438/02/01</t>
        </is>
      </c>
    </row>
    <row r="14644">
      <c r="A14644" t="n">
        <v>14380202</v>
      </c>
      <c r="B14644" t="n">
        <v>58187</v>
      </c>
      <c r="C14644" t="inlineStr">
        <is>
          <t>1438/02/02</t>
        </is>
      </c>
    </row>
    <row r="14645">
      <c r="A14645" t="n">
        <v>14380203</v>
      </c>
      <c r="B14645" t="n">
        <v>58188</v>
      </c>
      <c r="C14645" t="inlineStr">
        <is>
          <t>1438/02/03</t>
        </is>
      </c>
    </row>
    <row r="14646">
      <c r="A14646" t="n">
        <v>14380204</v>
      </c>
      <c r="B14646" t="n">
        <v>58189</v>
      </c>
      <c r="C14646" t="inlineStr">
        <is>
          <t>1438/02/04</t>
        </is>
      </c>
    </row>
    <row r="14647">
      <c r="A14647" t="n">
        <v>14380205</v>
      </c>
      <c r="B14647" t="n">
        <v>58190</v>
      </c>
      <c r="C14647" t="inlineStr">
        <is>
          <t>1438/02/05</t>
        </is>
      </c>
    </row>
    <row r="14648">
      <c r="A14648" t="n">
        <v>14380206</v>
      </c>
      <c r="B14648" t="n">
        <v>58191</v>
      </c>
      <c r="C14648" t="inlineStr">
        <is>
          <t>1438/02/06</t>
        </is>
      </c>
    </row>
    <row r="14649">
      <c r="A14649" t="n">
        <v>14380207</v>
      </c>
      <c r="B14649" t="n">
        <v>58192</v>
      </c>
      <c r="C14649" t="inlineStr">
        <is>
          <t>1438/02/07</t>
        </is>
      </c>
    </row>
    <row r="14650">
      <c r="A14650" t="n">
        <v>14380208</v>
      </c>
      <c r="B14650" t="n">
        <v>58193</v>
      </c>
      <c r="C14650" t="inlineStr">
        <is>
          <t>1438/02/08</t>
        </is>
      </c>
    </row>
    <row r="14651">
      <c r="A14651" t="n">
        <v>14380209</v>
      </c>
      <c r="B14651" t="n">
        <v>58194</v>
      </c>
      <c r="C14651" t="inlineStr">
        <is>
          <t>1438/02/09</t>
        </is>
      </c>
    </row>
    <row r="14652">
      <c r="A14652" t="n">
        <v>14380210</v>
      </c>
      <c r="B14652" t="n">
        <v>58195</v>
      </c>
      <c r="C14652" t="inlineStr">
        <is>
          <t>1438/02/10</t>
        </is>
      </c>
    </row>
    <row r="14653">
      <c r="A14653" t="n">
        <v>14380211</v>
      </c>
      <c r="B14653" t="n">
        <v>58196</v>
      </c>
      <c r="C14653" t="inlineStr">
        <is>
          <t>1438/02/11</t>
        </is>
      </c>
    </row>
    <row r="14654">
      <c r="A14654" t="n">
        <v>14380212</v>
      </c>
      <c r="B14654" t="n">
        <v>58197</v>
      </c>
      <c r="C14654" t="inlineStr">
        <is>
          <t>1438/02/12</t>
        </is>
      </c>
    </row>
    <row r="14655">
      <c r="A14655" t="n">
        <v>14380213</v>
      </c>
      <c r="B14655" t="n">
        <v>58198</v>
      </c>
      <c r="C14655" t="inlineStr">
        <is>
          <t>1438/02/13</t>
        </is>
      </c>
    </row>
    <row r="14656">
      <c r="A14656" t="n">
        <v>14380214</v>
      </c>
      <c r="B14656" t="n">
        <v>58199</v>
      </c>
      <c r="C14656" t="inlineStr">
        <is>
          <t>1438/02/14</t>
        </is>
      </c>
    </row>
    <row r="14657">
      <c r="A14657" t="n">
        <v>14380215</v>
      </c>
      <c r="B14657" t="n">
        <v>58200</v>
      </c>
      <c r="C14657" t="inlineStr">
        <is>
          <t>1438/02/15</t>
        </is>
      </c>
    </row>
    <row r="14658">
      <c r="A14658" t="n">
        <v>14380216</v>
      </c>
      <c r="B14658" t="n">
        <v>58201</v>
      </c>
      <c r="C14658" t="inlineStr">
        <is>
          <t>1438/02/16</t>
        </is>
      </c>
    </row>
    <row r="14659">
      <c r="A14659" t="n">
        <v>14380217</v>
      </c>
      <c r="B14659" t="n">
        <v>58202</v>
      </c>
      <c r="C14659" t="inlineStr">
        <is>
          <t>1438/02/17</t>
        </is>
      </c>
    </row>
    <row r="14660">
      <c r="A14660" t="n">
        <v>14380218</v>
      </c>
      <c r="B14660" t="n">
        <v>58203</v>
      </c>
      <c r="C14660" t="inlineStr">
        <is>
          <t>1438/02/18</t>
        </is>
      </c>
    </row>
    <row r="14661">
      <c r="A14661" t="n">
        <v>14380219</v>
      </c>
      <c r="B14661" t="n">
        <v>58204</v>
      </c>
      <c r="C14661" t="inlineStr">
        <is>
          <t>1438/02/19</t>
        </is>
      </c>
    </row>
    <row r="14662">
      <c r="A14662" t="n">
        <v>14380220</v>
      </c>
      <c r="B14662" t="n">
        <v>58205</v>
      </c>
      <c r="C14662" t="inlineStr">
        <is>
          <t>1438/02/20</t>
        </is>
      </c>
    </row>
    <row r="14663">
      <c r="A14663" t="n">
        <v>14380221</v>
      </c>
      <c r="B14663" t="n">
        <v>58206</v>
      </c>
      <c r="C14663" t="inlineStr">
        <is>
          <t>1438/02/21</t>
        </is>
      </c>
    </row>
    <row r="14664">
      <c r="A14664" t="n">
        <v>14380222</v>
      </c>
      <c r="B14664" t="n">
        <v>58207</v>
      </c>
      <c r="C14664" t="inlineStr">
        <is>
          <t>1438/02/22</t>
        </is>
      </c>
    </row>
    <row r="14665">
      <c r="A14665" t="n">
        <v>14380223</v>
      </c>
      <c r="B14665" t="n">
        <v>58208</v>
      </c>
      <c r="C14665" t="inlineStr">
        <is>
          <t>1438/02/23</t>
        </is>
      </c>
    </row>
    <row r="14666">
      <c r="A14666" t="n">
        <v>14380224</v>
      </c>
      <c r="B14666" t="n">
        <v>58209</v>
      </c>
      <c r="C14666" t="inlineStr">
        <is>
          <t>1438/02/24</t>
        </is>
      </c>
    </row>
    <row r="14667">
      <c r="A14667" t="n">
        <v>14380225</v>
      </c>
      <c r="B14667" t="n">
        <v>58210</v>
      </c>
      <c r="C14667" t="inlineStr">
        <is>
          <t>1438/02/25</t>
        </is>
      </c>
    </row>
    <row r="14668">
      <c r="A14668" t="n">
        <v>14380226</v>
      </c>
      <c r="B14668" t="n">
        <v>58211</v>
      </c>
      <c r="C14668" t="inlineStr">
        <is>
          <t>1438/02/26</t>
        </is>
      </c>
    </row>
    <row r="14669">
      <c r="A14669" t="n">
        <v>14380227</v>
      </c>
      <c r="B14669" t="n">
        <v>58212</v>
      </c>
      <c r="C14669" t="inlineStr">
        <is>
          <t>1438/02/27</t>
        </is>
      </c>
    </row>
    <row r="14670">
      <c r="A14670" t="n">
        <v>14380228</v>
      </c>
      <c r="B14670" t="n">
        <v>58213</v>
      </c>
      <c r="C14670" t="inlineStr">
        <is>
          <t>1438/02/28</t>
        </is>
      </c>
    </row>
    <row r="14671">
      <c r="A14671" t="n">
        <v>14380229</v>
      </c>
      <c r="B14671" t="n">
        <v>58214</v>
      </c>
      <c r="C14671" t="inlineStr">
        <is>
          <t>1438/02/29</t>
        </is>
      </c>
    </row>
    <row r="14672">
      <c r="A14672" t="n">
        <v>14380230</v>
      </c>
      <c r="B14672" t="n">
        <v>58215</v>
      </c>
      <c r="C14672" t="inlineStr">
        <is>
          <t>1438/02/30</t>
        </is>
      </c>
    </row>
    <row r="14673">
      <c r="A14673" t="n">
        <v>14380231</v>
      </c>
      <c r="B14673" t="n">
        <v>58216</v>
      </c>
      <c r="C14673" t="inlineStr">
        <is>
          <t>1438/02/31</t>
        </is>
      </c>
    </row>
    <row r="14674">
      <c r="A14674" t="n">
        <v>14380301</v>
      </c>
      <c r="B14674" t="n">
        <v>58217</v>
      </c>
      <c r="C14674" t="inlineStr">
        <is>
          <t>1438/03/01</t>
        </is>
      </c>
    </row>
    <row r="14675">
      <c r="A14675" t="n">
        <v>14380302</v>
      </c>
      <c r="B14675" t="n">
        <v>58218</v>
      </c>
      <c r="C14675" t="inlineStr">
        <is>
          <t>1438/03/02</t>
        </is>
      </c>
    </row>
    <row r="14676">
      <c r="A14676" t="n">
        <v>14380303</v>
      </c>
      <c r="B14676" t="n">
        <v>58219</v>
      </c>
      <c r="C14676" t="inlineStr">
        <is>
          <t>1438/03/03</t>
        </is>
      </c>
    </row>
    <row r="14677">
      <c r="A14677" t="n">
        <v>14380304</v>
      </c>
      <c r="B14677" t="n">
        <v>58220</v>
      </c>
      <c r="C14677" t="inlineStr">
        <is>
          <t>1438/03/04</t>
        </is>
      </c>
    </row>
    <row r="14678">
      <c r="A14678" t="n">
        <v>14380305</v>
      </c>
      <c r="B14678" t="n">
        <v>58221</v>
      </c>
      <c r="C14678" t="inlineStr">
        <is>
          <t>1438/03/05</t>
        </is>
      </c>
    </row>
    <row r="14679">
      <c r="A14679" t="n">
        <v>14380306</v>
      </c>
      <c r="B14679" t="n">
        <v>58222</v>
      </c>
      <c r="C14679" t="inlineStr">
        <is>
          <t>1438/03/06</t>
        </is>
      </c>
    </row>
    <row r="14680">
      <c r="A14680" t="n">
        <v>14380307</v>
      </c>
      <c r="B14680" t="n">
        <v>58223</v>
      </c>
      <c r="C14680" t="inlineStr">
        <is>
          <t>1438/03/07</t>
        </is>
      </c>
    </row>
    <row r="14681">
      <c r="A14681" t="n">
        <v>14380308</v>
      </c>
      <c r="B14681" t="n">
        <v>58224</v>
      </c>
      <c r="C14681" t="inlineStr">
        <is>
          <t>1438/03/08</t>
        </is>
      </c>
    </row>
    <row r="14682">
      <c r="A14682" t="n">
        <v>14380309</v>
      </c>
      <c r="B14682" t="n">
        <v>58225</v>
      </c>
      <c r="C14682" t="inlineStr">
        <is>
          <t>1438/03/09</t>
        </is>
      </c>
    </row>
    <row r="14683">
      <c r="A14683" t="n">
        <v>14380310</v>
      </c>
      <c r="B14683" t="n">
        <v>58226</v>
      </c>
      <c r="C14683" t="inlineStr">
        <is>
          <t>1438/03/10</t>
        </is>
      </c>
    </row>
    <row r="14684">
      <c r="A14684" t="n">
        <v>14380311</v>
      </c>
      <c r="B14684" t="n">
        <v>58227</v>
      </c>
      <c r="C14684" t="inlineStr">
        <is>
          <t>1438/03/11</t>
        </is>
      </c>
    </row>
    <row r="14685">
      <c r="A14685" t="n">
        <v>14380312</v>
      </c>
      <c r="B14685" t="n">
        <v>58228</v>
      </c>
      <c r="C14685" t="inlineStr">
        <is>
          <t>1438/03/12</t>
        </is>
      </c>
    </row>
    <row r="14686">
      <c r="A14686" t="n">
        <v>14380313</v>
      </c>
      <c r="B14686" t="n">
        <v>58229</v>
      </c>
      <c r="C14686" t="inlineStr">
        <is>
          <t>1438/03/13</t>
        </is>
      </c>
    </row>
    <row r="14687">
      <c r="A14687" t="n">
        <v>14380314</v>
      </c>
      <c r="B14687" t="n">
        <v>58230</v>
      </c>
      <c r="C14687" t="inlineStr">
        <is>
          <t>1438/03/14</t>
        </is>
      </c>
    </row>
    <row r="14688">
      <c r="A14688" t="n">
        <v>14380315</v>
      </c>
      <c r="B14688" t="n">
        <v>58231</v>
      </c>
      <c r="C14688" t="inlineStr">
        <is>
          <t>1438/03/15</t>
        </is>
      </c>
    </row>
    <row r="14689">
      <c r="A14689" t="n">
        <v>14380316</v>
      </c>
      <c r="B14689" t="n">
        <v>58232</v>
      </c>
      <c r="C14689" t="inlineStr">
        <is>
          <t>1438/03/16</t>
        </is>
      </c>
    </row>
    <row r="14690">
      <c r="A14690" t="n">
        <v>14380317</v>
      </c>
      <c r="B14690" t="n">
        <v>58233</v>
      </c>
      <c r="C14690" t="inlineStr">
        <is>
          <t>1438/03/17</t>
        </is>
      </c>
    </row>
    <row r="14691">
      <c r="A14691" t="n">
        <v>14380318</v>
      </c>
      <c r="B14691" t="n">
        <v>58234</v>
      </c>
      <c r="C14691" t="inlineStr">
        <is>
          <t>1438/03/18</t>
        </is>
      </c>
    </row>
    <row r="14692">
      <c r="A14692" t="n">
        <v>14380319</v>
      </c>
      <c r="B14692" t="n">
        <v>58235</v>
      </c>
      <c r="C14692" t="inlineStr">
        <is>
          <t>1438/03/19</t>
        </is>
      </c>
    </row>
    <row r="14693">
      <c r="A14693" t="n">
        <v>14380320</v>
      </c>
      <c r="B14693" t="n">
        <v>58236</v>
      </c>
      <c r="C14693" t="inlineStr">
        <is>
          <t>1438/03/20</t>
        </is>
      </c>
    </row>
    <row r="14694">
      <c r="A14694" t="n">
        <v>14380321</v>
      </c>
      <c r="B14694" t="n">
        <v>58237</v>
      </c>
      <c r="C14694" t="inlineStr">
        <is>
          <t>1438/03/21</t>
        </is>
      </c>
    </row>
    <row r="14695">
      <c r="A14695" t="n">
        <v>14380322</v>
      </c>
      <c r="B14695" t="n">
        <v>58238</v>
      </c>
      <c r="C14695" t="inlineStr">
        <is>
          <t>1438/03/22</t>
        </is>
      </c>
    </row>
    <row r="14696">
      <c r="A14696" t="n">
        <v>14380323</v>
      </c>
      <c r="B14696" t="n">
        <v>58239</v>
      </c>
      <c r="C14696" t="inlineStr">
        <is>
          <t>1438/03/23</t>
        </is>
      </c>
    </row>
    <row r="14697">
      <c r="A14697" t="n">
        <v>14380324</v>
      </c>
      <c r="B14697" t="n">
        <v>58240</v>
      </c>
      <c r="C14697" t="inlineStr">
        <is>
          <t>1438/03/24</t>
        </is>
      </c>
    </row>
    <row r="14698">
      <c r="A14698" t="n">
        <v>14380325</v>
      </c>
      <c r="B14698" t="n">
        <v>58241</v>
      </c>
      <c r="C14698" t="inlineStr">
        <is>
          <t>1438/03/25</t>
        </is>
      </c>
    </row>
    <row r="14699">
      <c r="A14699" t="n">
        <v>14380326</v>
      </c>
      <c r="B14699" t="n">
        <v>58242</v>
      </c>
      <c r="C14699" t="inlineStr">
        <is>
          <t>1438/03/26</t>
        </is>
      </c>
    </row>
    <row r="14700">
      <c r="A14700" t="n">
        <v>14380327</v>
      </c>
      <c r="B14700" t="n">
        <v>58243</v>
      </c>
      <c r="C14700" t="inlineStr">
        <is>
          <t>1438/03/27</t>
        </is>
      </c>
    </row>
    <row r="14701">
      <c r="A14701" t="n">
        <v>14380328</v>
      </c>
      <c r="B14701" t="n">
        <v>58244</v>
      </c>
      <c r="C14701" t="inlineStr">
        <is>
          <t>1438/03/28</t>
        </is>
      </c>
    </row>
    <row r="14702">
      <c r="A14702" t="n">
        <v>14380329</v>
      </c>
      <c r="B14702" t="n">
        <v>58245</v>
      </c>
      <c r="C14702" t="inlineStr">
        <is>
          <t>1438/03/29</t>
        </is>
      </c>
    </row>
    <row r="14703">
      <c r="A14703" t="n">
        <v>14380330</v>
      </c>
      <c r="B14703" t="n">
        <v>58246</v>
      </c>
      <c r="C14703" t="inlineStr">
        <is>
          <t>1438/03/30</t>
        </is>
      </c>
    </row>
    <row r="14704">
      <c r="A14704" t="n">
        <v>14380331</v>
      </c>
      <c r="B14704" t="n">
        <v>58247</v>
      </c>
      <c r="C14704" t="inlineStr">
        <is>
          <t>1438/03/31</t>
        </is>
      </c>
    </row>
    <row r="14705">
      <c r="A14705" t="n">
        <v>14380401</v>
      </c>
      <c r="B14705" t="n">
        <v>58248</v>
      </c>
      <c r="C14705" t="inlineStr">
        <is>
          <t>1438/04/01</t>
        </is>
      </c>
    </row>
    <row r="14706">
      <c r="A14706" t="n">
        <v>14380402</v>
      </c>
      <c r="B14706" t="n">
        <v>58249</v>
      </c>
      <c r="C14706" t="inlineStr">
        <is>
          <t>1438/04/02</t>
        </is>
      </c>
    </row>
    <row r="14707">
      <c r="A14707" t="n">
        <v>14380403</v>
      </c>
      <c r="B14707" t="n">
        <v>58250</v>
      </c>
      <c r="C14707" t="inlineStr">
        <is>
          <t>1438/04/03</t>
        </is>
      </c>
    </row>
    <row r="14708">
      <c r="A14708" t="n">
        <v>14380404</v>
      </c>
      <c r="B14708" t="n">
        <v>58251</v>
      </c>
      <c r="C14708" t="inlineStr">
        <is>
          <t>1438/04/04</t>
        </is>
      </c>
    </row>
    <row r="14709">
      <c r="A14709" t="n">
        <v>14380405</v>
      </c>
      <c r="B14709" t="n">
        <v>58252</v>
      </c>
      <c r="C14709" t="inlineStr">
        <is>
          <t>1438/04/05</t>
        </is>
      </c>
    </row>
    <row r="14710">
      <c r="A14710" t="n">
        <v>14380406</v>
      </c>
      <c r="B14710" t="n">
        <v>58253</v>
      </c>
      <c r="C14710" t="inlineStr">
        <is>
          <t>1438/04/06</t>
        </is>
      </c>
    </row>
    <row r="14711">
      <c r="A14711" t="n">
        <v>14380407</v>
      </c>
      <c r="B14711" t="n">
        <v>58254</v>
      </c>
      <c r="C14711" t="inlineStr">
        <is>
          <t>1438/04/07</t>
        </is>
      </c>
    </row>
    <row r="14712">
      <c r="A14712" t="n">
        <v>14380408</v>
      </c>
      <c r="B14712" t="n">
        <v>58255</v>
      </c>
      <c r="C14712" t="inlineStr">
        <is>
          <t>1438/04/08</t>
        </is>
      </c>
    </row>
    <row r="14713">
      <c r="A14713" t="n">
        <v>14380409</v>
      </c>
      <c r="B14713" t="n">
        <v>58256</v>
      </c>
      <c r="C14713" t="inlineStr">
        <is>
          <t>1438/04/09</t>
        </is>
      </c>
    </row>
    <row r="14714">
      <c r="A14714" t="n">
        <v>14380410</v>
      </c>
      <c r="B14714" t="n">
        <v>58257</v>
      </c>
      <c r="C14714" t="inlineStr">
        <is>
          <t>1438/04/10</t>
        </is>
      </c>
    </row>
    <row r="14715">
      <c r="A14715" t="n">
        <v>14380411</v>
      </c>
      <c r="B14715" t="n">
        <v>58258</v>
      </c>
      <c r="C14715" t="inlineStr">
        <is>
          <t>1438/04/11</t>
        </is>
      </c>
    </row>
    <row r="14716">
      <c r="A14716" t="n">
        <v>14380412</v>
      </c>
      <c r="B14716" t="n">
        <v>58259</v>
      </c>
      <c r="C14716" t="inlineStr">
        <is>
          <t>1438/04/12</t>
        </is>
      </c>
    </row>
    <row r="14717">
      <c r="A14717" t="n">
        <v>14380413</v>
      </c>
      <c r="B14717" t="n">
        <v>58260</v>
      </c>
      <c r="C14717" t="inlineStr">
        <is>
          <t>1438/04/13</t>
        </is>
      </c>
    </row>
    <row r="14718">
      <c r="A14718" t="n">
        <v>14380414</v>
      </c>
      <c r="B14718" t="n">
        <v>58261</v>
      </c>
      <c r="C14718" t="inlineStr">
        <is>
          <t>1438/04/14</t>
        </is>
      </c>
    </row>
    <row r="14719">
      <c r="A14719" t="n">
        <v>14380415</v>
      </c>
      <c r="B14719" t="n">
        <v>58262</v>
      </c>
      <c r="C14719" t="inlineStr">
        <is>
          <t>1438/04/15</t>
        </is>
      </c>
    </row>
    <row r="14720">
      <c r="A14720" t="n">
        <v>14380416</v>
      </c>
      <c r="B14720" t="n">
        <v>58263</v>
      </c>
      <c r="C14720" t="inlineStr">
        <is>
          <t>1438/04/16</t>
        </is>
      </c>
    </row>
    <row r="14721">
      <c r="A14721" t="n">
        <v>14380417</v>
      </c>
      <c r="B14721" t="n">
        <v>58264</v>
      </c>
      <c r="C14721" t="inlineStr">
        <is>
          <t>1438/04/17</t>
        </is>
      </c>
    </row>
    <row r="14722">
      <c r="A14722" t="n">
        <v>14380418</v>
      </c>
      <c r="B14722" t="n">
        <v>58265</v>
      </c>
      <c r="C14722" t="inlineStr">
        <is>
          <t>1438/04/18</t>
        </is>
      </c>
    </row>
    <row r="14723">
      <c r="A14723" t="n">
        <v>14380419</v>
      </c>
      <c r="B14723" t="n">
        <v>58266</v>
      </c>
      <c r="C14723" t="inlineStr">
        <is>
          <t>1438/04/19</t>
        </is>
      </c>
    </row>
    <row r="14724">
      <c r="A14724" t="n">
        <v>14380420</v>
      </c>
      <c r="B14724" t="n">
        <v>58267</v>
      </c>
      <c r="C14724" t="inlineStr">
        <is>
          <t>1438/04/20</t>
        </is>
      </c>
    </row>
    <row r="14725">
      <c r="A14725" t="n">
        <v>14380421</v>
      </c>
      <c r="B14725" t="n">
        <v>58268</v>
      </c>
      <c r="C14725" t="inlineStr">
        <is>
          <t>1438/04/21</t>
        </is>
      </c>
    </row>
    <row r="14726">
      <c r="A14726" t="n">
        <v>14380422</v>
      </c>
      <c r="B14726" t="n">
        <v>58269</v>
      </c>
      <c r="C14726" t="inlineStr">
        <is>
          <t>1438/04/22</t>
        </is>
      </c>
    </row>
    <row r="14727">
      <c r="A14727" t="n">
        <v>14380423</v>
      </c>
      <c r="B14727" t="n">
        <v>58270</v>
      </c>
      <c r="C14727" t="inlineStr">
        <is>
          <t>1438/04/23</t>
        </is>
      </c>
    </row>
    <row r="14728">
      <c r="A14728" t="n">
        <v>14380424</v>
      </c>
      <c r="B14728" t="n">
        <v>58271</v>
      </c>
      <c r="C14728" t="inlineStr">
        <is>
          <t>1438/04/24</t>
        </is>
      </c>
    </row>
    <row r="14729">
      <c r="A14729" t="n">
        <v>14380425</v>
      </c>
      <c r="B14729" t="n">
        <v>58272</v>
      </c>
      <c r="C14729" t="inlineStr">
        <is>
          <t>1438/04/25</t>
        </is>
      </c>
    </row>
    <row r="14730">
      <c r="A14730" t="n">
        <v>14380426</v>
      </c>
      <c r="B14730" t="n">
        <v>58273</v>
      </c>
      <c r="C14730" t="inlineStr">
        <is>
          <t>1438/04/26</t>
        </is>
      </c>
    </row>
    <row r="14731">
      <c r="A14731" t="n">
        <v>14380427</v>
      </c>
      <c r="B14731" t="n">
        <v>58274</v>
      </c>
      <c r="C14731" t="inlineStr">
        <is>
          <t>1438/04/27</t>
        </is>
      </c>
    </row>
    <row r="14732">
      <c r="A14732" t="n">
        <v>14380428</v>
      </c>
      <c r="B14732" t="n">
        <v>58275</v>
      </c>
      <c r="C14732" t="inlineStr">
        <is>
          <t>1438/04/28</t>
        </is>
      </c>
    </row>
    <row r="14733">
      <c r="A14733" t="n">
        <v>14380429</v>
      </c>
      <c r="B14733" t="n">
        <v>58276</v>
      </c>
      <c r="C14733" t="inlineStr">
        <is>
          <t>1438/04/29</t>
        </is>
      </c>
    </row>
    <row r="14734">
      <c r="A14734" t="n">
        <v>14380430</v>
      </c>
      <c r="B14734" t="n">
        <v>58277</v>
      </c>
      <c r="C14734" t="inlineStr">
        <is>
          <t>1438/04/30</t>
        </is>
      </c>
    </row>
    <row r="14735">
      <c r="A14735" t="n">
        <v>14380431</v>
      </c>
      <c r="B14735" t="n">
        <v>58278</v>
      </c>
      <c r="C14735" t="inlineStr">
        <is>
          <t>1438/04/31</t>
        </is>
      </c>
    </row>
    <row r="14736">
      <c r="A14736" t="n">
        <v>14380501</v>
      </c>
      <c r="B14736" t="n">
        <v>58279</v>
      </c>
      <c r="C14736" t="inlineStr">
        <is>
          <t>1438/05/01</t>
        </is>
      </c>
    </row>
    <row r="14737">
      <c r="A14737" t="n">
        <v>14380502</v>
      </c>
      <c r="B14737" t="n">
        <v>58280</v>
      </c>
      <c r="C14737" t="inlineStr">
        <is>
          <t>1438/05/02</t>
        </is>
      </c>
    </row>
    <row r="14738">
      <c r="A14738" t="n">
        <v>14380503</v>
      </c>
      <c r="B14738" t="n">
        <v>58281</v>
      </c>
      <c r="C14738" t="inlineStr">
        <is>
          <t>1438/05/03</t>
        </is>
      </c>
    </row>
    <row r="14739">
      <c r="A14739" t="n">
        <v>14380504</v>
      </c>
      <c r="B14739" t="n">
        <v>58282</v>
      </c>
      <c r="C14739" t="inlineStr">
        <is>
          <t>1438/05/04</t>
        </is>
      </c>
    </row>
    <row r="14740">
      <c r="A14740" t="n">
        <v>14380505</v>
      </c>
      <c r="B14740" t="n">
        <v>58283</v>
      </c>
      <c r="C14740" t="inlineStr">
        <is>
          <t>1438/05/05</t>
        </is>
      </c>
    </row>
    <row r="14741">
      <c r="A14741" t="n">
        <v>14380506</v>
      </c>
      <c r="B14741" t="n">
        <v>58284</v>
      </c>
      <c r="C14741" t="inlineStr">
        <is>
          <t>1438/05/06</t>
        </is>
      </c>
    </row>
    <row r="14742">
      <c r="A14742" t="n">
        <v>14380507</v>
      </c>
      <c r="B14742" t="n">
        <v>58285</v>
      </c>
      <c r="C14742" t="inlineStr">
        <is>
          <t>1438/05/07</t>
        </is>
      </c>
    </row>
    <row r="14743">
      <c r="A14743" t="n">
        <v>14380508</v>
      </c>
      <c r="B14743" t="n">
        <v>58286</v>
      </c>
      <c r="C14743" t="inlineStr">
        <is>
          <t>1438/05/08</t>
        </is>
      </c>
    </row>
    <row r="14744">
      <c r="A14744" t="n">
        <v>14380509</v>
      </c>
      <c r="B14744" t="n">
        <v>58287</v>
      </c>
      <c r="C14744" t="inlineStr">
        <is>
          <t>1438/05/09</t>
        </is>
      </c>
    </row>
    <row r="14745">
      <c r="A14745" t="n">
        <v>14380510</v>
      </c>
      <c r="B14745" t="n">
        <v>58288</v>
      </c>
      <c r="C14745" t="inlineStr">
        <is>
          <t>1438/05/10</t>
        </is>
      </c>
    </row>
    <row r="14746">
      <c r="A14746" t="n">
        <v>14380511</v>
      </c>
      <c r="B14746" t="n">
        <v>58289</v>
      </c>
      <c r="C14746" t="inlineStr">
        <is>
          <t>1438/05/11</t>
        </is>
      </c>
    </row>
    <row r="14747">
      <c r="A14747" t="n">
        <v>14380512</v>
      </c>
      <c r="B14747" t="n">
        <v>58290</v>
      </c>
      <c r="C14747" t="inlineStr">
        <is>
          <t>1438/05/12</t>
        </is>
      </c>
    </row>
    <row r="14748">
      <c r="A14748" t="n">
        <v>14380513</v>
      </c>
      <c r="B14748" t="n">
        <v>58291</v>
      </c>
      <c r="C14748" t="inlineStr">
        <is>
          <t>1438/05/13</t>
        </is>
      </c>
    </row>
    <row r="14749">
      <c r="A14749" t="n">
        <v>14380514</v>
      </c>
      <c r="B14749" t="n">
        <v>58292</v>
      </c>
      <c r="C14749" t="inlineStr">
        <is>
          <t>1438/05/14</t>
        </is>
      </c>
    </row>
    <row r="14750">
      <c r="A14750" t="n">
        <v>14380515</v>
      </c>
      <c r="B14750" t="n">
        <v>58293</v>
      </c>
      <c r="C14750" t="inlineStr">
        <is>
          <t>1438/05/15</t>
        </is>
      </c>
    </row>
    <row r="14751">
      <c r="A14751" t="n">
        <v>14380516</v>
      </c>
      <c r="B14751" t="n">
        <v>58294</v>
      </c>
      <c r="C14751" t="inlineStr">
        <is>
          <t>1438/05/16</t>
        </is>
      </c>
    </row>
    <row r="14752">
      <c r="A14752" t="n">
        <v>14380517</v>
      </c>
      <c r="B14752" t="n">
        <v>58295</v>
      </c>
      <c r="C14752" t="inlineStr">
        <is>
          <t>1438/05/17</t>
        </is>
      </c>
    </row>
    <row r="14753">
      <c r="A14753" t="n">
        <v>14380518</v>
      </c>
      <c r="B14753" t="n">
        <v>58296</v>
      </c>
      <c r="C14753" t="inlineStr">
        <is>
          <t>1438/05/18</t>
        </is>
      </c>
    </row>
    <row r="14754">
      <c r="A14754" t="n">
        <v>14380519</v>
      </c>
      <c r="B14754" t="n">
        <v>58297</v>
      </c>
      <c r="C14754" t="inlineStr">
        <is>
          <t>1438/05/19</t>
        </is>
      </c>
    </row>
    <row r="14755">
      <c r="A14755" t="n">
        <v>14380520</v>
      </c>
      <c r="B14755" t="n">
        <v>58298</v>
      </c>
      <c r="C14755" t="inlineStr">
        <is>
          <t>1438/05/20</t>
        </is>
      </c>
    </row>
    <row r="14756">
      <c r="A14756" t="n">
        <v>14380521</v>
      </c>
      <c r="B14756" t="n">
        <v>58299</v>
      </c>
      <c r="C14756" t="inlineStr">
        <is>
          <t>1438/05/21</t>
        </is>
      </c>
    </row>
    <row r="14757">
      <c r="A14757" t="n">
        <v>14380522</v>
      </c>
      <c r="B14757" t="n">
        <v>58300</v>
      </c>
      <c r="C14757" t="inlineStr">
        <is>
          <t>1438/05/22</t>
        </is>
      </c>
    </row>
    <row r="14758">
      <c r="A14758" t="n">
        <v>14380523</v>
      </c>
      <c r="B14758" t="n">
        <v>58301</v>
      </c>
      <c r="C14758" t="inlineStr">
        <is>
          <t>1438/05/23</t>
        </is>
      </c>
    </row>
    <row r="14759">
      <c r="A14759" t="n">
        <v>14380524</v>
      </c>
      <c r="B14759" t="n">
        <v>58302</v>
      </c>
      <c r="C14759" t="inlineStr">
        <is>
          <t>1438/05/24</t>
        </is>
      </c>
    </row>
    <row r="14760">
      <c r="A14760" t="n">
        <v>14380525</v>
      </c>
      <c r="B14760" t="n">
        <v>58303</v>
      </c>
      <c r="C14760" t="inlineStr">
        <is>
          <t>1438/05/25</t>
        </is>
      </c>
    </row>
    <row r="14761">
      <c r="A14761" t="n">
        <v>14380526</v>
      </c>
      <c r="B14761" t="n">
        <v>58304</v>
      </c>
      <c r="C14761" t="inlineStr">
        <is>
          <t>1438/05/26</t>
        </is>
      </c>
    </row>
    <row r="14762">
      <c r="A14762" t="n">
        <v>14380527</v>
      </c>
      <c r="B14762" t="n">
        <v>58305</v>
      </c>
      <c r="C14762" t="inlineStr">
        <is>
          <t>1438/05/27</t>
        </is>
      </c>
    </row>
    <row r="14763">
      <c r="A14763" t="n">
        <v>14380528</v>
      </c>
      <c r="B14763" t="n">
        <v>58306</v>
      </c>
      <c r="C14763" t="inlineStr">
        <is>
          <t>1438/05/28</t>
        </is>
      </c>
    </row>
    <row r="14764">
      <c r="A14764" t="n">
        <v>14380529</v>
      </c>
      <c r="B14764" t="n">
        <v>58307</v>
      </c>
      <c r="C14764" t="inlineStr">
        <is>
          <t>1438/05/29</t>
        </is>
      </c>
    </row>
    <row r="14765">
      <c r="A14765" t="n">
        <v>14380530</v>
      </c>
      <c r="B14765" t="n">
        <v>58308</v>
      </c>
      <c r="C14765" t="inlineStr">
        <is>
          <t>1438/05/30</t>
        </is>
      </c>
    </row>
    <row r="14766">
      <c r="A14766" t="n">
        <v>14380531</v>
      </c>
      <c r="B14766" t="n">
        <v>58309</v>
      </c>
      <c r="C14766" t="inlineStr">
        <is>
          <t>1438/05/31</t>
        </is>
      </c>
    </row>
    <row r="14767">
      <c r="A14767" t="n">
        <v>14380601</v>
      </c>
      <c r="B14767" t="n">
        <v>58310</v>
      </c>
      <c r="C14767" t="inlineStr">
        <is>
          <t>1438/06/01</t>
        </is>
      </c>
    </row>
    <row r="14768">
      <c r="A14768" t="n">
        <v>14380602</v>
      </c>
      <c r="B14768" t="n">
        <v>58311</v>
      </c>
      <c r="C14768" t="inlineStr">
        <is>
          <t>1438/06/02</t>
        </is>
      </c>
    </row>
    <row r="14769">
      <c r="A14769" t="n">
        <v>14380603</v>
      </c>
      <c r="B14769" t="n">
        <v>58312</v>
      </c>
      <c r="C14769" t="inlineStr">
        <is>
          <t>1438/06/03</t>
        </is>
      </c>
    </row>
    <row r="14770">
      <c r="A14770" t="n">
        <v>14380604</v>
      </c>
      <c r="B14770" t="n">
        <v>58313</v>
      </c>
      <c r="C14770" t="inlineStr">
        <is>
          <t>1438/06/04</t>
        </is>
      </c>
    </row>
    <row r="14771">
      <c r="A14771" t="n">
        <v>14380605</v>
      </c>
      <c r="B14771" t="n">
        <v>58314</v>
      </c>
      <c r="C14771" t="inlineStr">
        <is>
          <t>1438/06/05</t>
        </is>
      </c>
    </row>
    <row r="14772">
      <c r="A14772" t="n">
        <v>14380606</v>
      </c>
      <c r="B14772" t="n">
        <v>58315</v>
      </c>
      <c r="C14772" t="inlineStr">
        <is>
          <t>1438/06/06</t>
        </is>
      </c>
    </row>
    <row r="14773">
      <c r="A14773" t="n">
        <v>14380607</v>
      </c>
      <c r="B14773" t="n">
        <v>58316</v>
      </c>
      <c r="C14773" t="inlineStr">
        <is>
          <t>1438/06/07</t>
        </is>
      </c>
    </row>
    <row r="14774">
      <c r="A14774" t="n">
        <v>14380608</v>
      </c>
      <c r="B14774" t="n">
        <v>58317</v>
      </c>
      <c r="C14774" t="inlineStr">
        <is>
          <t>1438/06/08</t>
        </is>
      </c>
    </row>
    <row r="14775">
      <c r="A14775" t="n">
        <v>14380609</v>
      </c>
      <c r="B14775" t="n">
        <v>58318</v>
      </c>
      <c r="C14775" t="inlineStr">
        <is>
          <t>1438/06/09</t>
        </is>
      </c>
    </row>
    <row r="14776">
      <c r="A14776" t="n">
        <v>14380610</v>
      </c>
      <c r="B14776" t="n">
        <v>58319</v>
      </c>
      <c r="C14776" t="inlineStr">
        <is>
          <t>1438/06/10</t>
        </is>
      </c>
    </row>
    <row r="14777">
      <c r="A14777" t="n">
        <v>14380611</v>
      </c>
      <c r="B14777" t="n">
        <v>58320</v>
      </c>
      <c r="C14777" t="inlineStr">
        <is>
          <t>1438/06/11</t>
        </is>
      </c>
    </row>
    <row r="14778">
      <c r="A14778" t="n">
        <v>14380612</v>
      </c>
      <c r="B14778" t="n">
        <v>58321</v>
      </c>
      <c r="C14778" t="inlineStr">
        <is>
          <t>1438/06/12</t>
        </is>
      </c>
    </row>
    <row r="14779">
      <c r="A14779" t="n">
        <v>14380613</v>
      </c>
      <c r="B14779" t="n">
        <v>58322</v>
      </c>
      <c r="C14779" t="inlineStr">
        <is>
          <t>1438/06/13</t>
        </is>
      </c>
    </row>
    <row r="14780">
      <c r="A14780" t="n">
        <v>14380614</v>
      </c>
      <c r="B14780" t="n">
        <v>58323</v>
      </c>
      <c r="C14780" t="inlineStr">
        <is>
          <t>1438/06/14</t>
        </is>
      </c>
    </row>
    <row r="14781">
      <c r="A14781" t="n">
        <v>14380615</v>
      </c>
      <c r="B14781" t="n">
        <v>58324</v>
      </c>
      <c r="C14781" t="inlineStr">
        <is>
          <t>1438/06/15</t>
        </is>
      </c>
    </row>
    <row r="14782">
      <c r="A14782" t="n">
        <v>14380616</v>
      </c>
      <c r="B14782" t="n">
        <v>58325</v>
      </c>
      <c r="C14782" t="inlineStr">
        <is>
          <t>1438/06/16</t>
        </is>
      </c>
    </row>
    <row r="14783">
      <c r="A14783" t="n">
        <v>14380617</v>
      </c>
      <c r="B14783" t="n">
        <v>58326</v>
      </c>
      <c r="C14783" t="inlineStr">
        <is>
          <t>1438/06/17</t>
        </is>
      </c>
    </row>
    <row r="14784">
      <c r="A14784" t="n">
        <v>14380618</v>
      </c>
      <c r="B14784" t="n">
        <v>58327</v>
      </c>
      <c r="C14784" t="inlineStr">
        <is>
          <t>1438/06/18</t>
        </is>
      </c>
    </row>
    <row r="14785">
      <c r="A14785" t="n">
        <v>14380619</v>
      </c>
      <c r="B14785" t="n">
        <v>58328</v>
      </c>
      <c r="C14785" t="inlineStr">
        <is>
          <t>1438/06/19</t>
        </is>
      </c>
    </row>
    <row r="14786">
      <c r="A14786" t="n">
        <v>14380620</v>
      </c>
      <c r="B14786" t="n">
        <v>58329</v>
      </c>
      <c r="C14786" t="inlineStr">
        <is>
          <t>1438/06/20</t>
        </is>
      </c>
    </row>
    <row r="14787">
      <c r="A14787" t="n">
        <v>14380621</v>
      </c>
      <c r="B14787" t="n">
        <v>58330</v>
      </c>
      <c r="C14787" t="inlineStr">
        <is>
          <t>1438/06/21</t>
        </is>
      </c>
    </row>
    <row r="14788">
      <c r="A14788" t="n">
        <v>14380622</v>
      </c>
      <c r="B14788" t="n">
        <v>58331</v>
      </c>
      <c r="C14788" t="inlineStr">
        <is>
          <t>1438/06/22</t>
        </is>
      </c>
    </row>
    <row r="14789">
      <c r="A14789" t="n">
        <v>14380623</v>
      </c>
      <c r="B14789" t="n">
        <v>58332</v>
      </c>
      <c r="C14789" t="inlineStr">
        <is>
          <t>1438/06/23</t>
        </is>
      </c>
    </row>
    <row r="14790">
      <c r="A14790" t="n">
        <v>14380624</v>
      </c>
      <c r="B14790" t="n">
        <v>58333</v>
      </c>
      <c r="C14790" t="inlineStr">
        <is>
          <t>1438/06/24</t>
        </is>
      </c>
    </row>
    <row r="14791">
      <c r="A14791" t="n">
        <v>14380625</v>
      </c>
      <c r="B14791" t="n">
        <v>58334</v>
      </c>
      <c r="C14791" t="inlineStr">
        <is>
          <t>1438/06/25</t>
        </is>
      </c>
    </row>
    <row r="14792">
      <c r="A14792" t="n">
        <v>14380626</v>
      </c>
      <c r="B14792" t="n">
        <v>58335</v>
      </c>
      <c r="C14792" t="inlineStr">
        <is>
          <t>1438/06/26</t>
        </is>
      </c>
    </row>
    <row r="14793">
      <c r="A14793" t="n">
        <v>14380627</v>
      </c>
      <c r="B14793" t="n">
        <v>58336</v>
      </c>
      <c r="C14793" t="inlineStr">
        <is>
          <t>1438/06/27</t>
        </is>
      </c>
    </row>
    <row r="14794">
      <c r="A14794" t="n">
        <v>14380628</v>
      </c>
      <c r="B14794" t="n">
        <v>58337</v>
      </c>
      <c r="C14794" t="inlineStr">
        <is>
          <t>1438/06/28</t>
        </is>
      </c>
    </row>
    <row r="14795">
      <c r="A14795" t="n">
        <v>14380629</v>
      </c>
      <c r="B14795" t="n">
        <v>58338</v>
      </c>
      <c r="C14795" t="inlineStr">
        <is>
          <t>1438/06/29</t>
        </is>
      </c>
    </row>
    <row r="14796">
      <c r="A14796" t="n">
        <v>14380630</v>
      </c>
      <c r="B14796" t="n">
        <v>58339</v>
      </c>
      <c r="C14796" t="inlineStr">
        <is>
          <t>1438/06/30</t>
        </is>
      </c>
    </row>
    <row r="14797">
      <c r="A14797" t="n">
        <v>14380631</v>
      </c>
      <c r="B14797" t="n">
        <v>58340</v>
      </c>
      <c r="C14797" t="inlineStr">
        <is>
          <t>1438/06/31</t>
        </is>
      </c>
    </row>
    <row r="14798">
      <c r="A14798" t="n">
        <v>14380701</v>
      </c>
      <c r="B14798" t="n">
        <v>58341</v>
      </c>
      <c r="C14798" t="inlineStr">
        <is>
          <t>1438/07/01</t>
        </is>
      </c>
    </row>
    <row r="14799">
      <c r="A14799" t="n">
        <v>14380702</v>
      </c>
      <c r="B14799" t="n">
        <v>58342</v>
      </c>
      <c r="C14799" t="inlineStr">
        <is>
          <t>1438/07/02</t>
        </is>
      </c>
    </row>
    <row r="14800">
      <c r="A14800" t="n">
        <v>14380703</v>
      </c>
      <c r="B14800" t="n">
        <v>58343</v>
      </c>
      <c r="C14800" t="inlineStr">
        <is>
          <t>1438/07/03</t>
        </is>
      </c>
    </row>
    <row r="14801">
      <c r="A14801" t="n">
        <v>14380704</v>
      </c>
      <c r="B14801" t="n">
        <v>58344</v>
      </c>
      <c r="C14801" t="inlineStr">
        <is>
          <t>1438/07/04</t>
        </is>
      </c>
    </row>
    <row r="14802">
      <c r="A14802" t="n">
        <v>14380705</v>
      </c>
      <c r="B14802" t="n">
        <v>58345</v>
      </c>
      <c r="C14802" t="inlineStr">
        <is>
          <t>1438/07/05</t>
        </is>
      </c>
    </row>
    <row r="14803">
      <c r="A14803" t="n">
        <v>14380706</v>
      </c>
      <c r="B14803" t="n">
        <v>58346</v>
      </c>
      <c r="C14803" t="inlineStr">
        <is>
          <t>1438/07/06</t>
        </is>
      </c>
    </row>
    <row r="14804">
      <c r="A14804" t="n">
        <v>14380707</v>
      </c>
      <c r="B14804" t="n">
        <v>58347</v>
      </c>
      <c r="C14804" t="inlineStr">
        <is>
          <t>1438/07/07</t>
        </is>
      </c>
    </row>
    <row r="14805">
      <c r="A14805" t="n">
        <v>14380708</v>
      </c>
      <c r="B14805" t="n">
        <v>58348</v>
      </c>
      <c r="C14805" t="inlineStr">
        <is>
          <t>1438/07/08</t>
        </is>
      </c>
    </row>
    <row r="14806">
      <c r="A14806" t="n">
        <v>14380709</v>
      </c>
      <c r="B14806" t="n">
        <v>58349</v>
      </c>
      <c r="C14806" t="inlineStr">
        <is>
          <t>1438/07/09</t>
        </is>
      </c>
    </row>
    <row r="14807">
      <c r="A14807" t="n">
        <v>14380710</v>
      </c>
      <c r="B14807" t="n">
        <v>58350</v>
      </c>
      <c r="C14807" t="inlineStr">
        <is>
          <t>1438/07/10</t>
        </is>
      </c>
    </row>
    <row r="14808">
      <c r="A14808" t="n">
        <v>14380711</v>
      </c>
      <c r="B14808" t="n">
        <v>58351</v>
      </c>
      <c r="C14808" t="inlineStr">
        <is>
          <t>1438/07/11</t>
        </is>
      </c>
    </row>
    <row r="14809">
      <c r="A14809" t="n">
        <v>14380712</v>
      </c>
      <c r="B14809" t="n">
        <v>58352</v>
      </c>
      <c r="C14809" t="inlineStr">
        <is>
          <t>1438/07/12</t>
        </is>
      </c>
    </row>
    <row r="14810">
      <c r="A14810" t="n">
        <v>14380713</v>
      </c>
      <c r="B14810" t="n">
        <v>58353</v>
      </c>
      <c r="C14810" t="inlineStr">
        <is>
          <t>1438/07/13</t>
        </is>
      </c>
    </row>
    <row r="14811">
      <c r="A14811" t="n">
        <v>14380714</v>
      </c>
      <c r="B14811" t="n">
        <v>58354</v>
      </c>
      <c r="C14811" t="inlineStr">
        <is>
          <t>1438/07/14</t>
        </is>
      </c>
    </row>
    <row r="14812">
      <c r="A14812" t="n">
        <v>14380715</v>
      </c>
      <c r="B14812" t="n">
        <v>58355</v>
      </c>
      <c r="C14812" t="inlineStr">
        <is>
          <t>1438/07/15</t>
        </is>
      </c>
    </row>
    <row r="14813">
      <c r="A14813" t="n">
        <v>14380716</v>
      </c>
      <c r="B14813" t="n">
        <v>58356</v>
      </c>
      <c r="C14813" t="inlineStr">
        <is>
          <t>1438/07/16</t>
        </is>
      </c>
    </row>
    <row r="14814">
      <c r="A14814" t="n">
        <v>14380717</v>
      </c>
      <c r="B14814" t="n">
        <v>58357</v>
      </c>
      <c r="C14814" t="inlineStr">
        <is>
          <t>1438/07/17</t>
        </is>
      </c>
    </row>
    <row r="14815">
      <c r="A14815" t="n">
        <v>14380718</v>
      </c>
      <c r="B14815" t="n">
        <v>58358</v>
      </c>
      <c r="C14815" t="inlineStr">
        <is>
          <t>1438/07/18</t>
        </is>
      </c>
    </row>
    <row r="14816">
      <c r="A14816" t="n">
        <v>14380719</v>
      </c>
      <c r="B14816" t="n">
        <v>58359</v>
      </c>
      <c r="C14816" t="inlineStr">
        <is>
          <t>1438/07/19</t>
        </is>
      </c>
    </row>
    <row r="14817">
      <c r="A14817" t="n">
        <v>14380720</v>
      </c>
      <c r="B14817" t="n">
        <v>58360</v>
      </c>
      <c r="C14817" t="inlineStr">
        <is>
          <t>1438/07/20</t>
        </is>
      </c>
    </row>
    <row r="14818">
      <c r="A14818" t="n">
        <v>14380721</v>
      </c>
      <c r="B14818" t="n">
        <v>58361</v>
      </c>
      <c r="C14818" t="inlineStr">
        <is>
          <t>1438/07/21</t>
        </is>
      </c>
    </row>
    <row r="14819">
      <c r="A14819" t="n">
        <v>14380722</v>
      </c>
      <c r="B14819" t="n">
        <v>58362</v>
      </c>
      <c r="C14819" t="inlineStr">
        <is>
          <t>1438/07/22</t>
        </is>
      </c>
    </row>
    <row r="14820">
      <c r="A14820" t="n">
        <v>14380723</v>
      </c>
      <c r="B14820" t="n">
        <v>58363</v>
      </c>
      <c r="C14820" t="inlineStr">
        <is>
          <t>1438/07/23</t>
        </is>
      </c>
    </row>
    <row r="14821">
      <c r="A14821" t="n">
        <v>14380724</v>
      </c>
      <c r="B14821" t="n">
        <v>58364</v>
      </c>
      <c r="C14821" t="inlineStr">
        <is>
          <t>1438/07/24</t>
        </is>
      </c>
    </row>
    <row r="14822">
      <c r="A14822" t="n">
        <v>14380725</v>
      </c>
      <c r="B14822" t="n">
        <v>58365</v>
      </c>
      <c r="C14822" t="inlineStr">
        <is>
          <t>1438/07/25</t>
        </is>
      </c>
    </row>
    <row r="14823">
      <c r="A14823" t="n">
        <v>14380726</v>
      </c>
      <c r="B14823" t="n">
        <v>58366</v>
      </c>
      <c r="C14823" t="inlineStr">
        <is>
          <t>1438/07/26</t>
        </is>
      </c>
    </row>
    <row r="14824">
      <c r="A14824" t="n">
        <v>14380727</v>
      </c>
      <c r="B14824" t="n">
        <v>58367</v>
      </c>
      <c r="C14824" t="inlineStr">
        <is>
          <t>1438/07/27</t>
        </is>
      </c>
    </row>
    <row r="14825">
      <c r="A14825" t="n">
        <v>14380728</v>
      </c>
      <c r="B14825" t="n">
        <v>58368</v>
      </c>
      <c r="C14825" t="inlineStr">
        <is>
          <t>1438/07/28</t>
        </is>
      </c>
    </row>
    <row r="14826">
      <c r="A14826" t="n">
        <v>14380729</v>
      </c>
      <c r="B14826" t="n">
        <v>58369</v>
      </c>
      <c r="C14826" t="inlineStr">
        <is>
          <t>1438/07/29</t>
        </is>
      </c>
    </row>
    <row r="14827">
      <c r="A14827" t="n">
        <v>14380730</v>
      </c>
      <c r="B14827" t="n">
        <v>58370</v>
      </c>
      <c r="C14827" t="inlineStr">
        <is>
          <t>1438/07/30</t>
        </is>
      </c>
    </row>
    <row r="14828">
      <c r="A14828" t="n">
        <v>14380801</v>
      </c>
      <c r="B14828" t="n">
        <v>58371</v>
      </c>
      <c r="C14828" t="inlineStr">
        <is>
          <t>1438/08/01</t>
        </is>
      </c>
    </row>
    <row r="14829">
      <c r="A14829" t="n">
        <v>14380802</v>
      </c>
      <c r="B14829" t="n">
        <v>58372</v>
      </c>
      <c r="C14829" t="inlineStr">
        <is>
          <t>1438/08/02</t>
        </is>
      </c>
    </row>
    <row r="14830">
      <c r="A14830" t="n">
        <v>14380803</v>
      </c>
      <c r="B14830" t="n">
        <v>58373</v>
      </c>
      <c r="C14830" t="inlineStr">
        <is>
          <t>1438/08/03</t>
        </is>
      </c>
    </row>
    <row r="14831">
      <c r="A14831" t="n">
        <v>14380804</v>
      </c>
      <c r="B14831" t="n">
        <v>58374</v>
      </c>
      <c r="C14831" t="inlineStr">
        <is>
          <t>1438/08/04</t>
        </is>
      </c>
    </row>
    <row r="14832">
      <c r="A14832" t="n">
        <v>14380805</v>
      </c>
      <c r="B14832" t="n">
        <v>58375</v>
      </c>
      <c r="C14832" t="inlineStr">
        <is>
          <t>1438/08/05</t>
        </is>
      </c>
    </row>
    <row r="14833">
      <c r="A14833" t="n">
        <v>14380806</v>
      </c>
      <c r="B14833" t="n">
        <v>58376</v>
      </c>
      <c r="C14833" t="inlineStr">
        <is>
          <t>1438/08/06</t>
        </is>
      </c>
    </row>
    <row r="14834">
      <c r="A14834" t="n">
        <v>14380807</v>
      </c>
      <c r="B14834" t="n">
        <v>58377</v>
      </c>
      <c r="C14834" t="inlineStr">
        <is>
          <t>1438/08/07</t>
        </is>
      </c>
    </row>
    <row r="14835">
      <c r="A14835" t="n">
        <v>14380808</v>
      </c>
      <c r="B14835" t="n">
        <v>58378</v>
      </c>
      <c r="C14835" t="inlineStr">
        <is>
          <t>1438/08/08</t>
        </is>
      </c>
    </row>
    <row r="14836">
      <c r="A14836" t="n">
        <v>14380809</v>
      </c>
      <c r="B14836" t="n">
        <v>58379</v>
      </c>
      <c r="C14836" t="inlineStr">
        <is>
          <t>1438/08/09</t>
        </is>
      </c>
    </row>
    <row r="14837">
      <c r="A14837" t="n">
        <v>14380810</v>
      </c>
      <c r="B14837" t="n">
        <v>58380</v>
      </c>
      <c r="C14837" t="inlineStr">
        <is>
          <t>1438/08/10</t>
        </is>
      </c>
    </row>
    <row r="14838">
      <c r="A14838" t="n">
        <v>14380811</v>
      </c>
      <c r="B14838" t="n">
        <v>58381</v>
      </c>
      <c r="C14838" t="inlineStr">
        <is>
          <t>1438/08/11</t>
        </is>
      </c>
    </row>
    <row r="14839">
      <c r="A14839" t="n">
        <v>14380812</v>
      </c>
      <c r="B14839" t="n">
        <v>58382</v>
      </c>
      <c r="C14839" t="inlineStr">
        <is>
          <t>1438/08/12</t>
        </is>
      </c>
    </row>
    <row r="14840">
      <c r="A14840" t="n">
        <v>14380813</v>
      </c>
      <c r="B14840" t="n">
        <v>58383</v>
      </c>
      <c r="C14840" t="inlineStr">
        <is>
          <t>1438/08/13</t>
        </is>
      </c>
    </row>
    <row r="14841">
      <c r="A14841" t="n">
        <v>14380814</v>
      </c>
      <c r="B14841" t="n">
        <v>58384</v>
      </c>
      <c r="C14841" t="inlineStr">
        <is>
          <t>1438/08/14</t>
        </is>
      </c>
    </row>
    <row r="14842">
      <c r="A14842" t="n">
        <v>14380815</v>
      </c>
      <c r="B14842" t="n">
        <v>58385</v>
      </c>
      <c r="C14842" t="inlineStr">
        <is>
          <t>1438/08/15</t>
        </is>
      </c>
    </row>
    <row r="14843">
      <c r="A14843" t="n">
        <v>14380816</v>
      </c>
      <c r="B14843" t="n">
        <v>58386</v>
      </c>
      <c r="C14843" t="inlineStr">
        <is>
          <t>1438/08/16</t>
        </is>
      </c>
    </row>
    <row r="14844">
      <c r="A14844" t="n">
        <v>14380817</v>
      </c>
      <c r="B14844" t="n">
        <v>58387</v>
      </c>
      <c r="C14844" t="inlineStr">
        <is>
          <t>1438/08/17</t>
        </is>
      </c>
    </row>
    <row r="14845">
      <c r="A14845" t="n">
        <v>14380818</v>
      </c>
      <c r="B14845" t="n">
        <v>58388</v>
      </c>
      <c r="C14845" t="inlineStr">
        <is>
          <t>1438/08/18</t>
        </is>
      </c>
    </row>
    <row r="14846">
      <c r="A14846" t="n">
        <v>14380819</v>
      </c>
      <c r="B14846" t="n">
        <v>58389</v>
      </c>
      <c r="C14846" t="inlineStr">
        <is>
          <t>1438/08/19</t>
        </is>
      </c>
    </row>
    <row r="14847">
      <c r="A14847" t="n">
        <v>14380820</v>
      </c>
      <c r="B14847" t="n">
        <v>58390</v>
      </c>
      <c r="C14847" t="inlineStr">
        <is>
          <t>1438/08/20</t>
        </is>
      </c>
    </row>
    <row r="14848">
      <c r="A14848" t="n">
        <v>14380821</v>
      </c>
      <c r="B14848" t="n">
        <v>58391</v>
      </c>
      <c r="C14848" t="inlineStr">
        <is>
          <t>1438/08/21</t>
        </is>
      </c>
    </row>
    <row r="14849">
      <c r="A14849" t="n">
        <v>14380822</v>
      </c>
      <c r="B14849" t="n">
        <v>58392</v>
      </c>
      <c r="C14849" t="inlineStr">
        <is>
          <t>1438/08/22</t>
        </is>
      </c>
    </row>
    <row r="14850">
      <c r="A14850" t="n">
        <v>14380823</v>
      </c>
      <c r="B14850" t="n">
        <v>58393</v>
      </c>
      <c r="C14850" t="inlineStr">
        <is>
          <t>1438/08/23</t>
        </is>
      </c>
    </row>
    <row r="14851">
      <c r="A14851" t="n">
        <v>14380824</v>
      </c>
      <c r="B14851" t="n">
        <v>58394</v>
      </c>
      <c r="C14851" t="inlineStr">
        <is>
          <t>1438/08/24</t>
        </is>
      </c>
    </row>
    <row r="14852">
      <c r="A14852" t="n">
        <v>14380825</v>
      </c>
      <c r="B14852" t="n">
        <v>58395</v>
      </c>
      <c r="C14852" t="inlineStr">
        <is>
          <t>1438/08/25</t>
        </is>
      </c>
    </row>
    <row r="14853">
      <c r="A14853" t="n">
        <v>14380826</v>
      </c>
      <c r="B14853" t="n">
        <v>58396</v>
      </c>
      <c r="C14853" t="inlineStr">
        <is>
          <t>1438/08/26</t>
        </is>
      </c>
    </row>
    <row r="14854">
      <c r="A14854" t="n">
        <v>14380827</v>
      </c>
      <c r="B14854" t="n">
        <v>58397</v>
      </c>
      <c r="C14854" t="inlineStr">
        <is>
          <t>1438/08/27</t>
        </is>
      </c>
    </row>
    <row r="14855">
      <c r="A14855" t="n">
        <v>14380828</v>
      </c>
      <c r="B14855" t="n">
        <v>58398</v>
      </c>
      <c r="C14855" t="inlineStr">
        <is>
          <t>1438/08/28</t>
        </is>
      </c>
    </row>
    <row r="14856">
      <c r="A14856" t="n">
        <v>14380829</v>
      </c>
      <c r="B14856" t="n">
        <v>58399</v>
      </c>
      <c r="C14856" t="inlineStr">
        <is>
          <t>1438/08/29</t>
        </is>
      </c>
    </row>
    <row r="14857">
      <c r="A14857" t="n">
        <v>14380830</v>
      </c>
      <c r="B14857" t="n">
        <v>58400</v>
      </c>
      <c r="C14857" t="inlineStr">
        <is>
          <t>1438/08/30</t>
        </is>
      </c>
    </row>
    <row r="14858">
      <c r="A14858" t="n">
        <v>14380901</v>
      </c>
      <c r="B14858" t="n">
        <v>58401</v>
      </c>
      <c r="C14858" t="inlineStr">
        <is>
          <t>1438/09/01</t>
        </is>
      </c>
    </row>
    <row r="14859">
      <c r="A14859" t="n">
        <v>14380902</v>
      </c>
      <c r="B14859" t="n">
        <v>58402</v>
      </c>
      <c r="C14859" t="inlineStr">
        <is>
          <t>1438/09/02</t>
        </is>
      </c>
    </row>
    <row r="14860">
      <c r="A14860" t="n">
        <v>14380903</v>
      </c>
      <c r="B14860" t="n">
        <v>58403</v>
      </c>
      <c r="C14860" t="inlineStr">
        <is>
          <t>1438/09/03</t>
        </is>
      </c>
    </row>
    <row r="14861">
      <c r="A14861" t="n">
        <v>14380904</v>
      </c>
      <c r="B14861" t="n">
        <v>58404</v>
      </c>
      <c r="C14861" t="inlineStr">
        <is>
          <t>1438/09/04</t>
        </is>
      </c>
    </row>
    <row r="14862">
      <c r="A14862" t="n">
        <v>14380905</v>
      </c>
      <c r="B14862" t="n">
        <v>58405</v>
      </c>
      <c r="C14862" t="inlineStr">
        <is>
          <t>1438/09/05</t>
        </is>
      </c>
    </row>
    <row r="14863">
      <c r="A14863" t="n">
        <v>14380906</v>
      </c>
      <c r="B14863" t="n">
        <v>58406</v>
      </c>
      <c r="C14863" t="inlineStr">
        <is>
          <t>1438/09/06</t>
        </is>
      </c>
    </row>
    <row r="14864">
      <c r="A14864" t="n">
        <v>14380907</v>
      </c>
      <c r="B14864" t="n">
        <v>58407</v>
      </c>
      <c r="C14864" t="inlineStr">
        <is>
          <t>1438/09/07</t>
        </is>
      </c>
    </row>
    <row r="14865">
      <c r="A14865" t="n">
        <v>14380908</v>
      </c>
      <c r="B14865" t="n">
        <v>58408</v>
      </c>
      <c r="C14865" t="inlineStr">
        <is>
          <t>1438/09/08</t>
        </is>
      </c>
    </row>
    <row r="14866">
      <c r="A14866" t="n">
        <v>14380909</v>
      </c>
      <c r="B14866" t="n">
        <v>58409</v>
      </c>
      <c r="C14866" t="inlineStr">
        <is>
          <t>1438/09/09</t>
        </is>
      </c>
    </row>
    <row r="14867">
      <c r="A14867" t="n">
        <v>14380910</v>
      </c>
      <c r="B14867" t="n">
        <v>58410</v>
      </c>
      <c r="C14867" t="inlineStr">
        <is>
          <t>1438/09/10</t>
        </is>
      </c>
    </row>
    <row r="14868">
      <c r="A14868" t="n">
        <v>14380911</v>
      </c>
      <c r="B14868" t="n">
        <v>58411</v>
      </c>
      <c r="C14868" t="inlineStr">
        <is>
          <t>1438/09/11</t>
        </is>
      </c>
    </row>
    <row r="14869">
      <c r="A14869" t="n">
        <v>14380912</v>
      </c>
      <c r="B14869" t="n">
        <v>58412</v>
      </c>
      <c r="C14869" t="inlineStr">
        <is>
          <t>1438/09/12</t>
        </is>
      </c>
    </row>
    <row r="14870">
      <c r="A14870" t="n">
        <v>14380913</v>
      </c>
      <c r="B14870" t="n">
        <v>58413</v>
      </c>
      <c r="C14870" t="inlineStr">
        <is>
          <t>1438/09/13</t>
        </is>
      </c>
    </row>
    <row r="14871">
      <c r="A14871" t="n">
        <v>14380914</v>
      </c>
      <c r="B14871" t="n">
        <v>58414</v>
      </c>
      <c r="C14871" t="inlineStr">
        <is>
          <t>1438/09/14</t>
        </is>
      </c>
    </row>
    <row r="14872">
      <c r="A14872" t="n">
        <v>14380915</v>
      </c>
      <c r="B14872" t="n">
        <v>58415</v>
      </c>
      <c r="C14872" t="inlineStr">
        <is>
          <t>1438/09/15</t>
        </is>
      </c>
    </row>
    <row r="14873">
      <c r="A14873" t="n">
        <v>14380916</v>
      </c>
      <c r="B14873" t="n">
        <v>58416</v>
      </c>
      <c r="C14873" t="inlineStr">
        <is>
          <t>1438/09/16</t>
        </is>
      </c>
    </row>
    <row r="14874">
      <c r="A14874" t="n">
        <v>14380917</v>
      </c>
      <c r="B14874" t="n">
        <v>58417</v>
      </c>
      <c r="C14874" t="inlineStr">
        <is>
          <t>1438/09/17</t>
        </is>
      </c>
    </row>
    <row r="14875">
      <c r="A14875" t="n">
        <v>14380918</v>
      </c>
      <c r="B14875" t="n">
        <v>58418</v>
      </c>
      <c r="C14875" t="inlineStr">
        <is>
          <t>1438/09/18</t>
        </is>
      </c>
    </row>
    <row r="14876">
      <c r="A14876" t="n">
        <v>14380919</v>
      </c>
      <c r="B14876" t="n">
        <v>58419</v>
      </c>
      <c r="C14876" t="inlineStr">
        <is>
          <t>1438/09/19</t>
        </is>
      </c>
    </row>
    <row r="14877">
      <c r="A14877" t="n">
        <v>14380920</v>
      </c>
      <c r="B14877" t="n">
        <v>58420</v>
      </c>
      <c r="C14877" t="inlineStr">
        <is>
          <t>1438/09/20</t>
        </is>
      </c>
    </row>
    <row r="14878">
      <c r="A14878" t="n">
        <v>14380921</v>
      </c>
      <c r="B14878" t="n">
        <v>58421</v>
      </c>
      <c r="C14878" t="inlineStr">
        <is>
          <t>1438/09/21</t>
        </is>
      </c>
    </row>
    <row r="14879">
      <c r="A14879" t="n">
        <v>14380922</v>
      </c>
      <c r="B14879" t="n">
        <v>58422</v>
      </c>
      <c r="C14879" t="inlineStr">
        <is>
          <t>1438/09/22</t>
        </is>
      </c>
    </row>
    <row r="14880">
      <c r="A14880" t="n">
        <v>14380923</v>
      </c>
      <c r="B14880" t="n">
        <v>58423</v>
      </c>
      <c r="C14880" t="inlineStr">
        <is>
          <t>1438/09/23</t>
        </is>
      </c>
    </row>
    <row r="14881">
      <c r="A14881" t="n">
        <v>14380924</v>
      </c>
      <c r="B14881" t="n">
        <v>58424</v>
      </c>
      <c r="C14881" t="inlineStr">
        <is>
          <t>1438/09/24</t>
        </is>
      </c>
    </row>
    <row r="14882">
      <c r="A14882" t="n">
        <v>14380925</v>
      </c>
      <c r="B14882" t="n">
        <v>58425</v>
      </c>
      <c r="C14882" t="inlineStr">
        <is>
          <t>1438/09/25</t>
        </is>
      </c>
    </row>
    <row r="14883">
      <c r="A14883" t="n">
        <v>14380926</v>
      </c>
      <c r="B14883" t="n">
        <v>58426</v>
      </c>
      <c r="C14883" t="inlineStr">
        <is>
          <t>1438/09/26</t>
        </is>
      </c>
    </row>
    <row r="14884">
      <c r="A14884" t="n">
        <v>14380927</v>
      </c>
      <c r="B14884" t="n">
        <v>58427</v>
      </c>
      <c r="C14884" t="inlineStr">
        <is>
          <t>1438/09/27</t>
        </is>
      </c>
    </row>
    <row r="14885">
      <c r="A14885" t="n">
        <v>14380928</v>
      </c>
      <c r="B14885" t="n">
        <v>58428</v>
      </c>
      <c r="C14885" t="inlineStr">
        <is>
          <t>1438/09/28</t>
        </is>
      </c>
    </row>
    <row r="14886">
      <c r="A14886" t="n">
        <v>14380929</v>
      </c>
      <c r="B14886" t="n">
        <v>58429</v>
      </c>
      <c r="C14886" t="inlineStr">
        <is>
          <t>1438/09/29</t>
        </is>
      </c>
    </row>
    <row r="14887">
      <c r="A14887" t="n">
        <v>14380930</v>
      </c>
      <c r="B14887" t="n">
        <v>58430</v>
      </c>
      <c r="C14887" t="inlineStr">
        <is>
          <t>1438/09/30</t>
        </is>
      </c>
    </row>
    <row r="14888">
      <c r="A14888" t="n">
        <v>14381001</v>
      </c>
      <c r="B14888" t="n">
        <v>58431</v>
      </c>
      <c r="C14888" t="inlineStr">
        <is>
          <t>1438/10/01</t>
        </is>
      </c>
    </row>
    <row r="14889">
      <c r="A14889" t="n">
        <v>14381002</v>
      </c>
      <c r="B14889" t="n">
        <v>58432</v>
      </c>
      <c r="C14889" t="inlineStr">
        <is>
          <t>1438/10/02</t>
        </is>
      </c>
    </row>
    <row r="14890">
      <c r="A14890" t="n">
        <v>14381003</v>
      </c>
      <c r="B14890" t="n">
        <v>58433</v>
      </c>
      <c r="C14890" t="inlineStr">
        <is>
          <t>1438/10/03</t>
        </is>
      </c>
    </row>
    <row r="14891">
      <c r="A14891" t="n">
        <v>14381004</v>
      </c>
      <c r="B14891" t="n">
        <v>58434</v>
      </c>
      <c r="C14891" t="inlineStr">
        <is>
          <t>1438/10/04</t>
        </is>
      </c>
    </row>
    <row r="14892">
      <c r="A14892" t="n">
        <v>14381005</v>
      </c>
      <c r="B14892" t="n">
        <v>58435</v>
      </c>
      <c r="C14892" t="inlineStr">
        <is>
          <t>1438/10/05</t>
        </is>
      </c>
    </row>
    <row r="14893">
      <c r="A14893" t="n">
        <v>14381006</v>
      </c>
      <c r="B14893" t="n">
        <v>58436</v>
      </c>
      <c r="C14893" t="inlineStr">
        <is>
          <t>1438/10/06</t>
        </is>
      </c>
    </row>
    <row r="14894">
      <c r="A14894" t="n">
        <v>14381007</v>
      </c>
      <c r="B14894" t="n">
        <v>58437</v>
      </c>
      <c r="C14894" t="inlineStr">
        <is>
          <t>1438/10/07</t>
        </is>
      </c>
    </row>
    <row r="14895">
      <c r="A14895" t="n">
        <v>14381008</v>
      </c>
      <c r="B14895" t="n">
        <v>58438</v>
      </c>
      <c r="C14895" t="inlineStr">
        <is>
          <t>1438/10/08</t>
        </is>
      </c>
    </row>
    <row r="14896">
      <c r="A14896" t="n">
        <v>14381009</v>
      </c>
      <c r="B14896" t="n">
        <v>58439</v>
      </c>
      <c r="C14896" t="inlineStr">
        <is>
          <t>1438/10/09</t>
        </is>
      </c>
    </row>
    <row r="14897">
      <c r="A14897" t="n">
        <v>14381010</v>
      </c>
      <c r="B14897" t="n">
        <v>58440</v>
      </c>
      <c r="C14897" t="inlineStr">
        <is>
          <t>1438/10/10</t>
        </is>
      </c>
    </row>
    <row r="14898">
      <c r="A14898" t="n">
        <v>14381011</v>
      </c>
      <c r="B14898" t="n">
        <v>58441</v>
      </c>
      <c r="C14898" t="inlineStr">
        <is>
          <t>1438/10/11</t>
        </is>
      </c>
    </row>
    <row r="14899">
      <c r="A14899" t="n">
        <v>14381012</v>
      </c>
      <c r="B14899" t="n">
        <v>58442</v>
      </c>
      <c r="C14899" t="inlineStr">
        <is>
          <t>1438/10/12</t>
        </is>
      </c>
    </row>
    <row r="14900">
      <c r="A14900" t="n">
        <v>14381013</v>
      </c>
      <c r="B14900" t="n">
        <v>58443</v>
      </c>
      <c r="C14900" t="inlineStr">
        <is>
          <t>1438/10/13</t>
        </is>
      </c>
    </row>
    <row r="14901">
      <c r="A14901" t="n">
        <v>14381014</v>
      </c>
      <c r="B14901" t="n">
        <v>58444</v>
      </c>
      <c r="C14901" t="inlineStr">
        <is>
          <t>1438/10/14</t>
        </is>
      </c>
    </row>
    <row r="14902">
      <c r="A14902" t="n">
        <v>14381015</v>
      </c>
      <c r="B14902" t="n">
        <v>58445</v>
      </c>
      <c r="C14902" t="inlineStr">
        <is>
          <t>1438/10/15</t>
        </is>
      </c>
    </row>
    <row r="14903">
      <c r="A14903" t="n">
        <v>14381016</v>
      </c>
      <c r="B14903" t="n">
        <v>58446</v>
      </c>
      <c r="C14903" t="inlineStr">
        <is>
          <t>1438/10/16</t>
        </is>
      </c>
    </row>
    <row r="14904">
      <c r="A14904" t="n">
        <v>14381017</v>
      </c>
      <c r="B14904" t="n">
        <v>58447</v>
      </c>
      <c r="C14904" t="inlineStr">
        <is>
          <t>1438/10/17</t>
        </is>
      </c>
    </row>
    <row r="14905">
      <c r="A14905" t="n">
        <v>14381018</v>
      </c>
      <c r="B14905" t="n">
        <v>58448</v>
      </c>
      <c r="C14905" t="inlineStr">
        <is>
          <t>1438/10/18</t>
        </is>
      </c>
    </row>
    <row r="14906">
      <c r="A14906" t="n">
        <v>14381019</v>
      </c>
      <c r="B14906" t="n">
        <v>58449</v>
      </c>
      <c r="C14906" t="inlineStr">
        <is>
          <t>1438/10/19</t>
        </is>
      </c>
    </row>
    <row r="14907">
      <c r="A14907" t="n">
        <v>14381020</v>
      </c>
      <c r="B14907" t="n">
        <v>58450</v>
      </c>
      <c r="C14907" t="inlineStr">
        <is>
          <t>1438/10/20</t>
        </is>
      </c>
    </row>
    <row r="14908">
      <c r="A14908" t="n">
        <v>14381021</v>
      </c>
      <c r="B14908" t="n">
        <v>58451</v>
      </c>
      <c r="C14908" t="inlineStr">
        <is>
          <t>1438/10/21</t>
        </is>
      </c>
    </row>
    <row r="14909">
      <c r="A14909" t="n">
        <v>14381022</v>
      </c>
      <c r="B14909" t="n">
        <v>58452</v>
      </c>
      <c r="C14909" t="inlineStr">
        <is>
          <t>1438/10/22</t>
        </is>
      </c>
    </row>
    <row r="14910">
      <c r="A14910" t="n">
        <v>14381023</v>
      </c>
      <c r="B14910" t="n">
        <v>58453</v>
      </c>
      <c r="C14910" t="inlineStr">
        <is>
          <t>1438/10/23</t>
        </is>
      </c>
    </row>
    <row r="14911">
      <c r="A14911" t="n">
        <v>14381024</v>
      </c>
      <c r="B14911" t="n">
        <v>58454</v>
      </c>
      <c r="C14911" t="inlineStr">
        <is>
          <t>1438/10/24</t>
        </is>
      </c>
    </row>
    <row r="14912">
      <c r="A14912" t="n">
        <v>14381025</v>
      </c>
      <c r="B14912" t="n">
        <v>58455</v>
      </c>
      <c r="C14912" t="inlineStr">
        <is>
          <t>1438/10/25</t>
        </is>
      </c>
    </row>
    <row r="14913">
      <c r="A14913" t="n">
        <v>14381026</v>
      </c>
      <c r="B14913" t="n">
        <v>58456</v>
      </c>
      <c r="C14913" t="inlineStr">
        <is>
          <t>1438/10/26</t>
        </is>
      </c>
    </row>
    <row r="14914">
      <c r="A14914" t="n">
        <v>14381027</v>
      </c>
      <c r="B14914" t="n">
        <v>58457</v>
      </c>
      <c r="C14914" t="inlineStr">
        <is>
          <t>1438/10/27</t>
        </is>
      </c>
    </row>
    <row r="14915">
      <c r="A14915" t="n">
        <v>14381028</v>
      </c>
      <c r="B14915" t="n">
        <v>58458</v>
      </c>
      <c r="C14915" t="inlineStr">
        <is>
          <t>1438/10/28</t>
        </is>
      </c>
    </row>
    <row r="14916">
      <c r="A14916" t="n">
        <v>14381029</v>
      </c>
      <c r="B14916" t="n">
        <v>58459</v>
      </c>
      <c r="C14916" t="inlineStr">
        <is>
          <t>1438/10/29</t>
        </is>
      </c>
    </row>
    <row r="14917">
      <c r="A14917" t="n">
        <v>14381030</v>
      </c>
      <c r="B14917" t="n">
        <v>58460</v>
      </c>
      <c r="C14917" t="inlineStr">
        <is>
          <t>1438/10/30</t>
        </is>
      </c>
    </row>
    <row r="14918">
      <c r="A14918" t="n">
        <v>14381101</v>
      </c>
      <c r="B14918" t="n">
        <v>58461</v>
      </c>
      <c r="C14918" t="inlineStr">
        <is>
          <t>1438/11/01</t>
        </is>
      </c>
    </row>
    <row r="14919">
      <c r="A14919" t="n">
        <v>14381102</v>
      </c>
      <c r="B14919" t="n">
        <v>58462</v>
      </c>
      <c r="C14919" t="inlineStr">
        <is>
          <t>1438/11/02</t>
        </is>
      </c>
    </row>
    <row r="14920">
      <c r="A14920" t="n">
        <v>14381103</v>
      </c>
      <c r="B14920" t="n">
        <v>58463</v>
      </c>
      <c r="C14920" t="inlineStr">
        <is>
          <t>1438/11/03</t>
        </is>
      </c>
    </row>
    <row r="14921">
      <c r="A14921" t="n">
        <v>14381104</v>
      </c>
      <c r="B14921" t="n">
        <v>58464</v>
      </c>
      <c r="C14921" t="inlineStr">
        <is>
          <t>1438/11/04</t>
        </is>
      </c>
    </row>
    <row r="14922">
      <c r="A14922" t="n">
        <v>14381105</v>
      </c>
      <c r="B14922" t="n">
        <v>58465</v>
      </c>
      <c r="C14922" t="inlineStr">
        <is>
          <t>1438/11/05</t>
        </is>
      </c>
    </row>
    <row r="14923">
      <c r="A14923" t="n">
        <v>14381106</v>
      </c>
      <c r="B14923" t="n">
        <v>58466</v>
      </c>
      <c r="C14923" t="inlineStr">
        <is>
          <t>1438/11/06</t>
        </is>
      </c>
    </row>
    <row r="14924">
      <c r="A14924" t="n">
        <v>14381107</v>
      </c>
      <c r="B14924" t="n">
        <v>58467</v>
      </c>
      <c r="C14924" t="inlineStr">
        <is>
          <t>1438/11/07</t>
        </is>
      </c>
    </row>
    <row r="14925">
      <c r="A14925" t="n">
        <v>14381108</v>
      </c>
      <c r="B14925" t="n">
        <v>58468</v>
      </c>
      <c r="C14925" t="inlineStr">
        <is>
          <t>1438/11/08</t>
        </is>
      </c>
    </row>
    <row r="14926">
      <c r="A14926" t="n">
        <v>14381109</v>
      </c>
      <c r="B14926" t="n">
        <v>58469</v>
      </c>
      <c r="C14926" t="inlineStr">
        <is>
          <t>1438/11/09</t>
        </is>
      </c>
    </row>
    <row r="14927">
      <c r="A14927" t="n">
        <v>14381110</v>
      </c>
      <c r="B14927" t="n">
        <v>58470</v>
      </c>
      <c r="C14927" t="inlineStr">
        <is>
          <t>1438/11/10</t>
        </is>
      </c>
    </row>
    <row r="14928">
      <c r="A14928" t="n">
        <v>14381111</v>
      </c>
      <c r="B14928" t="n">
        <v>58471</v>
      </c>
      <c r="C14928" t="inlineStr">
        <is>
          <t>1438/11/11</t>
        </is>
      </c>
    </row>
    <row r="14929">
      <c r="A14929" t="n">
        <v>14381112</v>
      </c>
      <c r="B14929" t="n">
        <v>58472</v>
      </c>
      <c r="C14929" t="inlineStr">
        <is>
          <t>1438/11/12</t>
        </is>
      </c>
    </row>
    <row r="14930">
      <c r="A14930" t="n">
        <v>14381113</v>
      </c>
      <c r="B14930" t="n">
        <v>58473</v>
      </c>
      <c r="C14930" t="inlineStr">
        <is>
          <t>1438/11/13</t>
        </is>
      </c>
    </row>
    <row r="14931">
      <c r="A14931" t="n">
        <v>14381114</v>
      </c>
      <c r="B14931" t="n">
        <v>58474</v>
      </c>
      <c r="C14931" t="inlineStr">
        <is>
          <t>1438/11/14</t>
        </is>
      </c>
    </row>
    <row r="14932">
      <c r="A14932" t="n">
        <v>14381115</v>
      </c>
      <c r="B14932" t="n">
        <v>58475</v>
      </c>
      <c r="C14932" t="inlineStr">
        <is>
          <t>1438/11/15</t>
        </is>
      </c>
    </row>
    <row r="14933">
      <c r="A14933" t="n">
        <v>14381116</v>
      </c>
      <c r="B14933" t="n">
        <v>58476</v>
      </c>
      <c r="C14933" t="inlineStr">
        <is>
          <t>1438/11/16</t>
        </is>
      </c>
    </row>
    <row r="14934">
      <c r="A14934" t="n">
        <v>14381117</v>
      </c>
      <c r="B14934" t="n">
        <v>58477</v>
      </c>
      <c r="C14934" t="inlineStr">
        <is>
          <t>1438/11/17</t>
        </is>
      </c>
    </row>
    <row r="14935">
      <c r="A14935" t="n">
        <v>14381118</v>
      </c>
      <c r="B14935" t="n">
        <v>58478</v>
      </c>
      <c r="C14935" t="inlineStr">
        <is>
          <t>1438/11/18</t>
        </is>
      </c>
    </row>
    <row r="14936">
      <c r="A14936" t="n">
        <v>14381119</v>
      </c>
      <c r="B14936" t="n">
        <v>58479</v>
      </c>
      <c r="C14936" t="inlineStr">
        <is>
          <t>1438/11/19</t>
        </is>
      </c>
    </row>
    <row r="14937">
      <c r="A14937" t="n">
        <v>14381120</v>
      </c>
      <c r="B14937" t="n">
        <v>58480</v>
      </c>
      <c r="C14937" t="inlineStr">
        <is>
          <t>1438/11/20</t>
        </is>
      </c>
    </row>
    <row r="14938">
      <c r="A14938" t="n">
        <v>14381121</v>
      </c>
      <c r="B14938" t="n">
        <v>58481</v>
      </c>
      <c r="C14938" t="inlineStr">
        <is>
          <t>1438/11/21</t>
        </is>
      </c>
    </row>
    <row r="14939">
      <c r="A14939" t="n">
        <v>14381122</v>
      </c>
      <c r="B14939" t="n">
        <v>58482</v>
      </c>
      <c r="C14939" t="inlineStr">
        <is>
          <t>1438/11/22</t>
        </is>
      </c>
    </row>
    <row r="14940">
      <c r="A14940" t="n">
        <v>14381123</v>
      </c>
      <c r="B14940" t="n">
        <v>58483</v>
      </c>
      <c r="C14940" t="inlineStr">
        <is>
          <t>1438/11/23</t>
        </is>
      </c>
    </row>
    <row r="14941">
      <c r="A14941" t="n">
        <v>14381124</v>
      </c>
      <c r="B14941" t="n">
        <v>58484</v>
      </c>
      <c r="C14941" t="inlineStr">
        <is>
          <t>1438/11/24</t>
        </is>
      </c>
    </row>
    <row r="14942">
      <c r="A14942" t="n">
        <v>14381125</v>
      </c>
      <c r="B14942" t="n">
        <v>58485</v>
      </c>
      <c r="C14942" t="inlineStr">
        <is>
          <t>1438/11/25</t>
        </is>
      </c>
    </row>
    <row r="14943">
      <c r="A14943" t="n">
        <v>14381126</v>
      </c>
      <c r="B14943" t="n">
        <v>58486</v>
      </c>
      <c r="C14943" t="inlineStr">
        <is>
          <t>1438/11/26</t>
        </is>
      </c>
    </row>
    <row r="14944">
      <c r="A14944" t="n">
        <v>14381127</v>
      </c>
      <c r="B14944" t="n">
        <v>58487</v>
      </c>
      <c r="C14944" t="inlineStr">
        <is>
          <t>1438/11/27</t>
        </is>
      </c>
    </row>
    <row r="14945">
      <c r="A14945" t="n">
        <v>14381128</v>
      </c>
      <c r="B14945" t="n">
        <v>58488</v>
      </c>
      <c r="C14945" t="inlineStr">
        <is>
          <t>1438/11/28</t>
        </is>
      </c>
    </row>
    <row r="14946">
      <c r="A14946" t="n">
        <v>14381129</v>
      </c>
      <c r="B14946" t="n">
        <v>58489</v>
      </c>
      <c r="C14946" t="inlineStr">
        <is>
          <t>1438/11/29</t>
        </is>
      </c>
    </row>
    <row r="14947">
      <c r="A14947" t="n">
        <v>14381130</v>
      </c>
      <c r="B14947" t="n">
        <v>58490</v>
      </c>
      <c r="C14947" t="inlineStr">
        <is>
          <t>1438/11/30</t>
        </is>
      </c>
    </row>
    <row r="14948">
      <c r="A14948" t="n">
        <v>14381201</v>
      </c>
      <c r="B14948" t="n">
        <v>58491</v>
      </c>
      <c r="C14948" t="inlineStr">
        <is>
          <t>1438/12/01</t>
        </is>
      </c>
    </row>
    <row r="14949">
      <c r="A14949" t="n">
        <v>14381202</v>
      </c>
      <c r="B14949" t="n">
        <v>58492</v>
      </c>
      <c r="C14949" t="inlineStr">
        <is>
          <t>1438/12/02</t>
        </is>
      </c>
    </row>
    <row r="14950">
      <c r="A14950" t="n">
        <v>14381203</v>
      </c>
      <c r="B14950" t="n">
        <v>58493</v>
      </c>
      <c r="C14950" t="inlineStr">
        <is>
          <t>1438/12/03</t>
        </is>
      </c>
    </row>
    <row r="14951">
      <c r="A14951" t="n">
        <v>14381204</v>
      </c>
      <c r="B14951" t="n">
        <v>58494</v>
      </c>
      <c r="C14951" t="inlineStr">
        <is>
          <t>1438/12/04</t>
        </is>
      </c>
    </row>
    <row r="14952">
      <c r="A14952" t="n">
        <v>14381205</v>
      </c>
      <c r="B14952" t="n">
        <v>58495</v>
      </c>
      <c r="C14952" t="inlineStr">
        <is>
          <t>1438/12/05</t>
        </is>
      </c>
    </row>
    <row r="14953">
      <c r="A14953" t="n">
        <v>14381206</v>
      </c>
      <c r="B14953" t="n">
        <v>58496</v>
      </c>
      <c r="C14953" t="inlineStr">
        <is>
          <t>1438/12/06</t>
        </is>
      </c>
    </row>
    <row r="14954">
      <c r="A14954" t="n">
        <v>14381207</v>
      </c>
      <c r="B14954" t="n">
        <v>58497</v>
      </c>
      <c r="C14954" t="inlineStr">
        <is>
          <t>1438/12/07</t>
        </is>
      </c>
    </row>
    <row r="14955">
      <c r="A14955" t="n">
        <v>14381208</v>
      </c>
      <c r="B14955" t="n">
        <v>58498</v>
      </c>
      <c r="C14955" t="inlineStr">
        <is>
          <t>1438/12/08</t>
        </is>
      </c>
    </row>
    <row r="14956">
      <c r="A14956" t="n">
        <v>14381209</v>
      </c>
      <c r="B14956" t="n">
        <v>58499</v>
      </c>
      <c r="C14956" t="inlineStr">
        <is>
          <t>1438/12/09</t>
        </is>
      </c>
    </row>
    <row r="14957">
      <c r="A14957" t="n">
        <v>14381210</v>
      </c>
      <c r="B14957" t="n">
        <v>58500</v>
      </c>
      <c r="C14957" t="inlineStr">
        <is>
          <t>1438/12/10</t>
        </is>
      </c>
    </row>
    <row r="14958">
      <c r="A14958" t="n">
        <v>14381211</v>
      </c>
      <c r="B14958" t="n">
        <v>58501</v>
      </c>
      <c r="C14958" t="inlineStr">
        <is>
          <t>1438/12/11</t>
        </is>
      </c>
    </row>
    <row r="14959">
      <c r="A14959" t="n">
        <v>14381212</v>
      </c>
      <c r="B14959" t="n">
        <v>58502</v>
      </c>
      <c r="C14959" t="inlineStr">
        <is>
          <t>1438/12/12</t>
        </is>
      </c>
    </row>
    <row r="14960">
      <c r="A14960" t="n">
        <v>14381213</v>
      </c>
      <c r="B14960" t="n">
        <v>58503</v>
      </c>
      <c r="C14960" t="inlineStr">
        <is>
          <t>1438/12/13</t>
        </is>
      </c>
    </row>
    <row r="14961">
      <c r="A14961" t="n">
        <v>14381214</v>
      </c>
      <c r="B14961" t="n">
        <v>58504</v>
      </c>
      <c r="C14961" t="inlineStr">
        <is>
          <t>1438/12/14</t>
        </is>
      </c>
    </row>
    <row r="14962">
      <c r="A14962" t="n">
        <v>14381215</v>
      </c>
      <c r="B14962" t="n">
        <v>58505</v>
      </c>
      <c r="C14962" t="inlineStr">
        <is>
          <t>1438/12/15</t>
        </is>
      </c>
    </row>
    <row r="14963">
      <c r="A14963" t="n">
        <v>14381216</v>
      </c>
      <c r="B14963" t="n">
        <v>58506</v>
      </c>
      <c r="C14963" t="inlineStr">
        <is>
          <t>1438/12/16</t>
        </is>
      </c>
    </row>
    <row r="14964">
      <c r="A14964" t="n">
        <v>14381217</v>
      </c>
      <c r="B14964" t="n">
        <v>58507</v>
      </c>
      <c r="C14964" t="inlineStr">
        <is>
          <t>1438/12/17</t>
        </is>
      </c>
    </row>
    <row r="14965">
      <c r="A14965" t="n">
        <v>14381218</v>
      </c>
      <c r="B14965" t="n">
        <v>58508</v>
      </c>
      <c r="C14965" t="inlineStr">
        <is>
          <t>1438/12/18</t>
        </is>
      </c>
    </row>
    <row r="14966">
      <c r="A14966" t="n">
        <v>14381219</v>
      </c>
      <c r="B14966" t="n">
        <v>58509</v>
      </c>
      <c r="C14966" t="inlineStr">
        <is>
          <t>1438/12/19</t>
        </is>
      </c>
    </row>
    <row r="14967">
      <c r="A14967" t="n">
        <v>14381220</v>
      </c>
      <c r="B14967" t="n">
        <v>58510</v>
      </c>
      <c r="C14967" t="inlineStr">
        <is>
          <t>1438/12/20</t>
        </is>
      </c>
    </row>
    <row r="14968">
      <c r="A14968" t="n">
        <v>14381221</v>
      </c>
      <c r="B14968" t="n">
        <v>58511</v>
      </c>
      <c r="C14968" t="inlineStr">
        <is>
          <t>1438/12/21</t>
        </is>
      </c>
    </row>
    <row r="14969">
      <c r="A14969" t="n">
        <v>14381222</v>
      </c>
      <c r="B14969" t="n">
        <v>58512</v>
      </c>
      <c r="C14969" t="inlineStr">
        <is>
          <t>1438/12/22</t>
        </is>
      </c>
    </row>
    <row r="14970">
      <c r="A14970" t="n">
        <v>14381223</v>
      </c>
      <c r="B14970" t="n">
        <v>58513</v>
      </c>
      <c r="C14970" t="inlineStr">
        <is>
          <t>1438/12/23</t>
        </is>
      </c>
    </row>
    <row r="14971">
      <c r="A14971" t="n">
        <v>14381224</v>
      </c>
      <c r="B14971" t="n">
        <v>58514</v>
      </c>
      <c r="C14971" t="inlineStr">
        <is>
          <t>1438/12/24</t>
        </is>
      </c>
    </row>
    <row r="14972">
      <c r="A14972" t="n">
        <v>14381225</v>
      </c>
      <c r="B14972" t="n">
        <v>58515</v>
      </c>
      <c r="C14972" t="inlineStr">
        <is>
          <t>1438/12/25</t>
        </is>
      </c>
    </row>
    <row r="14973">
      <c r="A14973" t="n">
        <v>14381226</v>
      </c>
      <c r="B14973" t="n">
        <v>58516</v>
      </c>
      <c r="C14973" t="inlineStr">
        <is>
          <t>1438/12/26</t>
        </is>
      </c>
    </row>
    <row r="14974">
      <c r="A14974" t="n">
        <v>14381227</v>
      </c>
      <c r="B14974" t="n">
        <v>58517</v>
      </c>
      <c r="C14974" t="inlineStr">
        <is>
          <t>1438/12/27</t>
        </is>
      </c>
    </row>
    <row r="14975">
      <c r="A14975" t="n">
        <v>14381228</v>
      </c>
      <c r="B14975" t="n">
        <v>58518</v>
      </c>
      <c r="C14975" t="inlineStr">
        <is>
          <t>1438/12/28</t>
        </is>
      </c>
    </row>
    <row r="14976">
      <c r="A14976" t="n">
        <v>14381229</v>
      </c>
      <c r="B14976" t="n">
        <v>58519</v>
      </c>
      <c r="C14976" t="inlineStr">
        <is>
          <t>1438/12/29</t>
        </is>
      </c>
    </row>
    <row r="14977">
      <c r="A14977" t="n">
        <v>14390101</v>
      </c>
      <c r="B14977" t="n">
        <v>58520</v>
      </c>
      <c r="C14977" t="inlineStr">
        <is>
          <t>1439/01/01</t>
        </is>
      </c>
    </row>
    <row r="14978">
      <c r="A14978" t="n">
        <v>14390102</v>
      </c>
      <c r="B14978" t="n">
        <v>58521</v>
      </c>
      <c r="C14978" t="inlineStr">
        <is>
          <t>1439/01/02</t>
        </is>
      </c>
    </row>
    <row r="14979">
      <c r="A14979" t="n">
        <v>14390103</v>
      </c>
      <c r="B14979" t="n">
        <v>58522</v>
      </c>
      <c r="C14979" t="inlineStr">
        <is>
          <t>1439/01/03</t>
        </is>
      </c>
    </row>
    <row r="14980">
      <c r="A14980" t="n">
        <v>14390104</v>
      </c>
      <c r="B14980" t="n">
        <v>58523</v>
      </c>
      <c r="C14980" t="inlineStr">
        <is>
          <t>1439/01/04</t>
        </is>
      </c>
    </row>
    <row r="14981">
      <c r="A14981" t="n">
        <v>14390105</v>
      </c>
      <c r="B14981" t="n">
        <v>58524</v>
      </c>
      <c r="C14981" t="inlineStr">
        <is>
          <t>1439/01/05</t>
        </is>
      </c>
    </row>
    <row r="14982">
      <c r="A14982" t="n">
        <v>14390106</v>
      </c>
      <c r="B14982" t="n">
        <v>58525</v>
      </c>
      <c r="C14982" t="inlineStr">
        <is>
          <t>1439/01/06</t>
        </is>
      </c>
    </row>
    <row r="14983">
      <c r="A14983" t="n">
        <v>14390107</v>
      </c>
      <c r="B14983" t="n">
        <v>58526</v>
      </c>
      <c r="C14983" t="inlineStr">
        <is>
          <t>1439/01/07</t>
        </is>
      </c>
    </row>
    <row r="14984">
      <c r="A14984" t="n">
        <v>14390108</v>
      </c>
      <c r="B14984" t="n">
        <v>58527</v>
      </c>
      <c r="C14984" t="inlineStr">
        <is>
          <t>1439/01/08</t>
        </is>
      </c>
    </row>
    <row r="14985">
      <c r="A14985" t="n">
        <v>14390109</v>
      </c>
      <c r="B14985" t="n">
        <v>58528</v>
      </c>
      <c r="C14985" t="inlineStr">
        <is>
          <t>1439/01/09</t>
        </is>
      </c>
    </row>
    <row r="14986">
      <c r="A14986" t="n">
        <v>14390110</v>
      </c>
      <c r="B14986" t="n">
        <v>58529</v>
      </c>
      <c r="C14986" t="inlineStr">
        <is>
          <t>1439/01/10</t>
        </is>
      </c>
    </row>
    <row r="14987">
      <c r="A14987" t="n">
        <v>14390111</v>
      </c>
      <c r="B14987" t="n">
        <v>58530</v>
      </c>
      <c r="C14987" t="inlineStr">
        <is>
          <t>1439/01/11</t>
        </is>
      </c>
    </row>
    <row r="14988">
      <c r="A14988" t="n">
        <v>14390112</v>
      </c>
      <c r="B14988" t="n">
        <v>58531</v>
      </c>
      <c r="C14988" t="inlineStr">
        <is>
          <t>1439/01/12</t>
        </is>
      </c>
    </row>
    <row r="14989">
      <c r="A14989" t="n">
        <v>14390113</v>
      </c>
      <c r="B14989" t="n">
        <v>58532</v>
      </c>
      <c r="C14989" t="inlineStr">
        <is>
          <t>1439/01/13</t>
        </is>
      </c>
    </row>
    <row r="14990">
      <c r="A14990" t="n">
        <v>14390114</v>
      </c>
      <c r="B14990" t="n">
        <v>58533</v>
      </c>
      <c r="C14990" t="inlineStr">
        <is>
          <t>1439/01/14</t>
        </is>
      </c>
    </row>
    <row r="14991">
      <c r="A14991" t="n">
        <v>14390115</v>
      </c>
      <c r="B14991" t="n">
        <v>58534</v>
      </c>
      <c r="C14991" t="inlineStr">
        <is>
          <t>1439/01/15</t>
        </is>
      </c>
    </row>
    <row r="14992">
      <c r="A14992" t="n">
        <v>14390116</v>
      </c>
      <c r="B14992" t="n">
        <v>58535</v>
      </c>
      <c r="C14992" t="inlineStr">
        <is>
          <t>1439/01/16</t>
        </is>
      </c>
    </row>
    <row r="14993">
      <c r="A14993" t="n">
        <v>14390117</v>
      </c>
      <c r="B14993" t="n">
        <v>58536</v>
      </c>
      <c r="C14993" t="inlineStr">
        <is>
          <t>1439/01/17</t>
        </is>
      </c>
    </row>
    <row r="14994">
      <c r="A14994" t="n">
        <v>14390118</v>
      </c>
      <c r="B14994" t="n">
        <v>58537</v>
      </c>
      <c r="C14994" t="inlineStr">
        <is>
          <t>1439/01/18</t>
        </is>
      </c>
    </row>
    <row r="14995">
      <c r="A14995" t="n">
        <v>14390119</v>
      </c>
      <c r="B14995" t="n">
        <v>58538</v>
      </c>
      <c r="C14995" t="inlineStr">
        <is>
          <t>1439/01/19</t>
        </is>
      </c>
    </row>
    <row r="14996">
      <c r="A14996" t="n">
        <v>14390120</v>
      </c>
      <c r="B14996" t="n">
        <v>58539</v>
      </c>
      <c r="C14996" t="inlineStr">
        <is>
          <t>1439/01/20</t>
        </is>
      </c>
    </row>
    <row r="14997">
      <c r="A14997" t="n">
        <v>14390121</v>
      </c>
      <c r="B14997" t="n">
        <v>58540</v>
      </c>
      <c r="C14997" t="inlineStr">
        <is>
          <t>1439/01/21</t>
        </is>
      </c>
    </row>
    <row r="14998">
      <c r="A14998" t="n">
        <v>14390122</v>
      </c>
      <c r="B14998" t="n">
        <v>58541</v>
      </c>
      <c r="C14998" t="inlineStr">
        <is>
          <t>1439/01/22</t>
        </is>
      </c>
    </row>
    <row r="14999">
      <c r="A14999" t="n">
        <v>14390123</v>
      </c>
      <c r="B14999" t="n">
        <v>58542</v>
      </c>
      <c r="C14999" t="inlineStr">
        <is>
          <t>1439/01/23</t>
        </is>
      </c>
    </row>
    <row r="15000">
      <c r="A15000" t="n">
        <v>14390124</v>
      </c>
      <c r="B15000" t="n">
        <v>58543</v>
      </c>
      <c r="C15000" t="inlineStr">
        <is>
          <t>1439/01/24</t>
        </is>
      </c>
    </row>
    <row r="15001">
      <c r="A15001" t="n">
        <v>14390125</v>
      </c>
      <c r="B15001" t="n">
        <v>58544</v>
      </c>
      <c r="C15001" t="inlineStr">
        <is>
          <t>1439/01/25</t>
        </is>
      </c>
    </row>
    <row r="15002">
      <c r="A15002" t="n">
        <v>14390126</v>
      </c>
      <c r="B15002" t="n">
        <v>58545</v>
      </c>
      <c r="C15002" t="inlineStr">
        <is>
          <t>1439/01/26</t>
        </is>
      </c>
    </row>
    <row r="15003">
      <c r="A15003" t="n">
        <v>14390127</v>
      </c>
      <c r="B15003" t="n">
        <v>58546</v>
      </c>
      <c r="C15003" t="inlineStr">
        <is>
          <t>1439/01/27</t>
        </is>
      </c>
    </row>
    <row r="15004">
      <c r="A15004" t="n">
        <v>14390128</v>
      </c>
      <c r="B15004" t="n">
        <v>58547</v>
      </c>
      <c r="C15004" t="inlineStr">
        <is>
          <t>1439/01/28</t>
        </is>
      </c>
    </row>
    <row r="15005">
      <c r="A15005" t="n">
        <v>14390129</v>
      </c>
      <c r="B15005" t="n">
        <v>58548</v>
      </c>
      <c r="C15005" t="inlineStr">
        <is>
          <t>1439/01/29</t>
        </is>
      </c>
    </row>
    <row r="15006">
      <c r="A15006" t="n">
        <v>14390130</v>
      </c>
      <c r="B15006" t="n">
        <v>58549</v>
      </c>
      <c r="C15006" t="inlineStr">
        <is>
          <t>1439/01/30</t>
        </is>
      </c>
    </row>
    <row r="15007">
      <c r="A15007" t="n">
        <v>14390131</v>
      </c>
      <c r="B15007" t="n">
        <v>58550</v>
      </c>
      <c r="C15007" t="inlineStr">
        <is>
          <t>1439/01/31</t>
        </is>
      </c>
    </row>
    <row r="15008">
      <c r="A15008" t="n">
        <v>14390201</v>
      </c>
      <c r="B15008" t="n">
        <v>58551</v>
      </c>
      <c r="C15008" t="inlineStr">
        <is>
          <t>1439/02/01</t>
        </is>
      </c>
    </row>
    <row r="15009">
      <c r="A15009" t="n">
        <v>14390202</v>
      </c>
      <c r="B15009" t="n">
        <v>58552</v>
      </c>
      <c r="C15009" t="inlineStr">
        <is>
          <t>1439/02/02</t>
        </is>
      </c>
    </row>
    <row r="15010">
      <c r="A15010" t="n">
        <v>14390203</v>
      </c>
      <c r="B15010" t="n">
        <v>58553</v>
      </c>
      <c r="C15010" t="inlineStr">
        <is>
          <t>1439/02/03</t>
        </is>
      </c>
    </row>
    <row r="15011">
      <c r="A15011" t="n">
        <v>14390204</v>
      </c>
      <c r="B15011" t="n">
        <v>58554</v>
      </c>
      <c r="C15011" t="inlineStr">
        <is>
          <t>1439/02/04</t>
        </is>
      </c>
    </row>
    <row r="15012">
      <c r="A15012" t="n">
        <v>14390205</v>
      </c>
      <c r="B15012" t="n">
        <v>58555</v>
      </c>
      <c r="C15012" t="inlineStr">
        <is>
          <t>1439/02/05</t>
        </is>
      </c>
    </row>
    <row r="15013">
      <c r="A15013" t="n">
        <v>14390206</v>
      </c>
      <c r="B15013" t="n">
        <v>58556</v>
      </c>
      <c r="C15013" t="inlineStr">
        <is>
          <t>1439/02/06</t>
        </is>
      </c>
    </row>
    <row r="15014">
      <c r="A15014" t="n">
        <v>14390207</v>
      </c>
      <c r="B15014" t="n">
        <v>58557</v>
      </c>
      <c r="C15014" t="inlineStr">
        <is>
          <t>1439/02/07</t>
        </is>
      </c>
    </row>
    <row r="15015">
      <c r="A15015" t="n">
        <v>14390208</v>
      </c>
      <c r="B15015" t="n">
        <v>58558</v>
      </c>
      <c r="C15015" t="inlineStr">
        <is>
          <t>1439/02/08</t>
        </is>
      </c>
    </row>
    <row r="15016">
      <c r="A15016" t="n">
        <v>14390209</v>
      </c>
      <c r="B15016" t="n">
        <v>58559</v>
      </c>
      <c r="C15016" t="inlineStr">
        <is>
          <t>1439/02/09</t>
        </is>
      </c>
    </row>
    <row r="15017">
      <c r="A15017" t="n">
        <v>14390210</v>
      </c>
      <c r="B15017" t="n">
        <v>58560</v>
      </c>
      <c r="C15017" t="inlineStr">
        <is>
          <t>1439/02/10</t>
        </is>
      </c>
    </row>
    <row r="15018">
      <c r="A15018" t="n">
        <v>14390211</v>
      </c>
      <c r="B15018" t="n">
        <v>58561</v>
      </c>
      <c r="C15018" t="inlineStr">
        <is>
          <t>1439/02/11</t>
        </is>
      </c>
    </row>
    <row r="15019">
      <c r="A15019" t="n">
        <v>14390212</v>
      </c>
      <c r="B15019" t="n">
        <v>58562</v>
      </c>
      <c r="C15019" t="inlineStr">
        <is>
          <t>1439/02/12</t>
        </is>
      </c>
    </row>
    <row r="15020">
      <c r="A15020" t="n">
        <v>14390213</v>
      </c>
      <c r="B15020" t="n">
        <v>58563</v>
      </c>
      <c r="C15020" t="inlineStr">
        <is>
          <t>1439/02/13</t>
        </is>
      </c>
    </row>
    <row r="15021">
      <c r="A15021" t="n">
        <v>14390214</v>
      </c>
      <c r="B15021" t="n">
        <v>58564</v>
      </c>
      <c r="C15021" t="inlineStr">
        <is>
          <t>1439/02/14</t>
        </is>
      </c>
    </row>
    <row r="15022">
      <c r="A15022" t="n">
        <v>14390215</v>
      </c>
      <c r="B15022" t="n">
        <v>58565</v>
      </c>
      <c r="C15022" t="inlineStr">
        <is>
          <t>1439/02/15</t>
        </is>
      </c>
    </row>
    <row r="15023">
      <c r="A15023" t="n">
        <v>14390216</v>
      </c>
      <c r="B15023" t="n">
        <v>58566</v>
      </c>
      <c r="C15023" t="inlineStr">
        <is>
          <t>1439/02/16</t>
        </is>
      </c>
    </row>
    <row r="15024">
      <c r="A15024" t="n">
        <v>14390217</v>
      </c>
      <c r="B15024" t="n">
        <v>58567</v>
      </c>
      <c r="C15024" t="inlineStr">
        <is>
          <t>1439/02/17</t>
        </is>
      </c>
    </row>
    <row r="15025">
      <c r="A15025" t="n">
        <v>14390218</v>
      </c>
      <c r="B15025" t="n">
        <v>58568</v>
      </c>
      <c r="C15025" t="inlineStr">
        <is>
          <t>1439/02/18</t>
        </is>
      </c>
    </row>
    <row r="15026">
      <c r="A15026" t="n">
        <v>14390219</v>
      </c>
      <c r="B15026" t="n">
        <v>58569</v>
      </c>
      <c r="C15026" t="inlineStr">
        <is>
          <t>1439/02/19</t>
        </is>
      </c>
    </row>
    <row r="15027">
      <c r="A15027" t="n">
        <v>14390220</v>
      </c>
      <c r="B15027" t="n">
        <v>58570</v>
      </c>
      <c r="C15027" t="inlineStr">
        <is>
          <t>1439/02/20</t>
        </is>
      </c>
    </row>
    <row r="15028">
      <c r="A15028" t="n">
        <v>14390221</v>
      </c>
      <c r="B15028" t="n">
        <v>58571</v>
      </c>
      <c r="C15028" t="inlineStr">
        <is>
          <t>1439/02/21</t>
        </is>
      </c>
    </row>
    <row r="15029">
      <c r="A15029" t="n">
        <v>14390222</v>
      </c>
      <c r="B15029" t="n">
        <v>58572</v>
      </c>
      <c r="C15029" t="inlineStr">
        <is>
          <t>1439/02/22</t>
        </is>
      </c>
    </row>
    <row r="15030">
      <c r="A15030" t="n">
        <v>14390223</v>
      </c>
      <c r="B15030" t="n">
        <v>58573</v>
      </c>
      <c r="C15030" t="inlineStr">
        <is>
          <t>1439/02/23</t>
        </is>
      </c>
    </row>
    <row r="15031">
      <c r="A15031" t="n">
        <v>14390224</v>
      </c>
      <c r="B15031" t="n">
        <v>58574</v>
      </c>
      <c r="C15031" t="inlineStr">
        <is>
          <t>1439/02/24</t>
        </is>
      </c>
    </row>
    <row r="15032">
      <c r="A15032" t="n">
        <v>14390225</v>
      </c>
      <c r="B15032" t="n">
        <v>58575</v>
      </c>
      <c r="C15032" t="inlineStr">
        <is>
          <t>1439/02/25</t>
        </is>
      </c>
    </row>
    <row r="15033">
      <c r="A15033" t="n">
        <v>14390226</v>
      </c>
      <c r="B15033" t="n">
        <v>58576</v>
      </c>
      <c r="C15033" t="inlineStr">
        <is>
          <t>1439/02/26</t>
        </is>
      </c>
    </row>
    <row r="15034">
      <c r="A15034" t="n">
        <v>14390227</v>
      </c>
      <c r="B15034" t="n">
        <v>58577</v>
      </c>
      <c r="C15034" t="inlineStr">
        <is>
          <t>1439/02/27</t>
        </is>
      </c>
    </row>
    <row r="15035">
      <c r="A15035" t="n">
        <v>14390228</v>
      </c>
      <c r="B15035" t="n">
        <v>58578</v>
      </c>
      <c r="C15035" t="inlineStr">
        <is>
          <t>1439/02/28</t>
        </is>
      </c>
    </row>
    <row r="15036">
      <c r="A15036" t="n">
        <v>14390229</v>
      </c>
      <c r="B15036" t="n">
        <v>58579</v>
      </c>
      <c r="C15036" t="inlineStr">
        <is>
          <t>1439/02/29</t>
        </is>
      </c>
    </row>
    <row r="15037">
      <c r="A15037" t="n">
        <v>14390230</v>
      </c>
      <c r="B15037" t="n">
        <v>58580</v>
      </c>
      <c r="C15037" t="inlineStr">
        <is>
          <t>1439/02/30</t>
        </is>
      </c>
    </row>
    <row r="15038">
      <c r="A15038" t="n">
        <v>14390231</v>
      </c>
      <c r="B15038" t="n">
        <v>58581</v>
      </c>
      <c r="C15038" t="inlineStr">
        <is>
          <t>1439/02/31</t>
        </is>
      </c>
    </row>
    <row r="15039">
      <c r="A15039" t="n">
        <v>14390301</v>
      </c>
      <c r="B15039" t="n">
        <v>58582</v>
      </c>
      <c r="C15039" t="inlineStr">
        <is>
          <t>1439/03/01</t>
        </is>
      </c>
    </row>
    <row r="15040">
      <c r="A15040" t="n">
        <v>14390302</v>
      </c>
      <c r="B15040" t="n">
        <v>58583</v>
      </c>
      <c r="C15040" t="inlineStr">
        <is>
          <t>1439/03/02</t>
        </is>
      </c>
    </row>
    <row r="15041">
      <c r="A15041" t="n">
        <v>14390303</v>
      </c>
      <c r="B15041" t="n">
        <v>58584</v>
      </c>
      <c r="C15041" t="inlineStr">
        <is>
          <t>1439/03/03</t>
        </is>
      </c>
    </row>
    <row r="15042">
      <c r="A15042" t="n">
        <v>14390304</v>
      </c>
      <c r="B15042" t="n">
        <v>58585</v>
      </c>
      <c r="C15042" t="inlineStr">
        <is>
          <t>1439/03/04</t>
        </is>
      </c>
    </row>
    <row r="15043">
      <c r="A15043" t="n">
        <v>14390305</v>
      </c>
      <c r="B15043" t="n">
        <v>58586</v>
      </c>
      <c r="C15043" t="inlineStr">
        <is>
          <t>1439/03/05</t>
        </is>
      </c>
    </row>
    <row r="15044">
      <c r="A15044" t="n">
        <v>14390306</v>
      </c>
      <c r="B15044" t="n">
        <v>58587</v>
      </c>
      <c r="C15044" t="inlineStr">
        <is>
          <t>1439/03/06</t>
        </is>
      </c>
    </row>
    <row r="15045">
      <c r="A15045" t="n">
        <v>14390307</v>
      </c>
      <c r="B15045" t="n">
        <v>58588</v>
      </c>
      <c r="C15045" t="inlineStr">
        <is>
          <t>1439/03/07</t>
        </is>
      </c>
    </row>
    <row r="15046">
      <c r="A15046" t="n">
        <v>14390308</v>
      </c>
      <c r="B15046" t="n">
        <v>58589</v>
      </c>
      <c r="C15046" t="inlineStr">
        <is>
          <t>1439/03/08</t>
        </is>
      </c>
    </row>
    <row r="15047">
      <c r="A15047" t="n">
        <v>14390309</v>
      </c>
      <c r="B15047" t="n">
        <v>58590</v>
      </c>
      <c r="C15047" t="inlineStr">
        <is>
          <t>1439/03/09</t>
        </is>
      </c>
    </row>
    <row r="15048">
      <c r="A15048" t="n">
        <v>14390310</v>
      </c>
      <c r="B15048" t="n">
        <v>58591</v>
      </c>
      <c r="C15048" t="inlineStr">
        <is>
          <t>1439/03/10</t>
        </is>
      </c>
    </row>
    <row r="15049">
      <c r="A15049" t="n">
        <v>14390311</v>
      </c>
      <c r="B15049" t="n">
        <v>58592</v>
      </c>
      <c r="C15049" t="inlineStr">
        <is>
          <t>1439/03/11</t>
        </is>
      </c>
    </row>
    <row r="15050">
      <c r="A15050" t="n">
        <v>14390312</v>
      </c>
      <c r="B15050" t="n">
        <v>58593</v>
      </c>
      <c r="C15050" t="inlineStr">
        <is>
          <t>1439/03/12</t>
        </is>
      </c>
    </row>
    <row r="15051">
      <c r="A15051" t="n">
        <v>14390313</v>
      </c>
      <c r="B15051" t="n">
        <v>58594</v>
      </c>
      <c r="C15051" t="inlineStr">
        <is>
          <t>1439/03/13</t>
        </is>
      </c>
    </row>
    <row r="15052">
      <c r="A15052" t="n">
        <v>14390314</v>
      </c>
      <c r="B15052" t="n">
        <v>58595</v>
      </c>
      <c r="C15052" t="inlineStr">
        <is>
          <t>1439/03/14</t>
        </is>
      </c>
    </row>
    <row r="15053">
      <c r="A15053" t="n">
        <v>14390315</v>
      </c>
      <c r="B15053" t="n">
        <v>58596</v>
      </c>
      <c r="C15053" t="inlineStr">
        <is>
          <t>1439/03/15</t>
        </is>
      </c>
    </row>
    <row r="15054">
      <c r="A15054" t="n">
        <v>14390316</v>
      </c>
      <c r="B15054" t="n">
        <v>58597</v>
      </c>
      <c r="C15054" t="inlineStr">
        <is>
          <t>1439/03/16</t>
        </is>
      </c>
    </row>
    <row r="15055">
      <c r="A15055" t="n">
        <v>14390317</v>
      </c>
      <c r="B15055" t="n">
        <v>58598</v>
      </c>
      <c r="C15055" t="inlineStr">
        <is>
          <t>1439/03/17</t>
        </is>
      </c>
    </row>
    <row r="15056">
      <c r="A15056" t="n">
        <v>14390318</v>
      </c>
      <c r="B15056" t="n">
        <v>58599</v>
      </c>
      <c r="C15056" t="inlineStr">
        <is>
          <t>1439/03/18</t>
        </is>
      </c>
    </row>
    <row r="15057">
      <c r="A15057" t="n">
        <v>14390319</v>
      </c>
      <c r="B15057" t="n">
        <v>58600</v>
      </c>
      <c r="C15057" t="inlineStr">
        <is>
          <t>1439/03/19</t>
        </is>
      </c>
    </row>
    <row r="15058">
      <c r="A15058" t="n">
        <v>14390320</v>
      </c>
      <c r="B15058" t="n">
        <v>58601</v>
      </c>
      <c r="C15058" t="inlineStr">
        <is>
          <t>1439/03/20</t>
        </is>
      </c>
    </row>
    <row r="15059">
      <c r="A15059" t="n">
        <v>14390321</v>
      </c>
      <c r="B15059" t="n">
        <v>58602</v>
      </c>
      <c r="C15059" t="inlineStr">
        <is>
          <t>1439/03/21</t>
        </is>
      </c>
    </row>
    <row r="15060">
      <c r="A15060" t="n">
        <v>14390322</v>
      </c>
      <c r="B15060" t="n">
        <v>58603</v>
      </c>
      <c r="C15060" t="inlineStr">
        <is>
          <t>1439/03/22</t>
        </is>
      </c>
    </row>
    <row r="15061">
      <c r="A15061" t="n">
        <v>14390323</v>
      </c>
      <c r="B15061" t="n">
        <v>58604</v>
      </c>
      <c r="C15061" t="inlineStr">
        <is>
          <t>1439/03/23</t>
        </is>
      </c>
    </row>
    <row r="15062">
      <c r="A15062" t="n">
        <v>14390324</v>
      </c>
      <c r="B15062" t="n">
        <v>58605</v>
      </c>
      <c r="C15062" t="inlineStr">
        <is>
          <t>1439/03/24</t>
        </is>
      </c>
    </row>
    <row r="15063">
      <c r="A15063" t="n">
        <v>14390325</v>
      </c>
      <c r="B15063" t="n">
        <v>58606</v>
      </c>
      <c r="C15063" t="inlineStr">
        <is>
          <t>1439/03/25</t>
        </is>
      </c>
    </row>
    <row r="15064">
      <c r="A15064" t="n">
        <v>14390326</v>
      </c>
      <c r="B15064" t="n">
        <v>58607</v>
      </c>
      <c r="C15064" t="inlineStr">
        <is>
          <t>1439/03/26</t>
        </is>
      </c>
    </row>
    <row r="15065">
      <c r="A15065" t="n">
        <v>14390327</v>
      </c>
      <c r="B15065" t="n">
        <v>58608</v>
      </c>
      <c r="C15065" t="inlineStr">
        <is>
          <t>1439/03/27</t>
        </is>
      </c>
    </row>
    <row r="15066">
      <c r="A15066" t="n">
        <v>14390328</v>
      </c>
      <c r="B15066" t="n">
        <v>58609</v>
      </c>
      <c r="C15066" t="inlineStr">
        <is>
          <t>1439/03/28</t>
        </is>
      </c>
    </row>
    <row r="15067">
      <c r="A15067" t="n">
        <v>14390329</v>
      </c>
      <c r="B15067" t="n">
        <v>58610</v>
      </c>
      <c r="C15067" t="inlineStr">
        <is>
          <t>1439/03/29</t>
        </is>
      </c>
    </row>
    <row r="15068">
      <c r="A15068" t="n">
        <v>14390330</v>
      </c>
      <c r="B15068" t="n">
        <v>58611</v>
      </c>
      <c r="C15068" t="inlineStr">
        <is>
          <t>1439/03/30</t>
        </is>
      </c>
    </row>
    <row r="15069">
      <c r="A15069" t="n">
        <v>14390331</v>
      </c>
      <c r="B15069" t="n">
        <v>58612</v>
      </c>
      <c r="C15069" t="inlineStr">
        <is>
          <t>1439/03/31</t>
        </is>
      </c>
    </row>
    <row r="15070">
      <c r="A15070" t="n">
        <v>14390401</v>
      </c>
      <c r="B15070" t="n">
        <v>58613</v>
      </c>
      <c r="C15070" t="inlineStr">
        <is>
          <t>1439/04/01</t>
        </is>
      </c>
    </row>
    <row r="15071">
      <c r="A15071" t="n">
        <v>14390402</v>
      </c>
      <c r="B15071" t="n">
        <v>58614</v>
      </c>
      <c r="C15071" t="inlineStr">
        <is>
          <t>1439/04/02</t>
        </is>
      </c>
    </row>
    <row r="15072">
      <c r="A15072" t="n">
        <v>14390403</v>
      </c>
      <c r="B15072" t="n">
        <v>58615</v>
      </c>
      <c r="C15072" t="inlineStr">
        <is>
          <t>1439/04/03</t>
        </is>
      </c>
    </row>
    <row r="15073">
      <c r="A15073" t="n">
        <v>14390404</v>
      </c>
      <c r="B15073" t="n">
        <v>58616</v>
      </c>
      <c r="C15073" t="inlineStr">
        <is>
          <t>1439/04/04</t>
        </is>
      </c>
    </row>
    <row r="15074">
      <c r="A15074" t="n">
        <v>14390405</v>
      </c>
      <c r="B15074" t="n">
        <v>58617</v>
      </c>
      <c r="C15074" t="inlineStr">
        <is>
          <t>1439/04/05</t>
        </is>
      </c>
    </row>
    <row r="15075">
      <c r="A15075" t="n">
        <v>14390406</v>
      </c>
      <c r="B15075" t="n">
        <v>58618</v>
      </c>
      <c r="C15075" t="inlineStr">
        <is>
          <t>1439/04/06</t>
        </is>
      </c>
    </row>
    <row r="15076">
      <c r="A15076" t="n">
        <v>14390407</v>
      </c>
      <c r="B15076" t="n">
        <v>58619</v>
      </c>
      <c r="C15076" t="inlineStr">
        <is>
          <t>1439/04/07</t>
        </is>
      </c>
    </row>
    <row r="15077">
      <c r="A15077" t="n">
        <v>14390408</v>
      </c>
      <c r="B15077" t="n">
        <v>58620</v>
      </c>
      <c r="C15077" t="inlineStr">
        <is>
          <t>1439/04/08</t>
        </is>
      </c>
    </row>
    <row r="15078">
      <c r="A15078" t="n">
        <v>14390409</v>
      </c>
      <c r="B15078" t="n">
        <v>58621</v>
      </c>
      <c r="C15078" t="inlineStr">
        <is>
          <t>1439/04/09</t>
        </is>
      </c>
    </row>
    <row r="15079">
      <c r="A15079" t="n">
        <v>14390410</v>
      </c>
      <c r="B15079" t="n">
        <v>58622</v>
      </c>
      <c r="C15079" t="inlineStr">
        <is>
          <t>1439/04/10</t>
        </is>
      </c>
    </row>
    <row r="15080">
      <c r="A15080" t="n">
        <v>14390411</v>
      </c>
      <c r="B15080" t="n">
        <v>58623</v>
      </c>
      <c r="C15080" t="inlineStr">
        <is>
          <t>1439/04/11</t>
        </is>
      </c>
    </row>
    <row r="15081">
      <c r="A15081" t="n">
        <v>14390412</v>
      </c>
      <c r="B15081" t="n">
        <v>58624</v>
      </c>
      <c r="C15081" t="inlineStr">
        <is>
          <t>1439/04/12</t>
        </is>
      </c>
    </row>
    <row r="15082">
      <c r="A15082" t="n">
        <v>14390413</v>
      </c>
      <c r="B15082" t="n">
        <v>58625</v>
      </c>
      <c r="C15082" t="inlineStr">
        <is>
          <t>1439/04/13</t>
        </is>
      </c>
    </row>
    <row r="15083">
      <c r="A15083" t="n">
        <v>14390414</v>
      </c>
      <c r="B15083" t="n">
        <v>58626</v>
      </c>
      <c r="C15083" t="inlineStr">
        <is>
          <t>1439/04/14</t>
        </is>
      </c>
    </row>
    <row r="15084">
      <c r="A15084" t="n">
        <v>14390415</v>
      </c>
      <c r="B15084" t="n">
        <v>58627</v>
      </c>
      <c r="C15084" t="inlineStr">
        <is>
          <t>1439/04/15</t>
        </is>
      </c>
    </row>
    <row r="15085">
      <c r="A15085" t="n">
        <v>14390416</v>
      </c>
      <c r="B15085" t="n">
        <v>58628</v>
      </c>
      <c r="C15085" t="inlineStr">
        <is>
          <t>1439/04/16</t>
        </is>
      </c>
    </row>
    <row r="15086">
      <c r="A15086" t="n">
        <v>14390417</v>
      </c>
      <c r="B15086" t="n">
        <v>58629</v>
      </c>
      <c r="C15086" t="inlineStr">
        <is>
          <t>1439/04/17</t>
        </is>
      </c>
    </row>
    <row r="15087">
      <c r="A15087" t="n">
        <v>14390418</v>
      </c>
      <c r="B15087" t="n">
        <v>58630</v>
      </c>
      <c r="C15087" t="inlineStr">
        <is>
          <t>1439/04/18</t>
        </is>
      </c>
    </row>
    <row r="15088">
      <c r="A15088" t="n">
        <v>14390419</v>
      </c>
      <c r="B15088" t="n">
        <v>58631</v>
      </c>
      <c r="C15088" t="inlineStr">
        <is>
          <t>1439/04/19</t>
        </is>
      </c>
    </row>
    <row r="15089">
      <c r="A15089" t="n">
        <v>14390420</v>
      </c>
      <c r="B15089" t="n">
        <v>58632</v>
      </c>
      <c r="C15089" t="inlineStr">
        <is>
          <t>1439/04/20</t>
        </is>
      </c>
    </row>
    <row r="15090">
      <c r="A15090" t="n">
        <v>14390421</v>
      </c>
      <c r="B15090" t="n">
        <v>58633</v>
      </c>
      <c r="C15090" t="inlineStr">
        <is>
          <t>1439/04/21</t>
        </is>
      </c>
    </row>
    <row r="15091">
      <c r="A15091" t="n">
        <v>14390422</v>
      </c>
      <c r="B15091" t="n">
        <v>58634</v>
      </c>
      <c r="C15091" t="inlineStr">
        <is>
          <t>1439/04/22</t>
        </is>
      </c>
    </row>
    <row r="15092">
      <c r="A15092" t="n">
        <v>14390423</v>
      </c>
      <c r="B15092" t="n">
        <v>58635</v>
      </c>
      <c r="C15092" t="inlineStr">
        <is>
          <t>1439/04/23</t>
        </is>
      </c>
    </row>
    <row r="15093">
      <c r="A15093" t="n">
        <v>14390424</v>
      </c>
      <c r="B15093" t="n">
        <v>58636</v>
      </c>
      <c r="C15093" t="inlineStr">
        <is>
          <t>1439/04/24</t>
        </is>
      </c>
    </row>
    <row r="15094">
      <c r="A15094" t="n">
        <v>14390425</v>
      </c>
      <c r="B15094" t="n">
        <v>58637</v>
      </c>
      <c r="C15094" t="inlineStr">
        <is>
          <t>1439/04/25</t>
        </is>
      </c>
    </row>
    <row r="15095">
      <c r="A15095" t="n">
        <v>14390426</v>
      </c>
      <c r="B15095" t="n">
        <v>58638</v>
      </c>
      <c r="C15095" t="inlineStr">
        <is>
          <t>1439/04/26</t>
        </is>
      </c>
    </row>
    <row r="15096">
      <c r="A15096" t="n">
        <v>14390427</v>
      </c>
      <c r="B15096" t="n">
        <v>58639</v>
      </c>
      <c r="C15096" t="inlineStr">
        <is>
          <t>1439/04/27</t>
        </is>
      </c>
    </row>
    <row r="15097">
      <c r="A15097" t="n">
        <v>14390428</v>
      </c>
      <c r="B15097" t="n">
        <v>58640</v>
      </c>
      <c r="C15097" t="inlineStr">
        <is>
          <t>1439/04/28</t>
        </is>
      </c>
    </row>
    <row r="15098">
      <c r="A15098" t="n">
        <v>14390429</v>
      </c>
      <c r="B15098" t="n">
        <v>58641</v>
      </c>
      <c r="C15098" t="inlineStr">
        <is>
          <t>1439/04/29</t>
        </is>
      </c>
    </row>
    <row r="15099">
      <c r="A15099" t="n">
        <v>14390430</v>
      </c>
      <c r="B15099" t="n">
        <v>58642</v>
      </c>
      <c r="C15099" t="inlineStr">
        <is>
          <t>1439/04/30</t>
        </is>
      </c>
    </row>
    <row r="15100">
      <c r="A15100" t="n">
        <v>14390431</v>
      </c>
      <c r="B15100" t="n">
        <v>58643</v>
      </c>
      <c r="C15100" t="inlineStr">
        <is>
          <t>1439/04/31</t>
        </is>
      </c>
    </row>
    <row r="15101">
      <c r="A15101" t="n">
        <v>14390501</v>
      </c>
      <c r="B15101" t="n">
        <v>58644</v>
      </c>
      <c r="C15101" t="inlineStr">
        <is>
          <t>1439/05/01</t>
        </is>
      </c>
    </row>
    <row r="15102">
      <c r="A15102" t="n">
        <v>14390502</v>
      </c>
      <c r="B15102" t="n">
        <v>58645</v>
      </c>
      <c r="C15102" t="inlineStr">
        <is>
          <t>1439/05/02</t>
        </is>
      </c>
    </row>
    <row r="15103">
      <c r="A15103" t="n">
        <v>14390503</v>
      </c>
      <c r="B15103" t="n">
        <v>58646</v>
      </c>
      <c r="C15103" t="inlineStr">
        <is>
          <t>1439/05/03</t>
        </is>
      </c>
    </row>
    <row r="15104">
      <c r="A15104" t="n">
        <v>14390504</v>
      </c>
      <c r="B15104" t="n">
        <v>58647</v>
      </c>
      <c r="C15104" t="inlineStr">
        <is>
          <t>1439/05/04</t>
        </is>
      </c>
    </row>
    <row r="15105">
      <c r="A15105" t="n">
        <v>14390505</v>
      </c>
      <c r="B15105" t="n">
        <v>58648</v>
      </c>
      <c r="C15105" t="inlineStr">
        <is>
          <t>1439/05/05</t>
        </is>
      </c>
    </row>
    <row r="15106">
      <c r="A15106" t="n">
        <v>14390506</v>
      </c>
      <c r="B15106" t="n">
        <v>58649</v>
      </c>
      <c r="C15106" t="inlineStr">
        <is>
          <t>1439/05/06</t>
        </is>
      </c>
    </row>
    <row r="15107">
      <c r="A15107" t="n">
        <v>14390507</v>
      </c>
      <c r="B15107" t="n">
        <v>58650</v>
      </c>
      <c r="C15107" t="inlineStr">
        <is>
          <t>1439/05/07</t>
        </is>
      </c>
    </row>
    <row r="15108">
      <c r="A15108" t="n">
        <v>14390508</v>
      </c>
      <c r="B15108" t="n">
        <v>58651</v>
      </c>
      <c r="C15108" t="inlineStr">
        <is>
          <t>1439/05/08</t>
        </is>
      </c>
    </row>
    <row r="15109">
      <c r="A15109" t="n">
        <v>14390509</v>
      </c>
      <c r="B15109" t="n">
        <v>58652</v>
      </c>
      <c r="C15109" t="inlineStr">
        <is>
          <t>1439/05/09</t>
        </is>
      </c>
    </row>
    <row r="15110">
      <c r="A15110" t="n">
        <v>14390510</v>
      </c>
      <c r="B15110" t="n">
        <v>58653</v>
      </c>
      <c r="C15110" t="inlineStr">
        <is>
          <t>1439/05/10</t>
        </is>
      </c>
    </row>
    <row r="15111">
      <c r="A15111" t="n">
        <v>14390511</v>
      </c>
      <c r="B15111" t="n">
        <v>58654</v>
      </c>
      <c r="C15111" t="inlineStr">
        <is>
          <t>1439/05/11</t>
        </is>
      </c>
    </row>
    <row r="15112">
      <c r="A15112" t="n">
        <v>14390512</v>
      </c>
      <c r="B15112" t="n">
        <v>58655</v>
      </c>
      <c r="C15112" t="inlineStr">
        <is>
          <t>1439/05/12</t>
        </is>
      </c>
    </row>
    <row r="15113">
      <c r="A15113" t="n">
        <v>14390513</v>
      </c>
      <c r="B15113" t="n">
        <v>58656</v>
      </c>
      <c r="C15113" t="inlineStr">
        <is>
          <t>1439/05/13</t>
        </is>
      </c>
    </row>
    <row r="15114">
      <c r="A15114" t="n">
        <v>14390514</v>
      </c>
      <c r="B15114" t="n">
        <v>58657</v>
      </c>
      <c r="C15114" t="inlineStr">
        <is>
          <t>1439/05/14</t>
        </is>
      </c>
    </row>
    <row r="15115">
      <c r="A15115" t="n">
        <v>14390515</v>
      </c>
      <c r="B15115" t="n">
        <v>58658</v>
      </c>
      <c r="C15115" t="inlineStr">
        <is>
          <t>1439/05/15</t>
        </is>
      </c>
    </row>
    <row r="15116">
      <c r="A15116" t="n">
        <v>14390516</v>
      </c>
      <c r="B15116" t="n">
        <v>58659</v>
      </c>
      <c r="C15116" t="inlineStr">
        <is>
          <t>1439/05/16</t>
        </is>
      </c>
    </row>
    <row r="15117">
      <c r="A15117" t="n">
        <v>14390517</v>
      </c>
      <c r="B15117" t="n">
        <v>58660</v>
      </c>
      <c r="C15117" t="inlineStr">
        <is>
          <t>1439/05/17</t>
        </is>
      </c>
    </row>
    <row r="15118">
      <c r="A15118" t="n">
        <v>14390518</v>
      </c>
      <c r="B15118" t="n">
        <v>58661</v>
      </c>
      <c r="C15118" t="inlineStr">
        <is>
          <t>1439/05/18</t>
        </is>
      </c>
    </row>
    <row r="15119">
      <c r="A15119" t="n">
        <v>14390519</v>
      </c>
      <c r="B15119" t="n">
        <v>58662</v>
      </c>
      <c r="C15119" t="inlineStr">
        <is>
          <t>1439/05/19</t>
        </is>
      </c>
    </row>
    <row r="15120">
      <c r="A15120" t="n">
        <v>14390520</v>
      </c>
      <c r="B15120" t="n">
        <v>58663</v>
      </c>
      <c r="C15120" t="inlineStr">
        <is>
          <t>1439/05/20</t>
        </is>
      </c>
    </row>
    <row r="15121">
      <c r="A15121" t="n">
        <v>14390521</v>
      </c>
      <c r="B15121" t="n">
        <v>58664</v>
      </c>
      <c r="C15121" t="inlineStr">
        <is>
          <t>1439/05/21</t>
        </is>
      </c>
    </row>
    <row r="15122">
      <c r="A15122" t="n">
        <v>14390522</v>
      </c>
      <c r="B15122" t="n">
        <v>58665</v>
      </c>
      <c r="C15122" t="inlineStr">
        <is>
          <t>1439/05/22</t>
        </is>
      </c>
    </row>
    <row r="15123">
      <c r="A15123" t="n">
        <v>14390523</v>
      </c>
      <c r="B15123" t="n">
        <v>58666</v>
      </c>
      <c r="C15123" t="inlineStr">
        <is>
          <t>1439/05/23</t>
        </is>
      </c>
    </row>
    <row r="15124">
      <c r="A15124" t="n">
        <v>14390524</v>
      </c>
      <c r="B15124" t="n">
        <v>58667</v>
      </c>
      <c r="C15124" t="inlineStr">
        <is>
          <t>1439/05/24</t>
        </is>
      </c>
    </row>
    <row r="15125">
      <c r="A15125" t="n">
        <v>14390525</v>
      </c>
      <c r="B15125" t="n">
        <v>58668</v>
      </c>
      <c r="C15125" t="inlineStr">
        <is>
          <t>1439/05/25</t>
        </is>
      </c>
    </row>
    <row r="15126">
      <c r="A15126" t="n">
        <v>14390526</v>
      </c>
      <c r="B15126" t="n">
        <v>58669</v>
      </c>
      <c r="C15126" t="inlineStr">
        <is>
          <t>1439/05/26</t>
        </is>
      </c>
    </row>
    <row r="15127">
      <c r="A15127" t="n">
        <v>14390527</v>
      </c>
      <c r="B15127" t="n">
        <v>58670</v>
      </c>
      <c r="C15127" t="inlineStr">
        <is>
          <t>1439/05/27</t>
        </is>
      </c>
    </row>
    <row r="15128">
      <c r="A15128" t="n">
        <v>14390528</v>
      </c>
      <c r="B15128" t="n">
        <v>58671</v>
      </c>
      <c r="C15128" t="inlineStr">
        <is>
          <t>1439/05/28</t>
        </is>
      </c>
    </row>
    <row r="15129">
      <c r="A15129" t="n">
        <v>14390529</v>
      </c>
      <c r="B15129" t="n">
        <v>58672</v>
      </c>
      <c r="C15129" t="inlineStr">
        <is>
          <t>1439/05/29</t>
        </is>
      </c>
    </row>
    <row r="15130">
      <c r="A15130" t="n">
        <v>14390530</v>
      </c>
      <c r="B15130" t="n">
        <v>58673</v>
      </c>
      <c r="C15130" t="inlineStr">
        <is>
          <t>1439/05/30</t>
        </is>
      </c>
    </row>
    <row r="15131">
      <c r="A15131" t="n">
        <v>14390531</v>
      </c>
      <c r="B15131" t="n">
        <v>58674</v>
      </c>
      <c r="C15131" t="inlineStr">
        <is>
          <t>1439/05/31</t>
        </is>
      </c>
    </row>
    <row r="15132">
      <c r="A15132" t="n">
        <v>14390601</v>
      </c>
      <c r="B15132" t="n">
        <v>58675</v>
      </c>
      <c r="C15132" t="inlineStr">
        <is>
          <t>1439/06/01</t>
        </is>
      </c>
    </row>
    <row r="15133">
      <c r="A15133" t="n">
        <v>14390602</v>
      </c>
      <c r="B15133" t="n">
        <v>58676</v>
      </c>
      <c r="C15133" t="inlineStr">
        <is>
          <t>1439/06/02</t>
        </is>
      </c>
    </row>
    <row r="15134">
      <c r="A15134" t="n">
        <v>14390603</v>
      </c>
      <c r="B15134" t="n">
        <v>58677</v>
      </c>
      <c r="C15134" t="inlineStr">
        <is>
          <t>1439/06/03</t>
        </is>
      </c>
    </row>
    <row r="15135">
      <c r="A15135" t="n">
        <v>14390604</v>
      </c>
      <c r="B15135" t="n">
        <v>58678</v>
      </c>
      <c r="C15135" t="inlineStr">
        <is>
          <t>1439/06/04</t>
        </is>
      </c>
    </row>
    <row r="15136">
      <c r="A15136" t="n">
        <v>14390605</v>
      </c>
      <c r="B15136" t="n">
        <v>58679</v>
      </c>
      <c r="C15136" t="inlineStr">
        <is>
          <t>1439/06/05</t>
        </is>
      </c>
    </row>
    <row r="15137">
      <c r="A15137" t="n">
        <v>14390606</v>
      </c>
      <c r="B15137" t="n">
        <v>58680</v>
      </c>
      <c r="C15137" t="inlineStr">
        <is>
          <t>1439/06/06</t>
        </is>
      </c>
    </row>
    <row r="15138">
      <c r="A15138" t="n">
        <v>14390607</v>
      </c>
      <c r="B15138" t="n">
        <v>58681</v>
      </c>
      <c r="C15138" t="inlineStr">
        <is>
          <t>1439/06/07</t>
        </is>
      </c>
    </row>
    <row r="15139">
      <c r="A15139" t="n">
        <v>14390608</v>
      </c>
      <c r="B15139" t="n">
        <v>58682</v>
      </c>
      <c r="C15139" t="inlineStr">
        <is>
          <t>1439/06/08</t>
        </is>
      </c>
    </row>
    <row r="15140">
      <c r="A15140" t="n">
        <v>14390609</v>
      </c>
      <c r="B15140" t="n">
        <v>58683</v>
      </c>
      <c r="C15140" t="inlineStr">
        <is>
          <t>1439/06/09</t>
        </is>
      </c>
    </row>
    <row r="15141">
      <c r="A15141" t="n">
        <v>14390610</v>
      </c>
      <c r="B15141" t="n">
        <v>58684</v>
      </c>
      <c r="C15141" t="inlineStr">
        <is>
          <t>1439/06/10</t>
        </is>
      </c>
    </row>
    <row r="15142">
      <c r="A15142" t="n">
        <v>14390611</v>
      </c>
      <c r="B15142" t="n">
        <v>58685</v>
      </c>
      <c r="C15142" t="inlineStr">
        <is>
          <t>1439/06/11</t>
        </is>
      </c>
    </row>
    <row r="15143">
      <c r="A15143" t="n">
        <v>14390612</v>
      </c>
      <c r="B15143" t="n">
        <v>58686</v>
      </c>
      <c r="C15143" t="inlineStr">
        <is>
          <t>1439/06/12</t>
        </is>
      </c>
    </row>
    <row r="15144">
      <c r="A15144" t="n">
        <v>14390613</v>
      </c>
      <c r="B15144" t="n">
        <v>58687</v>
      </c>
      <c r="C15144" t="inlineStr">
        <is>
          <t>1439/06/13</t>
        </is>
      </c>
    </row>
    <row r="15145">
      <c r="A15145" t="n">
        <v>14390614</v>
      </c>
      <c r="B15145" t="n">
        <v>58688</v>
      </c>
      <c r="C15145" t="inlineStr">
        <is>
          <t>1439/06/14</t>
        </is>
      </c>
    </row>
    <row r="15146">
      <c r="A15146" t="n">
        <v>14390615</v>
      </c>
      <c r="B15146" t="n">
        <v>58689</v>
      </c>
      <c r="C15146" t="inlineStr">
        <is>
          <t>1439/06/15</t>
        </is>
      </c>
    </row>
    <row r="15147">
      <c r="A15147" t="n">
        <v>14390616</v>
      </c>
      <c r="B15147" t="n">
        <v>58690</v>
      </c>
      <c r="C15147" t="inlineStr">
        <is>
          <t>1439/06/16</t>
        </is>
      </c>
    </row>
    <row r="15148">
      <c r="A15148" t="n">
        <v>14390617</v>
      </c>
      <c r="B15148" t="n">
        <v>58691</v>
      </c>
      <c r="C15148" t="inlineStr">
        <is>
          <t>1439/06/17</t>
        </is>
      </c>
    </row>
    <row r="15149">
      <c r="A15149" t="n">
        <v>14390618</v>
      </c>
      <c r="B15149" t="n">
        <v>58692</v>
      </c>
      <c r="C15149" t="inlineStr">
        <is>
          <t>1439/06/18</t>
        </is>
      </c>
    </row>
    <row r="15150">
      <c r="A15150" t="n">
        <v>14390619</v>
      </c>
      <c r="B15150" t="n">
        <v>58693</v>
      </c>
      <c r="C15150" t="inlineStr">
        <is>
          <t>1439/06/19</t>
        </is>
      </c>
    </row>
    <row r="15151">
      <c r="A15151" t="n">
        <v>14390620</v>
      </c>
      <c r="B15151" t="n">
        <v>58694</v>
      </c>
      <c r="C15151" t="inlineStr">
        <is>
          <t>1439/06/20</t>
        </is>
      </c>
    </row>
    <row r="15152">
      <c r="A15152" t="n">
        <v>14390621</v>
      </c>
      <c r="B15152" t="n">
        <v>58695</v>
      </c>
      <c r="C15152" t="inlineStr">
        <is>
          <t>1439/06/21</t>
        </is>
      </c>
    </row>
    <row r="15153">
      <c r="A15153" t="n">
        <v>14390622</v>
      </c>
      <c r="B15153" t="n">
        <v>58696</v>
      </c>
      <c r="C15153" t="inlineStr">
        <is>
          <t>1439/06/22</t>
        </is>
      </c>
    </row>
    <row r="15154">
      <c r="A15154" t="n">
        <v>14390623</v>
      </c>
      <c r="B15154" t="n">
        <v>58697</v>
      </c>
      <c r="C15154" t="inlineStr">
        <is>
          <t>1439/06/23</t>
        </is>
      </c>
    </row>
    <row r="15155">
      <c r="A15155" t="n">
        <v>14390624</v>
      </c>
      <c r="B15155" t="n">
        <v>58698</v>
      </c>
      <c r="C15155" t="inlineStr">
        <is>
          <t>1439/06/24</t>
        </is>
      </c>
    </row>
    <row r="15156">
      <c r="A15156" t="n">
        <v>14390625</v>
      </c>
      <c r="B15156" t="n">
        <v>58699</v>
      </c>
      <c r="C15156" t="inlineStr">
        <is>
          <t>1439/06/25</t>
        </is>
      </c>
    </row>
    <row r="15157">
      <c r="A15157" t="n">
        <v>14390626</v>
      </c>
      <c r="B15157" t="n">
        <v>58700</v>
      </c>
      <c r="C15157" t="inlineStr">
        <is>
          <t>1439/06/26</t>
        </is>
      </c>
    </row>
    <row r="15158">
      <c r="A15158" t="n">
        <v>14390627</v>
      </c>
      <c r="B15158" t="n">
        <v>58701</v>
      </c>
      <c r="C15158" t="inlineStr">
        <is>
          <t>1439/06/27</t>
        </is>
      </c>
    </row>
    <row r="15159">
      <c r="A15159" t="n">
        <v>14390628</v>
      </c>
      <c r="B15159" t="n">
        <v>58702</v>
      </c>
      <c r="C15159" t="inlineStr">
        <is>
          <t>1439/06/28</t>
        </is>
      </c>
    </row>
    <row r="15160">
      <c r="A15160" t="n">
        <v>14390629</v>
      </c>
      <c r="B15160" t="n">
        <v>58703</v>
      </c>
      <c r="C15160" t="inlineStr">
        <is>
          <t>1439/06/29</t>
        </is>
      </c>
    </row>
    <row r="15161">
      <c r="A15161" t="n">
        <v>14390630</v>
      </c>
      <c r="B15161" t="n">
        <v>58704</v>
      </c>
      <c r="C15161" t="inlineStr">
        <is>
          <t>1439/06/30</t>
        </is>
      </c>
    </row>
    <row r="15162">
      <c r="A15162" t="n">
        <v>14390631</v>
      </c>
      <c r="B15162" t="n">
        <v>58705</v>
      </c>
      <c r="C15162" t="inlineStr">
        <is>
          <t>1439/06/31</t>
        </is>
      </c>
    </row>
    <row r="15163">
      <c r="A15163" t="n">
        <v>14390701</v>
      </c>
      <c r="B15163" t="n">
        <v>58706</v>
      </c>
      <c r="C15163" t="inlineStr">
        <is>
          <t>1439/07/01</t>
        </is>
      </c>
    </row>
    <row r="15164">
      <c r="A15164" t="n">
        <v>14390702</v>
      </c>
      <c r="B15164" t="n">
        <v>58707</v>
      </c>
      <c r="C15164" t="inlineStr">
        <is>
          <t>1439/07/02</t>
        </is>
      </c>
    </row>
    <row r="15165">
      <c r="A15165" t="n">
        <v>14390703</v>
      </c>
      <c r="B15165" t="n">
        <v>58708</v>
      </c>
      <c r="C15165" t="inlineStr">
        <is>
          <t>1439/07/03</t>
        </is>
      </c>
    </row>
    <row r="15166">
      <c r="A15166" t="n">
        <v>14390704</v>
      </c>
      <c r="B15166" t="n">
        <v>58709</v>
      </c>
      <c r="C15166" t="inlineStr">
        <is>
          <t>1439/07/04</t>
        </is>
      </c>
    </row>
    <row r="15167">
      <c r="A15167" t="n">
        <v>14390705</v>
      </c>
      <c r="B15167" t="n">
        <v>58710</v>
      </c>
      <c r="C15167" t="inlineStr">
        <is>
          <t>1439/07/05</t>
        </is>
      </c>
    </row>
    <row r="15168">
      <c r="A15168" t="n">
        <v>14390706</v>
      </c>
      <c r="B15168" t="n">
        <v>58711</v>
      </c>
      <c r="C15168" t="inlineStr">
        <is>
          <t>1439/07/06</t>
        </is>
      </c>
    </row>
    <row r="15169">
      <c r="A15169" t="n">
        <v>14390707</v>
      </c>
      <c r="B15169" t="n">
        <v>58712</v>
      </c>
      <c r="C15169" t="inlineStr">
        <is>
          <t>1439/07/07</t>
        </is>
      </c>
    </row>
    <row r="15170">
      <c r="A15170" t="n">
        <v>14390708</v>
      </c>
      <c r="B15170" t="n">
        <v>58713</v>
      </c>
      <c r="C15170" t="inlineStr">
        <is>
          <t>1439/07/08</t>
        </is>
      </c>
    </row>
    <row r="15171">
      <c r="A15171" t="n">
        <v>14390709</v>
      </c>
      <c r="B15171" t="n">
        <v>58714</v>
      </c>
      <c r="C15171" t="inlineStr">
        <is>
          <t>1439/07/09</t>
        </is>
      </c>
    </row>
    <row r="15172">
      <c r="A15172" t="n">
        <v>14390710</v>
      </c>
      <c r="B15172" t="n">
        <v>58715</v>
      </c>
      <c r="C15172" t="inlineStr">
        <is>
          <t>1439/07/10</t>
        </is>
      </c>
    </row>
    <row r="15173">
      <c r="A15173" t="n">
        <v>14390711</v>
      </c>
      <c r="B15173" t="n">
        <v>58716</v>
      </c>
      <c r="C15173" t="inlineStr">
        <is>
          <t>1439/07/11</t>
        </is>
      </c>
    </row>
    <row r="15174">
      <c r="A15174" t="n">
        <v>14390712</v>
      </c>
      <c r="B15174" t="n">
        <v>58717</v>
      </c>
      <c r="C15174" t="inlineStr">
        <is>
          <t>1439/07/12</t>
        </is>
      </c>
    </row>
    <row r="15175">
      <c r="A15175" t="n">
        <v>14390713</v>
      </c>
      <c r="B15175" t="n">
        <v>58718</v>
      </c>
      <c r="C15175" t="inlineStr">
        <is>
          <t>1439/07/13</t>
        </is>
      </c>
    </row>
    <row r="15176">
      <c r="A15176" t="n">
        <v>14390714</v>
      </c>
      <c r="B15176" t="n">
        <v>58719</v>
      </c>
      <c r="C15176" t="inlineStr">
        <is>
          <t>1439/07/14</t>
        </is>
      </c>
    </row>
    <row r="15177">
      <c r="A15177" t="n">
        <v>14390715</v>
      </c>
      <c r="B15177" t="n">
        <v>58720</v>
      </c>
      <c r="C15177" t="inlineStr">
        <is>
          <t>1439/07/15</t>
        </is>
      </c>
    </row>
    <row r="15178">
      <c r="A15178" t="n">
        <v>14390716</v>
      </c>
      <c r="B15178" t="n">
        <v>58721</v>
      </c>
      <c r="C15178" t="inlineStr">
        <is>
          <t>1439/07/16</t>
        </is>
      </c>
    </row>
    <row r="15179">
      <c r="A15179" t="n">
        <v>14390717</v>
      </c>
      <c r="B15179" t="n">
        <v>58722</v>
      </c>
      <c r="C15179" t="inlineStr">
        <is>
          <t>1439/07/17</t>
        </is>
      </c>
    </row>
    <row r="15180">
      <c r="A15180" t="n">
        <v>14390718</v>
      </c>
      <c r="B15180" t="n">
        <v>58723</v>
      </c>
      <c r="C15180" t="inlineStr">
        <is>
          <t>1439/07/18</t>
        </is>
      </c>
    </row>
    <row r="15181">
      <c r="A15181" t="n">
        <v>14390719</v>
      </c>
      <c r="B15181" t="n">
        <v>58724</v>
      </c>
      <c r="C15181" t="inlineStr">
        <is>
          <t>1439/07/19</t>
        </is>
      </c>
    </row>
    <row r="15182">
      <c r="A15182" t="n">
        <v>14390720</v>
      </c>
      <c r="B15182" t="n">
        <v>58725</v>
      </c>
      <c r="C15182" t="inlineStr">
        <is>
          <t>1439/07/20</t>
        </is>
      </c>
    </row>
    <row r="15183">
      <c r="A15183" t="n">
        <v>14390721</v>
      </c>
      <c r="B15183" t="n">
        <v>58726</v>
      </c>
      <c r="C15183" t="inlineStr">
        <is>
          <t>1439/07/21</t>
        </is>
      </c>
    </row>
    <row r="15184">
      <c r="A15184" t="n">
        <v>14390722</v>
      </c>
      <c r="B15184" t="n">
        <v>58727</v>
      </c>
      <c r="C15184" t="inlineStr">
        <is>
          <t>1439/07/22</t>
        </is>
      </c>
    </row>
    <row r="15185">
      <c r="A15185" t="n">
        <v>14390723</v>
      </c>
      <c r="B15185" t="n">
        <v>58728</v>
      </c>
      <c r="C15185" t="inlineStr">
        <is>
          <t>1439/07/23</t>
        </is>
      </c>
    </row>
    <row r="15186">
      <c r="A15186" t="n">
        <v>14390724</v>
      </c>
      <c r="B15186" t="n">
        <v>58729</v>
      </c>
      <c r="C15186" t="inlineStr">
        <is>
          <t>1439/07/24</t>
        </is>
      </c>
    </row>
    <row r="15187">
      <c r="A15187" t="n">
        <v>14390725</v>
      </c>
      <c r="B15187" t="n">
        <v>58730</v>
      </c>
      <c r="C15187" t="inlineStr">
        <is>
          <t>1439/07/25</t>
        </is>
      </c>
    </row>
    <row r="15188">
      <c r="A15188" t="n">
        <v>14390726</v>
      </c>
      <c r="B15188" t="n">
        <v>58731</v>
      </c>
      <c r="C15188" t="inlineStr">
        <is>
          <t>1439/07/26</t>
        </is>
      </c>
    </row>
    <row r="15189">
      <c r="A15189" t="n">
        <v>14390727</v>
      </c>
      <c r="B15189" t="n">
        <v>58732</v>
      </c>
      <c r="C15189" t="inlineStr">
        <is>
          <t>1439/07/27</t>
        </is>
      </c>
    </row>
    <row r="15190">
      <c r="A15190" t="n">
        <v>14390728</v>
      </c>
      <c r="B15190" t="n">
        <v>58733</v>
      </c>
      <c r="C15190" t="inlineStr">
        <is>
          <t>1439/07/28</t>
        </is>
      </c>
    </row>
    <row r="15191">
      <c r="A15191" t="n">
        <v>14390729</v>
      </c>
      <c r="B15191" t="n">
        <v>58734</v>
      </c>
      <c r="C15191" t="inlineStr">
        <is>
          <t>1439/07/29</t>
        </is>
      </c>
    </row>
    <row r="15192">
      <c r="A15192" t="n">
        <v>14390730</v>
      </c>
      <c r="B15192" t="n">
        <v>58735</v>
      </c>
      <c r="C15192" t="inlineStr">
        <is>
          <t>1439/07/30</t>
        </is>
      </c>
    </row>
    <row r="15193">
      <c r="A15193" t="n">
        <v>14390801</v>
      </c>
      <c r="B15193" t="n">
        <v>58736</v>
      </c>
      <c r="C15193" t="inlineStr">
        <is>
          <t>1439/08/01</t>
        </is>
      </c>
    </row>
    <row r="15194">
      <c r="A15194" t="n">
        <v>14390802</v>
      </c>
      <c r="B15194" t="n">
        <v>58737</v>
      </c>
      <c r="C15194" t="inlineStr">
        <is>
          <t>1439/08/02</t>
        </is>
      </c>
    </row>
    <row r="15195">
      <c r="A15195" t="n">
        <v>14390803</v>
      </c>
      <c r="B15195" t="n">
        <v>58738</v>
      </c>
      <c r="C15195" t="inlineStr">
        <is>
          <t>1439/08/03</t>
        </is>
      </c>
    </row>
    <row r="15196">
      <c r="A15196" t="n">
        <v>14390804</v>
      </c>
      <c r="B15196" t="n">
        <v>58739</v>
      </c>
      <c r="C15196" t="inlineStr">
        <is>
          <t>1439/08/04</t>
        </is>
      </c>
    </row>
    <row r="15197">
      <c r="A15197" t="n">
        <v>14390805</v>
      </c>
      <c r="B15197" t="n">
        <v>58740</v>
      </c>
      <c r="C15197" t="inlineStr">
        <is>
          <t>1439/08/05</t>
        </is>
      </c>
    </row>
    <row r="15198">
      <c r="A15198" t="n">
        <v>14390806</v>
      </c>
      <c r="B15198" t="n">
        <v>58741</v>
      </c>
      <c r="C15198" t="inlineStr">
        <is>
          <t>1439/08/06</t>
        </is>
      </c>
    </row>
    <row r="15199">
      <c r="A15199" t="n">
        <v>14390807</v>
      </c>
      <c r="B15199" t="n">
        <v>58742</v>
      </c>
      <c r="C15199" t="inlineStr">
        <is>
          <t>1439/08/07</t>
        </is>
      </c>
    </row>
    <row r="15200">
      <c r="A15200" t="n">
        <v>14390808</v>
      </c>
      <c r="B15200" t="n">
        <v>58743</v>
      </c>
      <c r="C15200" t="inlineStr">
        <is>
          <t>1439/08/08</t>
        </is>
      </c>
    </row>
    <row r="15201">
      <c r="A15201" t="n">
        <v>14390809</v>
      </c>
      <c r="B15201" t="n">
        <v>58744</v>
      </c>
      <c r="C15201" t="inlineStr">
        <is>
          <t>1439/08/09</t>
        </is>
      </c>
    </row>
    <row r="15202">
      <c r="A15202" t="n">
        <v>14390810</v>
      </c>
      <c r="B15202" t="n">
        <v>58745</v>
      </c>
      <c r="C15202" t="inlineStr">
        <is>
          <t>1439/08/10</t>
        </is>
      </c>
    </row>
    <row r="15203">
      <c r="A15203" t="n">
        <v>14390811</v>
      </c>
      <c r="B15203" t="n">
        <v>58746</v>
      </c>
      <c r="C15203" t="inlineStr">
        <is>
          <t>1439/08/11</t>
        </is>
      </c>
    </row>
    <row r="15204">
      <c r="A15204" t="n">
        <v>14390812</v>
      </c>
      <c r="B15204" t="n">
        <v>58747</v>
      </c>
      <c r="C15204" t="inlineStr">
        <is>
          <t>1439/08/12</t>
        </is>
      </c>
    </row>
    <row r="15205">
      <c r="A15205" t="n">
        <v>14390813</v>
      </c>
      <c r="B15205" t="n">
        <v>58748</v>
      </c>
      <c r="C15205" t="inlineStr">
        <is>
          <t>1439/08/13</t>
        </is>
      </c>
    </row>
    <row r="15206">
      <c r="A15206" t="n">
        <v>14390814</v>
      </c>
      <c r="B15206" t="n">
        <v>58749</v>
      </c>
      <c r="C15206" t="inlineStr">
        <is>
          <t>1439/08/14</t>
        </is>
      </c>
    </row>
    <row r="15207">
      <c r="A15207" t="n">
        <v>14390815</v>
      </c>
      <c r="B15207" t="n">
        <v>58750</v>
      </c>
      <c r="C15207" t="inlineStr">
        <is>
          <t>1439/08/15</t>
        </is>
      </c>
    </row>
    <row r="15208">
      <c r="A15208" t="n">
        <v>14390816</v>
      </c>
      <c r="B15208" t="n">
        <v>58751</v>
      </c>
      <c r="C15208" t="inlineStr">
        <is>
          <t>1439/08/16</t>
        </is>
      </c>
    </row>
    <row r="15209">
      <c r="A15209" t="n">
        <v>14390817</v>
      </c>
      <c r="B15209" t="n">
        <v>58752</v>
      </c>
      <c r="C15209" t="inlineStr">
        <is>
          <t>1439/08/17</t>
        </is>
      </c>
    </row>
    <row r="15210">
      <c r="A15210" t="n">
        <v>14390818</v>
      </c>
      <c r="B15210" t="n">
        <v>58753</v>
      </c>
      <c r="C15210" t="inlineStr">
        <is>
          <t>1439/08/18</t>
        </is>
      </c>
    </row>
    <row r="15211">
      <c r="A15211" t="n">
        <v>14390819</v>
      </c>
      <c r="B15211" t="n">
        <v>58754</v>
      </c>
      <c r="C15211" t="inlineStr">
        <is>
          <t>1439/08/19</t>
        </is>
      </c>
    </row>
    <row r="15212">
      <c r="A15212" t="n">
        <v>14390820</v>
      </c>
      <c r="B15212" t="n">
        <v>58755</v>
      </c>
      <c r="C15212" t="inlineStr">
        <is>
          <t>1439/08/20</t>
        </is>
      </c>
    </row>
    <row r="15213">
      <c r="A15213" t="n">
        <v>14390821</v>
      </c>
      <c r="B15213" t="n">
        <v>58756</v>
      </c>
      <c r="C15213" t="inlineStr">
        <is>
          <t>1439/08/21</t>
        </is>
      </c>
    </row>
    <row r="15214">
      <c r="A15214" t="n">
        <v>14390822</v>
      </c>
      <c r="B15214" t="n">
        <v>58757</v>
      </c>
      <c r="C15214" t="inlineStr">
        <is>
          <t>1439/08/22</t>
        </is>
      </c>
    </row>
    <row r="15215">
      <c r="A15215" t="n">
        <v>14390823</v>
      </c>
      <c r="B15215" t="n">
        <v>58758</v>
      </c>
      <c r="C15215" t="inlineStr">
        <is>
          <t>1439/08/23</t>
        </is>
      </c>
    </row>
    <row r="15216">
      <c r="A15216" t="n">
        <v>14390824</v>
      </c>
      <c r="B15216" t="n">
        <v>58759</v>
      </c>
      <c r="C15216" t="inlineStr">
        <is>
          <t>1439/08/24</t>
        </is>
      </c>
    </row>
    <row r="15217">
      <c r="A15217" t="n">
        <v>14390825</v>
      </c>
      <c r="B15217" t="n">
        <v>58760</v>
      </c>
      <c r="C15217" t="inlineStr">
        <is>
          <t>1439/08/25</t>
        </is>
      </c>
    </row>
    <row r="15218">
      <c r="A15218" t="n">
        <v>14390826</v>
      </c>
      <c r="B15218" t="n">
        <v>58761</v>
      </c>
      <c r="C15218" t="inlineStr">
        <is>
          <t>1439/08/26</t>
        </is>
      </c>
    </row>
    <row r="15219">
      <c r="A15219" t="n">
        <v>14390827</v>
      </c>
      <c r="B15219" t="n">
        <v>58762</v>
      </c>
      <c r="C15219" t="inlineStr">
        <is>
          <t>1439/08/27</t>
        </is>
      </c>
    </row>
    <row r="15220">
      <c r="A15220" t="n">
        <v>14390828</v>
      </c>
      <c r="B15220" t="n">
        <v>58763</v>
      </c>
      <c r="C15220" t="inlineStr">
        <is>
          <t>1439/08/28</t>
        </is>
      </c>
    </row>
    <row r="15221">
      <c r="A15221" t="n">
        <v>14390829</v>
      </c>
      <c r="B15221" t="n">
        <v>58764</v>
      </c>
      <c r="C15221" t="inlineStr">
        <is>
          <t>1439/08/29</t>
        </is>
      </c>
    </row>
    <row r="15222">
      <c r="A15222" t="n">
        <v>14390830</v>
      </c>
      <c r="B15222" t="n">
        <v>58765</v>
      </c>
      <c r="C15222" t="inlineStr">
        <is>
          <t>1439/08/30</t>
        </is>
      </c>
    </row>
    <row r="15223">
      <c r="A15223" t="n">
        <v>14390901</v>
      </c>
      <c r="B15223" t="n">
        <v>58766</v>
      </c>
      <c r="C15223" t="inlineStr">
        <is>
          <t>1439/09/01</t>
        </is>
      </c>
    </row>
    <row r="15224">
      <c r="A15224" t="n">
        <v>14390902</v>
      </c>
      <c r="B15224" t="n">
        <v>58767</v>
      </c>
      <c r="C15224" t="inlineStr">
        <is>
          <t>1439/09/02</t>
        </is>
      </c>
    </row>
    <row r="15225">
      <c r="A15225" t="n">
        <v>14390903</v>
      </c>
      <c r="B15225" t="n">
        <v>58768</v>
      </c>
      <c r="C15225" t="inlineStr">
        <is>
          <t>1439/09/03</t>
        </is>
      </c>
    </row>
    <row r="15226">
      <c r="A15226" t="n">
        <v>14390904</v>
      </c>
      <c r="B15226" t="n">
        <v>58769</v>
      </c>
      <c r="C15226" t="inlineStr">
        <is>
          <t>1439/09/04</t>
        </is>
      </c>
    </row>
    <row r="15227">
      <c r="A15227" t="n">
        <v>14390905</v>
      </c>
      <c r="B15227" t="n">
        <v>58770</v>
      </c>
      <c r="C15227" t="inlineStr">
        <is>
          <t>1439/09/05</t>
        </is>
      </c>
    </row>
    <row r="15228">
      <c r="A15228" t="n">
        <v>14390906</v>
      </c>
      <c r="B15228" t="n">
        <v>58771</v>
      </c>
      <c r="C15228" t="inlineStr">
        <is>
          <t>1439/09/06</t>
        </is>
      </c>
    </row>
    <row r="15229">
      <c r="A15229" t="n">
        <v>14390907</v>
      </c>
      <c r="B15229" t="n">
        <v>58772</v>
      </c>
      <c r="C15229" t="inlineStr">
        <is>
          <t>1439/09/07</t>
        </is>
      </c>
    </row>
    <row r="15230">
      <c r="A15230" t="n">
        <v>14390908</v>
      </c>
      <c r="B15230" t="n">
        <v>58773</v>
      </c>
      <c r="C15230" t="inlineStr">
        <is>
          <t>1439/09/08</t>
        </is>
      </c>
    </row>
    <row r="15231">
      <c r="A15231" t="n">
        <v>14390909</v>
      </c>
      <c r="B15231" t="n">
        <v>58774</v>
      </c>
      <c r="C15231" t="inlineStr">
        <is>
          <t>1439/09/09</t>
        </is>
      </c>
    </row>
    <row r="15232">
      <c r="A15232" t="n">
        <v>14390910</v>
      </c>
      <c r="B15232" t="n">
        <v>58775</v>
      </c>
      <c r="C15232" t="inlineStr">
        <is>
          <t>1439/09/10</t>
        </is>
      </c>
    </row>
    <row r="15233">
      <c r="A15233" t="n">
        <v>14390911</v>
      </c>
      <c r="B15233" t="n">
        <v>58776</v>
      </c>
      <c r="C15233" t="inlineStr">
        <is>
          <t>1439/09/11</t>
        </is>
      </c>
    </row>
    <row r="15234">
      <c r="A15234" t="n">
        <v>14390912</v>
      </c>
      <c r="B15234" t="n">
        <v>58777</v>
      </c>
      <c r="C15234" t="inlineStr">
        <is>
          <t>1439/09/12</t>
        </is>
      </c>
    </row>
    <row r="15235">
      <c r="A15235" t="n">
        <v>14390913</v>
      </c>
      <c r="B15235" t="n">
        <v>58778</v>
      </c>
      <c r="C15235" t="inlineStr">
        <is>
          <t>1439/09/13</t>
        </is>
      </c>
    </row>
    <row r="15236">
      <c r="A15236" t="n">
        <v>14390914</v>
      </c>
      <c r="B15236" t="n">
        <v>58779</v>
      </c>
      <c r="C15236" t="inlineStr">
        <is>
          <t>1439/09/14</t>
        </is>
      </c>
    </row>
    <row r="15237">
      <c r="A15237" t="n">
        <v>14390915</v>
      </c>
      <c r="B15237" t="n">
        <v>58780</v>
      </c>
      <c r="C15237" t="inlineStr">
        <is>
          <t>1439/09/15</t>
        </is>
      </c>
    </row>
    <row r="15238">
      <c r="A15238" t="n">
        <v>14390916</v>
      </c>
      <c r="B15238" t="n">
        <v>58781</v>
      </c>
      <c r="C15238" t="inlineStr">
        <is>
          <t>1439/09/16</t>
        </is>
      </c>
    </row>
    <row r="15239">
      <c r="A15239" t="n">
        <v>14390917</v>
      </c>
      <c r="B15239" t="n">
        <v>58782</v>
      </c>
      <c r="C15239" t="inlineStr">
        <is>
          <t>1439/09/17</t>
        </is>
      </c>
    </row>
    <row r="15240">
      <c r="A15240" t="n">
        <v>14390918</v>
      </c>
      <c r="B15240" t="n">
        <v>58783</v>
      </c>
      <c r="C15240" t="inlineStr">
        <is>
          <t>1439/09/18</t>
        </is>
      </c>
    </row>
    <row r="15241">
      <c r="A15241" t="n">
        <v>14390919</v>
      </c>
      <c r="B15241" t="n">
        <v>58784</v>
      </c>
      <c r="C15241" t="inlineStr">
        <is>
          <t>1439/09/19</t>
        </is>
      </c>
    </row>
    <row r="15242">
      <c r="A15242" t="n">
        <v>14390920</v>
      </c>
      <c r="B15242" t="n">
        <v>58785</v>
      </c>
      <c r="C15242" t="inlineStr">
        <is>
          <t>1439/09/20</t>
        </is>
      </c>
    </row>
    <row r="15243">
      <c r="A15243" t="n">
        <v>14390921</v>
      </c>
      <c r="B15243" t="n">
        <v>58786</v>
      </c>
      <c r="C15243" t="inlineStr">
        <is>
          <t>1439/09/21</t>
        </is>
      </c>
    </row>
    <row r="15244">
      <c r="A15244" t="n">
        <v>14390922</v>
      </c>
      <c r="B15244" t="n">
        <v>58787</v>
      </c>
      <c r="C15244" t="inlineStr">
        <is>
          <t>1439/09/22</t>
        </is>
      </c>
    </row>
    <row r="15245">
      <c r="A15245" t="n">
        <v>14390923</v>
      </c>
      <c r="B15245" t="n">
        <v>58788</v>
      </c>
      <c r="C15245" t="inlineStr">
        <is>
          <t>1439/09/23</t>
        </is>
      </c>
    </row>
    <row r="15246">
      <c r="A15246" t="n">
        <v>14390924</v>
      </c>
      <c r="B15246" t="n">
        <v>58789</v>
      </c>
      <c r="C15246" t="inlineStr">
        <is>
          <t>1439/09/24</t>
        </is>
      </c>
    </row>
    <row r="15247">
      <c r="A15247" t="n">
        <v>14390925</v>
      </c>
      <c r="B15247" t="n">
        <v>58790</v>
      </c>
      <c r="C15247" t="inlineStr">
        <is>
          <t>1439/09/25</t>
        </is>
      </c>
    </row>
    <row r="15248">
      <c r="A15248" t="n">
        <v>14390926</v>
      </c>
      <c r="B15248" t="n">
        <v>58791</v>
      </c>
      <c r="C15248" t="inlineStr">
        <is>
          <t>1439/09/26</t>
        </is>
      </c>
    </row>
    <row r="15249">
      <c r="A15249" t="n">
        <v>14390927</v>
      </c>
      <c r="B15249" t="n">
        <v>58792</v>
      </c>
      <c r="C15249" t="inlineStr">
        <is>
          <t>1439/09/27</t>
        </is>
      </c>
    </row>
    <row r="15250">
      <c r="A15250" t="n">
        <v>14390928</v>
      </c>
      <c r="B15250" t="n">
        <v>58793</v>
      </c>
      <c r="C15250" t="inlineStr">
        <is>
          <t>1439/09/28</t>
        </is>
      </c>
    </row>
    <row r="15251">
      <c r="A15251" t="n">
        <v>14390929</v>
      </c>
      <c r="B15251" t="n">
        <v>58794</v>
      </c>
      <c r="C15251" t="inlineStr">
        <is>
          <t>1439/09/29</t>
        </is>
      </c>
    </row>
    <row r="15252">
      <c r="A15252" t="n">
        <v>14390930</v>
      </c>
      <c r="B15252" t="n">
        <v>58795</v>
      </c>
      <c r="C15252" t="inlineStr">
        <is>
          <t>1439/09/30</t>
        </is>
      </c>
    </row>
    <row r="15253">
      <c r="A15253" t="n">
        <v>14391001</v>
      </c>
      <c r="B15253" t="n">
        <v>58796</v>
      </c>
      <c r="C15253" t="inlineStr">
        <is>
          <t>1439/10/01</t>
        </is>
      </c>
    </row>
    <row r="15254">
      <c r="A15254" t="n">
        <v>14391002</v>
      </c>
      <c r="B15254" t="n">
        <v>58797</v>
      </c>
      <c r="C15254" t="inlineStr">
        <is>
          <t>1439/10/02</t>
        </is>
      </c>
    </row>
    <row r="15255">
      <c r="A15255" t="n">
        <v>14391003</v>
      </c>
      <c r="B15255" t="n">
        <v>58798</v>
      </c>
      <c r="C15255" t="inlineStr">
        <is>
          <t>1439/10/03</t>
        </is>
      </c>
    </row>
    <row r="15256">
      <c r="A15256" t="n">
        <v>14391004</v>
      </c>
      <c r="B15256" t="n">
        <v>58799</v>
      </c>
      <c r="C15256" t="inlineStr">
        <is>
          <t>1439/10/04</t>
        </is>
      </c>
    </row>
    <row r="15257">
      <c r="A15257" t="n">
        <v>14391005</v>
      </c>
      <c r="B15257" t="n">
        <v>58800</v>
      </c>
      <c r="C15257" t="inlineStr">
        <is>
          <t>1439/10/05</t>
        </is>
      </c>
    </row>
    <row r="15258">
      <c r="A15258" t="n">
        <v>14391006</v>
      </c>
      <c r="B15258" t="n">
        <v>58801</v>
      </c>
      <c r="C15258" t="inlineStr">
        <is>
          <t>1439/10/06</t>
        </is>
      </c>
    </row>
    <row r="15259">
      <c r="A15259" t="n">
        <v>14391007</v>
      </c>
      <c r="B15259" t="n">
        <v>58802</v>
      </c>
      <c r="C15259" t="inlineStr">
        <is>
          <t>1439/10/07</t>
        </is>
      </c>
    </row>
    <row r="15260">
      <c r="A15260" t="n">
        <v>14391008</v>
      </c>
      <c r="B15260" t="n">
        <v>58803</v>
      </c>
      <c r="C15260" t="inlineStr">
        <is>
          <t>1439/10/08</t>
        </is>
      </c>
    </row>
    <row r="15261">
      <c r="A15261" t="n">
        <v>14391009</v>
      </c>
      <c r="B15261" t="n">
        <v>58804</v>
      </c>
      <c r="C15261" t="inlineStr">
        <is>
          <t>1439/10/09</t>
        </is>
      </c>
    </row>
    <row r="15262">
      <c r="A15262" t="n">
        <v>14391010</v>
      </c>
      <c r="B15262" t="n">
        <v>58805</v>
      </c>
      <c r="C15262" t="inlineStr">
        <is>
          <t>1439/10/10</t>
        </is>
      </c>
    </row>
    <row r="15263">
      <c r="A15263" t="n">
        <v>14391011</v>
      </c>
      <c r="B15263" t="n">
        <v>58806</v>
      </c>
      <c r="C15263" t="inlineStr">
        <is>
          <t>1439/10/11</t>
        </is>
      </c>
    </row>
    <row r="15264">
      <c r="A15264" t="n">
        <v>14391012</v>
      </c>
      <c r="B15264" t="n">
        <v>58807</v>
      </c>
      <c r="C15264" t="inlineStr">
        <is>
          <t>1439/10/12</t>
        </is>
      </c>
    </row>
    <row r="15265">
      <c r="A15265" t="n">
        <v>14391013</v>
      </c>
      <c r="B15265" t="n">
        <v>58808</v>
      </c>
      <c r="C15265" t="inlineStr">
        <is>
          <t>1439/10/13</t>
        </is>
      </c>
    </row>
    <row r="15266">
      <c r="A15266" t="n">
        <v>14391014</v>
      </c>
      <c r="B15266" t="n">
        <v>58809</v>
      </c>
      <c r="C15266" t="inlineStr">
        <is>
          <t>1439/10/14</t>
        </is>
      </c>
    </row>
    <row r="15267">
      <c r="A15267" t="n">
        <v>14391015</v>
      </c>
      <c r="B15267" t="n">
        <v>58810</v>
      </c>
      <c r="C15267" t="inlineStr">
        <is>
          <t>1439/10/15</t>
        </is>
      </c>
    </row>
    <row r="15268">
      <c r="A15268" t="n">
        <v>14391016</v>
      </c>
      <c r="B15268" t="n">
        <v>58811</v>
      </c>
      <c r="C15268" t="inlineStr">
        <is>
          <t>1439/10/16</t>
        </is>
      </c>
    </row>
    <row r="15269">
      <c r="A15269" t="n">
        <v>14391017</v>
      </c>
      <c r="B15269" t="n">
        <v>58812</v>
      </c>
      <c r="C15269" t="inlineStr">
        <is>
          <t>1439/10/17</t>
        </is>
      </c>
    </row>
    <row r="15270">
      <c r="A15270" t="n">
        <v>14391018</v>
      </c>
      <c r="B15270" t="n">
        <v>58813</v>
      </c>
      <c r="C15270" t="inlineStr">
        <is>
          <t>1439/10/18</t>
        </is>
      </c>
    </row>
    <row r="15271">
      <c r="A15271" t="n">
        <v>14391019</v>
      </c>
      <c r="B15271" t="n">
        <v>58814</v>
      </c>
      <c r="C15271" t="inlineStr">
        <is>
          <t>1439/10/19</t>
        </is>
      </c>
    </row>
    <row r="15272">
      <c r="A15272" t="n">
        <v>14391020</v>
      </c>
      <c r="B15272" t="n">
        <v>58815</v>
      </c>
      <c r="C15272" t="inlineStr">
        <is>
          <t>1439/10/20</t>
        </is>
      </c>
    </row>
    <row r="15273">
      <c r="A15273" t="n">
        <v>14391021</v>
      </c>
      <c r="B15273" t="n">
        <v>58816</v>
      </c>
      <c r="C15273" t="inlineStr">
        <is>
          <t>1439/10/21</t>
        </is>
      </c>
    </row>
    <row r="15274">
      <c r="A15274" t="n">
        <v>14391022</v>
      </c>
      <c r="B15274" t="n">
        <v>58817</v>
      </c>
      <c r="C15274" t="inlineStr">
        <is>
          <t>1439/10/22</t>
        </is>
      </c>
    </row>
    <row r="15275">
      <c r="A15275" t="n">
        <v>14391023</v>
      </c>
      <c r="B15275" t="n">
        <v>58818</v>
      </c>
      <c r="C15275" t="inlineStr">
        <is>
          <t>1439/10/23</t>
        </is>
      </c>
    </row>
    <row r="15276">
      <c r="A15276" t="n">
        <v>14391024</v>
      </c>
      <c r="B15276" t="n">
        <v>58819</v>
      </c>
      <c r="C15276" t="inlineStr">
        <is>
          <t>1439/10/24</t>
        </is>
      </c>
    </row>
    <row r="15277">
      <c r="A15277" t="n">
        <v>14391025</v>
      </c>
      <c r="B15277" t="n">
        <v>58820</v>
      </c>
      <c r="C15277" t="inlineStr">
        <is>
          <t>1439/10/25</t>
        </is>
      </c>
    </row>
    <row r="15278">
      <c r="A15278" t="n">
        <v>14391026</v>
      </c>
      <c r="B15278" t="n">
        <v>58821</v>
      </c>
      <c r="C15278" t="inlineStr">
        <is>
          <t>1439/10/26</t>
        </is>
      </c>
    </row>
    <row r="15279">
      <c r="A15279" t="n">
        <v>14391027</v>
      </c>
      <c r="B15279" t="n">
        <v>58822</v>
      </c>
      <c r="C15279" t="inlineStr">
        <is>
          <t>1439/10/27</t>
        </is>
      </c>
    </row>
    <row r="15280">
      <c r="A15280" t="n">
        <v>14391028</v>
      </c>
      <c r="B15280" t="n">
        <v>58823</v>
      </c>
      <c r="C15280" t="inlineStr">
        <is>
          <t>1439/10/28</t>
        </is>
      </c>
    </row>
    <row r="15281">
      <c r="A15281" t="n">
        <v>14391029</v>
      </c>
      <c r="B15281" t="n">
        <v>58824</v>
      </c>
      <c r="C15281" t="inlineStr">
        <is>
          <t>1439/10/29</t>
        </is>
      </c>
    </row>
    <row r="15282">
      <c r="A15282" t="n">
        <v>14391030</v>
      </c>
      <c r="B15282" t="n">
        <v>58825</v>
      </c>
      <c r="C15282" t="inlineStr">
        <is>
          <t>1439/10/30</t>
        </is>
      </c>
    </row>
    <row r="15283">
      <c r="A15283" t="n">
        <v>14391101</v>
      </c>
      <c r="B15283" t="n">
        <v>58826</v>
      </c>
      <c r="C15283" t="inlineStr">
        <is>
          <t>1439/11/01</t>
        </is>
      </c>
    </row>
    <row r="15284">
      <c r="A15284" t="n">
        <v>14391102</v>
      </c>
      <c r="B15284" t="n">
        <v>58827</v>
      </c>
      <c r="C15284" t="inlineStr">
        <is>
          <t>1439/11/02</t>
        </is>
      </c>
    </row>
    <row r="15285">
      <c r="A15285" t="n">
        <v>14391103</v>
      </c>
      <c r="B15285" t="n">
        <v>58828</v>
      </c>
      <c r="C15285" t="inlineStr">
        <is>
          <t>1439/11/03</t>
        </is>
      </c>
    </row>
    <row r="15286">
      <c r="A15286" t="n">
        <v>14391104</v>
      </c>
      <c r="B15286" t="n">
        <v>58829</v>
      </c>
      <c r="C15286" t="inlineStr">
        <is>
          <t>1439/11/04</t>
        </is>
      </c>
    </row>
    <row r="15287">
      <c r="A15287" t="n">
        <v>14391105</v>
      </c>
      <c r="B15287" t="n">
        <v>58830</v>
      </c>
      <c r="C15287" t="inlineStr">
        <is>
          <t>1439/11/05</t>
        </is>
      </c>
    </row>
    <row r="15288">
      <c r="A15288" t="n">
        <v>14391106</v>
      </c>
      <c r="B15288" t="n">
        <v>58831</v>
      </c>
      <c r="C15288" t="inlineStr">
        <is>
          <t>1439/11/06</t>
        </is>
      </c>
    </row>
    <row r="15289">
      <c r="A15289" t="n">
        <v>14391107</v>
      </c>
      <c r="B15289" t="n">
        <v>58832</v>
      </c>
      <c r="C15289" t="inlineStr">
        <is>
          <t>1439/11/07</t>
        </is>
      </c>
    </row>
    <row r="15290">
      <c r="A15290" t="n">
        <v>14391108</v>
      </c>
      <c r="B15290" t="n">
        <v>58833</v>
      </c>
      <c r="C15290" t="inlineStr">
        <is>
          <t>1439/11/08</t>
        </is>
      </c>
    </row>
    <row r="15291">
      <c r="A15291" t="n">
        <v>14391109</v>
      </c>
      <c r="B15291" t="n">
        <v>58834</v>
      </c>
      <c r="C15291" t="inlineStr">
        <is>
          <t>1439/11/09</t>
        </is>
      </c>
    </row>
    <row r="15292">
      <c r="A15292" t="n">
        <v>14391110</v>
      </c>
      <c r="B15292" t="n">
        <v>58835</v>
      </c>
      <c r="C15292" t="inlineStr">
        <is>
          <t>1439/11/10</t>
        </is>
      </c>
    </row>
    <row r="15293">
      <c r="A15293" t="n">
        <v>14391111</v>
      </c>
      <c r="B15293" t="n">
        <v>58836</v>
      </c>
      <c r="C15293" t="inlineStr">
        <is>
          <t>1439/11/11</t>
        </is>
      </c>
    </row>
    <row r="15294">
      <c r="A15294" t="n">
        <v>14391112</v>
      </c>
      <c r="B15294" t="n">
        <v>58837</v>
      </c>
      <c r="C15294" t="inlineStr">
        <is>
          <t>1439/11/12</t>
        </is>
      </c>
    </row>
    <row r="15295">
      <c r="A15295" t="n">
        <v>14391113</v>
      </c>
      <c r="B15295" t="n">
        <v>58838</v>
      </c>
      <c r="C15295" t="inlineStr">
        <is>
          <t>1439/11/13</t>
        </is>
      </c>
    </row>
    <row r="15296">
      <c r="A15296" t="n">
        <v>14391114</v>
      </c>
      <c r="B15296" t="n">
        <v>58839</v>
      </c>
      <c r="C15296" t="inlineStr">
        <is>
          <t>1439/11/14</t>
        </is>
      </c>
    </row>
    <row r="15297">
      <c r="A15297" t="n">
        <v>14391115</v>
      </c>
      <c r="B15297" t="n">
        <v>58840</v>
      </c>
      <c r="C15297" t="inlineStr">
        <is>
          <t>1439/11/15</t>
        </is>
      </c>
    </row>
    <row r="15298">
      <c r="A15298" t="n">
        <v>14391116</v>
      </c>
      <c r="B15298" t="n">
        <v>58841</v>
      </c>
      <c r="C15298" t="inlineStr">
        <is>
          <t>1439/11/16</t>
        </is>
      </c>
    </row>
    <row r="15299">
      <c r="A15299" t="n">
        <v>14391117</v>
      </c>
      <c r="B15299" t="n">
        <v>58842</v>
      </c>
      <c r="C15299" t="inlineStr">
        <is>
          <t>1439/11/17</t>
        </is>
      </c>
    </row>
    <row r="15300">
      <c r="A15300" t="n">
        <v>14391118</v>
      </c>
      <c r="B15300" t="n">
        <v>58843</v>
      </c>
      <c r="C15300" t="inlineStr">
        <is>
          <t>1439/11/18</t>
        </is>
      </c>
    </row>
    <row r="15301">
      <c r="A15301" t="n">
        <v>14391119</v>
      </c>
      <c r="B15301" t="n">
        <v>58844</v>
      </c>
      <c r="C15301" t="inlineStr">
        <is>
          <t>1439/11/19</t>
        </is>
      </c>
    </row>
    <row r="15302">
      <c r="A15302" t="n">
        <v>14391120</v>
      </c>
      <c r="B15302" t="n">
        <v>58845</v>
      </c>
      <c r="C15302" t="inlineStr">
        <is>
          <t>1439/11/20</t>
        </is>
      </c>
    </row>
    <row r="15303">
      <c r="A15303" t="n">
        <v>14391121</v>
      </c>
      <c r="B15303" t="n">
        <v>58846</v>
      </c>
      <c r="C15303" t="inlineStr">
        <is>
          <t>1439/11/21</t>
        </is>
      </c>
    </row>
    <row r="15304">
      <c r="A15304" t="n">
        <v>14391122</v>
      </c>
      <c r="B15304" t="n">
        <v>58847</v>
      </c>
      <c r="C15304" t="inlineStr">
        <is>
          <t>1439/11/22</t>
        </is>
      </c>
    </row>
    <row r="15305">
      <c r="A15305" t="n">
        <v>14391123</v>
      </c>
      <c r="B15305" t="n">
        <v>58848</v>
      </c>
      <c r="C15305" t="inlineStr">
        <is>
          <t>1439/11/23</t>
        </is>
      </c>
    </row>
    <row r="15306">
      <c r="A15306" t="n">
        <v>14391124</v>
      </c>
      <c r="B15306" t="n">
        <v>58849</v>
      </c>
      <c r="C15306" t="inlineStr">
        <is>
          <t>1439/11/24</t>
        </is>
      </c>
    </row>
    <row r="15307">
      <c r="A15307" t="n">
        <v>14391125</v>
      </c>
      <c r="B15307" t="n">
        <v>58850</v>
      </c>
      <c r="C15307" t="inlineStr">
        <is>
          <t>1439/11/25</t>
        </is>
      </c>
    </row>
    <row r="15308">
      <c r="A15308" t="n">
        <v>14391126</v>
      </c>
      <c r="B15308" t="n">
        <v>58851</v>
      </c>
      <c r="C15308" t="inlineStr">
        <is>
          <t>1439/11/26</t>
        </is>
      </c>
    </row>
    <row r="15309">
      <c r="A15309" t="n">
        <v>14391127</v>
      </c>
      <c r="B15309" t="n">
        <v>58852</v>
      </c>
      <c r="C15309" t="inlineStr">
        <is>
          <t>1439/11/27</t>
        </is>
      </c>
    </row>
    <row r="15310">
      <c r="A15310" t="n">
        <v>14391128</v>
      </c>
      <c r="B15310" t="n">
        <v>58853</v>
      </c>
      <c r="C15310" t="inlineStr">
        <is>
          <t>1439/11/28</t>
        </is>
      </c>
    </row>
    <row r="15311">
      <c r="A15311" t="n">
        <v>14391129</v>
      </c>
      <c r="B15311" t="n">
        <v>58854</v>
      </c>
      <c r="C15311" t="inlineStr">
        <is>
          <t>1439/11/29</t>
        </is>
      </c>
    </row>
    <row r="15312">
      <c r="A15312" t="n">
        <v>14391130</v>
      </c>
      <c r="B15312" t="n">
        <v>58855</v>
      </c>
      <c r="C15312" t="inlineStr">
        <is>
          <t>1439/11/30</t>
        </is>
      </c>
    </row>
    <row r="15313">
      <c r="A15313" t="n">
        <v>14391201</v>
      </c>
      <c r="B15313" t="n">
        <v>58856</v>
      </c>
      <c r="C15313" t="inlineStr">
        <is>
          <t>1439/12/01</t>
        </is>
      </c>
    </row>
    <row r="15314">
      <c r="A15314" t="n">
        <v>14391202</v>
      </c>
      <c r="B15314" t="n">
        <v>58857</v>
      </c>
      <c r="C15314" t="inlineStr">
        <is>
          <t>1439/12/02</t>
        </is>
      </c>
    </row>
    <row r="15315">
      <c r="A15315" t="n">
        <v>14391203</v>
      </c>
      <c r="B15315" t="n">
        <v>58858</v>
      </c>
      <c r="C15315" t="inlineStr">
        <is>
          <t>1439/12/03</t>
        </is>
      </c>
    </row>
    <row r="15316">
      <c r="A15316" t="n">
        <v>14391204</v>
      </c>
      <c r="B15316" t="n">
        <v>58859</v>
      </c>
      <c r="C15316" t="inlineStr">
        <is>
          <t>1439/12/04</t>
        </is>
      </c>
    </row>
    <row r="15317">
      <c r="A15317" t="n">
        <v>14391205</v>
      </c>
      <c r="B15317" t="n">
        <v>58860</v>
      </c>
      <c r="C15317" t="inlineStr">
        <is>
          <t>1439/12/05</t>
        </is>
      </c>
    </row>
    <row r="15318">
      <c r="A15318" t="n">
        <v>14391206</v>
      </c>
      <c r="B15318" t="n">
        <v>58861</v>
      </c>
      <c r="C15318" t="inlineStr">
        <is>
          <t>1439/12/06</t>
        </is>
      </c>
    </row>
    <row r="15319">
      <c r="A15319" t="n">
        <v>14391207</v>
      </c>
      <c r="B15319" t="n">
        <v>58862</v>
      </c>
      <c r="C15319" t="inlineStr">
        <is>
          <t>1439/12/07</t>
        </is>
      </c>
    </row>
    <row r="15320">
      <c r="A15320" t="n">
        <v>14391208</v>
      </c>
      <c r="B15320" t="n">
        <v>58863</v>
      </c>
      <c r="C15320" t="inlineStr">
        <is>
          <t>1439/12/08</t>
        </is>
      </c>
    </row>
    <row r="15321">
      <c r="A15321" t="n">
        <v>14391209</v>
      </c>
      <c r="B15321" t="n">
        <v>58864</v>
      </c>
      <c r="C15321" t="inlineStr">
        <is>
          <t>1439/12/09</t>
        </is>
      </c>
    </row>
    <row r="15322">
      <c r="A15322" t="n">
        <v>14391210</v>
      </c>
      <c r="B15322" t="n">
        <v>58865</v>
      </c>
      <c r="C15322" t="inlineStr">
        <is>
          <t>1439/12/10</t>
        </is>
      </c>
    </row>
    <row r="15323">
      <c r="A15323" t="n">
        <v>14391211</v>
      </c>
      <c r="B15323" t="n">
        <v>58866</v>
      </c>
      <c r="C15323" t="inlineStr">
        <is>
          <t>1439/12/11</t>
        </is>
      </c>
    </row>
    <row r="15324">
      <c r="A15324" t="n">
        <v>14391212</v>
      </c>
      <c r="B15324" t="n">
        <v>58867</v>
      </c>
      <c r="C15324" t="inlineStr">
        <is>
          <t>1439/12/12</t>
        </is>
      </c>
    </row>
    <row r="15325">
      <c r="A15325" t="n">
        <v>14391213</v>
      </c>
      <c r="B15325" t="n">
        <v>58868</v>
      </c>
      <c r="C15325" t="inlineStr">
        <is>
          <t>1439/12/13</t>
        </is>
      </c>
    </row>
    <row r="15326">
      <c r="A15326" t="n">
        <v>14391214</v>
      </c>
      <c r="B15326" t="n">
        <v>58869</v>
      </c>
      <c r="C15326" t="inlineStr">
        <is>
          <t>1439/12/14</t>
        </is>
      </c>
    </row>
    <row r="15327">
      <c r="A15327" t="n">
        <v>14391215</v>
      </c>
      <c r="B15327" t="n">
        <v>58870</v>
      </c>
      <c r="C15327" t="inlineStr">
        <is>
          <t>1439/12/15</t>
        </is>
      </c>
    </row>
    <row r="15328">
      <c r="A15328" t="n">
        <v>14391216</v>
      </c>
      <c r="B15328" t="n">
        <v>58871</v>
      </c>
      <c r="C15328" t="inlineStr">
        <is>
          <t>1439/12/16</t>
        </is>
      </c>
    </row>
    <row r="15329">
      <c r="A15329" t="n">
        <v>14391217</v>
      </c>
      <c r="B15329" t="n">
        <v>58872</v>
      </c>
      <c r="C15329" t="inlineStr">
        <is>
          <t>1439/12/17</t>
        </is>
      </c>
    </row>
    <row r="15330">
      <c r="A15330" t="n">
        <v>14391218</v>
      </c>
      <c r="B15330" t="n">
        <v>58873</v>
      </c>
      <c r="C15330" t="inlineStr">
        <is>
          <t>1439/12/18</t>
        </is>
      </c>
    </row>
    <row r="15331">
      <c r="A15331" t="n">
        <v>14391219</v>
      </c>
      <c r="B15331" t="n">
        <v>58874</v>
      </c>
      <c r="C15331" t="inlineStr">
        <is>
          <t>1439/12/19</t>
        </is>
      </c>
    </row>
    <row r="15332">
      <c r="A15332" t="n">
        <v>14391220</v>
      </c>
      <c r="B15332" t="n">
        <v>58875</v>
      </c>
      <c r="C15332" t="inlineStr">
        <is>
          <t>1439/12/20</t>
        </is>
      </c>
    </row>
    <row r="15333">
      <c r="A15333" t="n">
        <v>14391221</v>
      </c>
      <c r="B15333" t="n">
        <v>58876</v>
      </c>
      <c r="C15333" t="inlineStr">
        <is>
          <t>1439/12/21</t>
        </is>
      </c>
    </row>
    <row r="15334">
      <c r="A15334" t="n">
        <v>14391222</v>
      </c>
      <c r="B15334" t="n">
        <v>58877</v>
      </c>
      <c r="C15334" t="inlineStr">
        <is>
          <t>1439/12/22</t>
        </is>
      </c>
    </row>
    <row r="15335">
      <c r="A15335" t="n">
        <v>14391223</v>
      </c>
      <c r="B15335" t="n">
        <v>58878</v>
      </c>
      <c r="C15335" t="inlineStr">
        <is>
          <t>1439/12/23</t>
        </is>
      </c>
    </row>
    <row r="15336">
      <c r="A15336" t="n">
        <v>14391224</v>
      </c>
      <c r="B15336" t="n">
        <v>58879</v>
      </c>
      <c r="C15336" t="inlineStr">
        <is>
          <t>1439/12/24</t>
        </is>
      </c>
    </row>
    <row r="15337">
      <c r="A15337" t="n">
        <v>14391225</v>
      </c>
      <c r="B15337" t="n">
        <v>58880</v>
      </c>
      <c r="C15337" t="inlineStr">
        <is>
          <t>1439/12/25</t>
        </is>
      </c>
    </row>
    <row r="15338">
      <c r="A15338" t="n">
        <v>14391226</v>
      </c>
      <c r="B15338" t="n">
        <v>58881</v>
      </c>
      <c r="C15338" t="inlineStr">
        <is>
          <t>1439/12/26</t>
        </is>
      </c>
    </row>
    <row r="15339">
      <c r="A15339" t="n">
        <v>14391227</v>
      </c>
      <c r="B15339" t="n">
        <v>58882</v>
      </c>
      <c r="C15339" t="inlineStr">
        <is>
          <t>1439/12/27</t>
        </is>
      </c>
    </row>
    <row r="15340">
      <c r="A15340" t="n">
        <v>14391228</v>
      </c>
      <c r="B15340" t="n">
        <v>58883</v>
      </c>
      <c r="C15340" t="inlineStr">
        <is>
          <t>1439/12/28</t>
        </is>
      </c>
    </row>
    <row r="15341">
      <c r="A15341" t="n">
        <v>14391229</v>
      </c>
      <c r="B15341" t="n">
        <v>58884</v>
      </c>
      <c r="C15341" t="inlineStr">
        <is>
          <t>1439/12/29</t>
        </is>
      </c>
    </row>
    <row r="15342">
      <c r="A15342" t="n">
        <v>14400101</v>
      </c>
      <c r="B15342" t="n">
        <v>58885</v>
      </c>
      <c r="C15342" t="inlineStr">
        <is>
          <t>1440/01/01</t>
        </is>
      </c>
    </row>
    <row r="15343">
      <c r="A15343" t="n">
        <v>14400102</v>
      </c>
      <c r="B15343" t="n">
        <v>58886</v>
      </c>
      <c r="C15343" t="inlineStr">
        <is>
          <t>1440/01/02</t>
        </is>
      </c>
    </row>
    <row r="15344">
      <c r="A15344" t="n">
        <v>14400103</v>
      </c>
      <c r="B15344" t="n">
        <v>58887</v>
      </c>
      <c r="C15344" t="inlineStr">
        <is>
          <t>1440/01/03</t>
        </is>
      </c>
    </row>
    <row r="15345">
      <c r="A15345" t="n">
        <v>14400104</v>
      </c>
      <c r="B15345" t="n">
        <v>58888</v>
      </c>
      <c r="C15345" t="inlineStr">
        <is>
          <t>1440/01/04</t>
        </is>
      </c>
    </row>
    <row r="15346">
      <c r="A15346" t="n">
        <v>14400105</v>
      </c>
      <c r="B15346" t="n">
        <v>58889</v>
      </c>
      <c r="C15346" t="inlineStr">
        <is>
          <t>1440/01/05</t>
        </is>
      </c>
    </row>
    <row r="15347">
      <c r="A15347" t="n">
        <v>14400106</v>
      </c>
      <c r="B15347" t="n">
        <v>58890</v>
      </c>
      <c r="C15347" t="inlineStr">
        <is>
          <t>1440/01/06</t>
        </is>
      </c>
    </row>
    <row r="15348">
      <c r="A15348" t="n">
        <v>14400107</v>
      </c>
      <c r="B15348" t="n">
        <v>58891</v>
      </c>
      <c r="C15348" t="inlineStr">
        <is>
          <t>1440/01/07</t>
        </is>
      </c>
    </row>
    <row r="15349">
      <c r="A15349" t="n">
        <v>14400108</v>
      </c>
      <c r="B15349" t="n">
        <v>58892</v>
      </c>
      <c r="C15349" t="inlineStr">
        <is>
          <t>1440/01/08</t>
        </is>
      </c>
    </row>
    <row r="15350">
      <c r="A15350" t="n">
        <v>14400109</v>
      </c>
      <c r="B15350" t="n">
        <v>58893</v>
      </c>
      <c r="C15350" t="inlineStr">
        <is>
          <t>1440/01/09</t>
        </is>
      </c>
    </row>
    <row r="15351">
      <c r="A15351" t="n">
        <v>14400110</v>
      </c>
      <c r="B15351" t="n">
        <v>58894</v>
      </c>
      <c r="C15351" t="inlineStr">
        <is>
          <t>1440/01/10</t>
        </is>
      </c>
    </row>
    <row r="15352">
      <c r="A15352" t="n">
        <v>14400111</v>
      </c>
      <c r="B15352" t="n">
        <v>58895</v>
      </c>
      <c r="C15352" t="inlineStr">
        <is>
          <t>1440/01/11</t>
        </is>
      </c>
    </row>
    <row r="15353">
      <c r="A15353" t="n">
        <v>14400112</v>
      </c>
      <c r="B15353" t="n">
        <v>58896</v>
      </c>
      <c r="C15353" t="inlineStr">
        <is>
          <t>1440/01/12</t>
        </is>
      </c>
    </row>
    <row r="15354">
      <c r="A15354" t="n">
        <v>14400113</v>
      </c>
      <c r="B15354" t="n">
        <v>58897</v>
      </c>
      <c r="C15354" t="inlineStr">
        <is>
          <t>1440/01/13</t>
        </is>
      </c>
    </row>
    <row r="15355">
      <c r="A15355" t="n">
        <v>14400114</v>
      </c>
      <c r="B15355" t="n">
        <v>58898</v>
      </c>
      <c r="C15355" t="inlineStr">
        <is>
          <t>1440/01/14</t>
        </is>
      </c>
    </row>
    <row r="15356">
      <c r="A15356" t="n">
        <v>14400115</v>
      </c>
      <c r="B15356" t="n">
        <v>58899</v>
      </c>
      <c r="C15356" t="inlineStr">
        <is>
          <t>1440/01/15</t>
        </is>
      </c>
    </row>
    <row r="15357">
      <c r="A15357" t="n">
        <v>14400116</v>
      </c>
      <c r="B15357" t="n">
        <v>58900</v>
      </c>
      <c r="C15357" t="inlineStr">
        <is>
          <t>1440/01/16</t>
        </is>
      </c>
    </row>
    <row r="15358">
      <c r="A15358" t="n">
        <v>14400117</v>
      </c>
      <c r="B15358" t="n">
        <v>58901</v>
      </c>
      <c r="C15358" t="inlineStr">
        <is>
          <t>1440/01/17</t>
        </is>
      </c>
    </row>
    <row r="15359">
      <c r="A15359" t="n">
        <v>14400118</v>
      </c>
      <c r="B15359" t="n">
        <v>58902</v>
      </c>
      <c r="C15359" t="inlineStr">
        <is>
          <t>1440/01/18</t>
        </is>
      </c>
    </row>
    <row r="15360">
      <c r="A15360" t="n">
        <v>14400119</v>
      </c>
      <c r="B15360" t="n">
        <v>58903</v>
      </c>
      <c r="C15360" t="inlineStr">
        <is>
          <t>1440/01/19</t>
        </is>
      </c>
    </row>
    <row r="15361">
      <c r="A15361" t="n">
        <v>14400120</v>
      </c>
      <c r="B15361" t="n">
        <v>58904</v>
      </c>
      <c r="C15361" t="inlineStr">
        <is>
          <t>1440/01/20</t>
        </is>
      </c>
    </row>
    <row r="15362">
      <c r="A15362" t="n">
        <v>14400121</v>
      </c>
      <c r="B15362" t="n">
        <v>58905</v>
      </c>
      <c r="C15362" t="inlineStr">
        <is>
          <t>1440/01/21</t>
        </is>
      </c>
    </row>
    <row r="15363">
      <c r="A15363" t="n">
        <v>14400122</v>
      </c>
      <c r="B15363" t="n">
        <v>58906</v>
      </c>
      <c r="C15363" t="inlineStr">
        <is>
          <t>1440/01/22</t>
        </is>
      </c>
    </row>
    <row r="15364">
      <c r="A15364" t="n">
        <v>14400123</v>
      </c>
      <c r="B15364" t="n">
        <v>58907</v>
      </c>
      <c r="C15364" t="inlineStr">
        <is>
          <t>1440/01/23</t>
        </is>
      </c>
    </row>
    <row r="15365">
      <c r="A15365" t="n">
        <v>14400124</v>
      </c>
      <c r="B15365" t="n">
        <v>58908</v>
      </c>
      <c r="C15365" t="inlineStr">
        <is>
          <t>1440/01/24</t>
        </is>
      </c>
    </row>
    <row r="15366">
      <c r="A15366" t="n">
        <v>14400125</v>
      </c>
      <c r="B15366" t="n">
        <v>58909</v>
      </c>
      <c r="C15366" t="inlineStr">
        <is>
          <t>1440/01/25</t>
        </is>
      </c>
    </row>
    <row r="15367">
      <c r="A15367" t="n">
        <v>14400126</v>
      </c>
      <c r="B15367" t="n">
        <v>58910</v>
      </c>
      <c r="C15367" t="inlineStr">
        <is>
          <t>1440/01/26</t>
        </is>
      </c>
    </row>
    <row r="15368">
      <c r="A15368" t="n">
        <v>14400127</v>
      </c>
      <c r="B15368" t="n">
        <v>58911</v>
      </c>
      <c r="C15368" t="inlineStr">
        <is>
          <t>1440/01/27</t>
        </is>
      </c>
    </row>
    <row r="15369">
      <c r="A15369" t="n">
        <v>14400128</v>
      </c>
      <c r="B15369" t="n">
        <v>58912</v>
      </c>
      <c r="C15369" t="inlineStr">
        <is>
          <t>1440/01/28</t>
        </is>
      </c>
    </row>
    <row r="15370">
      <c r="A15370" t="n">
        <v>14400129</v>
      </c>
      <c r="B15370" t="n">
        <v>58913</v>
      </c>
      <c r="C15370" t="inlineStr">
        <is>
          <t>1440/01/29</t>
        </is>
      </c>
    </row>
    <row r="15371">
      <c r="A15371" t="n">
        <v>14400130</v>
      </c>
      <c r="B15371" t="n">
        <v>58914</v>
      </c>
      <c r="C15371" t="inlineStr">
        <is>
          <t>1440/01/30</t>
        </is>
      </c>
    </row>
    <row r="15372">
      <c r="A15372" t="n">
        <v>14400131</v>
      </c>
      <c r="B15372" t="n">
        <v>58915</v>
      </c>
      <c r="C15372" t="inlineStr">
        <is>
          <t>1440/01/31</t>
        </is>
      </c>
    </row>
    <row r="15373">
      <c r="A15373" t="n">
        <v>14400201</v>
      </c>
      <c r="B15373" t="n">
        <v>58916</v>
      </c>
      <c r="C15373" t="inlineStr">
        <is>
          <t>1440/02/01</t>
        </is>
      </c>
    </row>
    <row r="15374">
      <c r="A15374" t="n">
        <v>14400202</v>
      </c>
      <c r="B15374" t="n">
        <v>58917</v>
      </c>
      <c r="C15374" t="inlineStr">
        <is>
          <t>1440/02/02</t>
        </is>
      </c>
    </row>
    <row r="15375">
      <c r="A15375" t="n">
        <v>14400203</v>
      </c>
      <c r="B15375" t="n">
        <v>58918</v>
      </c>
      <c r="C15375" t="inlineStr">
        <is>
          <t>1440/02/03</t>
        </is>
      </c>
    </row>
    <row r="15376">
      <c r="A15376" t="n">
        <v>14400204</v>
      </c>
      <c r="B15376" t="n">
        <v>58919</v>
      </c>
      <c r="C15376" t="inlineStr">
        <is>
          <t>1440/02/04</t>
        </is>
      </c>
    </row>
    <row r="15377">
      <c r="A15377" t="n">
        <v>14400205</v>
      </c>
      <c r="B15377" t="n">
        <v>58920</v>
      </c>
      <c r="C15377" t="inlineStr">
        <is>
          <t>1440/02/05</t>
        </is>
      </c>
    </row>
    <row r="15378">
      <c r="A15378" t="n">
        <v>14400206</v>
      </c>
      <c r="B15378" t="n">
        <v>58921</v>
      </c>
      <c r="C15378" t="inlineStr">
        <is>
          <t>1440/02/06</t>
        </is>
      </c>
    </row>
    <row r="15379">
      <c r="A15379" t="n">
        <v>14400207</v>
      </c>
      <c r="B15379" t="n">
        <v>58922</v>
      </c>
      <c r="C15379" t="inlineStr">
        <is>
          <t>1440/02/07</t>
        </is>
      </c>
    </row>
    <row r="15380">
      <c r="A15380" t="n">
        <v>14400208</v>
      </c>
      <c r="B15380" t="n">
        <v>58923</v>
      </c>
      <c r="C15380" t="inlineStr">
        <is>
          <t>1440/02/08</t>
        </is>
      </c>
    </row>
    <row r="15381">
      <c r="A15381" t="n">
        <v>14400209</v>
      </c>
      <c r="B15381" t="n">
        <v>58924</v>
      </c>
      <c r="C15381" t="inlineStr">
        <is>
          <t>1440/02/09</t>
        </is>
      </c>
    </row>
    <row r="15382">
      <c r="A15382" t="n">
        <v>14400210</v>
      </c>
      <c r="B15382" t="n">
        <v>58925</v>
      </c>
      <c r="C15382" t="inlineStr">
        <is>
          <t>1440/02/10</t>
        </is>
      </c>
    </row>
    <row r="15383">
      <c r="A15383" t="n">
        <v>14400211</v>
      </c>
      <c r="B15383" t="n">
        <v>58926</v>
      </c>
      <c r="C15383" t="inlineStr">
        <is>
          <t>1440/02/11</t>
        </is>
      </c>
    </row>
    <row r="15384">
      <c r="A15384" t="n">
        <v>14400212</v>
      </c>
      <c r="B15384" t="n">
        <v>58927</v>
      </c>
      <c r="C15384" t="inlineStr">
        <is>
          <t>1440/02/12</t>
        </is>
      </c>
    </row>
    <row r="15385">
      <c r="A15385" t="n">
        <v>14400213</v>
      </c>
      <c r="B15385" t="n">
        <v>58928</v>
      </c>
      <c r="C15385" t="inlineStr">
        <is>
          <t>1440/02/13</t>
        </is>
      </c>
    </row>
    <row r="15386">
      <c r="A15386" t="n">
        <v>14400214</v>
      </c>
      <c r="B15386" t="n">
        <v>58929</v>
      </c>
      <c r="C15386" t="inlineStr">
        <is>
          <t>1440/02/14</t>
        </is>
      </c>
    </row>
    <row r="15387">
      <c r="A15387" t="n">
        <v>14400215</v>
      </c>
      <c r="B15387" t="n">
        <v>58930</v>
      </c>
      <c r="C15387" t="inlineStr">
        <is>
          <t>1440/02/15</t>
        </is>
      </c>
    </row>
    <row r="15388">
      <c r="A15388" t="n">
        <v>14400216</v>
      </c>
      <c r="B15388" t="n">
        <v>58931</v>
      </c>
      <c r="C15388" t="inlineStr">
        <is>
          <t>1440/02/16</t>
        </is>
      </c>
    </row>
    <row r="15389">
      <c r="A15389" t="n">
        <v>14400217</v>
      </c>
      <c r="B15389" t="n">
        <v>58932</v>
      </c>
      <c r="C15389" t="inlineStr">
        <is>
          <t>1440/02/17</t>
        </is>
      </c>
    </row>
    <row r="15390">
      <c r="A15390" t="n">
        <v>14400218</v>
      </c>
      <c r="B15390" t="n">
        <v>58933</v>
      </c>
      <c r="C15390" t="inlineStr">
        <is>
          <t>1440/02/18</t>
        </is>
      </c>
    </row>
    <row r="15391">
      <c r="A15391" t="n">
        <v>14400219</v>
      </c>
      <c r="B15391" t="n">
        <v>58934</v>
      </c>
      <c r="C15391" t="inlineStr">
        <is>
          <t>1440/02/19</t>
        </is>
      </c>
    </row>
    <row r="15392">
      <c r="A15392" t="n">
        <v>14400220</v>
      </c>
      <c r="B15392" t="n">
        <v>58935</v>
      </c>
      <c r="C15392" t="inlineStr">
        <is>
          <t>1440/02/20</t>
        </is>
      </c>
    </row>
    <row r="15393">
      <c r="A15393" t="n">
        <v>14400221</v>
      </c>
      <c r="B15393" t="n">
        <v>58936</v>
      </c>
      <c r="C15393" t="inlineStr">
        <is>
          <t>1440/02/21</t>
        </is>
      </c>
    </row>
    <row r="15394">
      <c r="A15394" t="n">
        <v>14400222</v>
      </c>
      <c r="B15394" t="n">
        <v>58937</v>
      </c>
      <c r="C15394" t="inlineStr">
        <is>
          <t>1440/02/22</t>
        </is>
      </c>
    </row>
    <row r="15395">
      <c r="A15395" t="n">
        <v>14400223</v>
      </c>
      <c r="B15395" t="n">
        <v>58938</v>
      </c>
      <c r="C15395" t="inlineStr">
        <is>
          <t>1440/02/23</t>
        </is>
      </c>
    </row>
    <row r="15396">
      <c r="A15396" t="n">
        <v>14400224</v>
      </c>
      <c r="B15396" t="n">
        <v>58939</v>
      </c>
      <c r="C15396" t="inlineStr">
        <is>
          <t>1440/02/24</t>
        </is>
      </c>
    </row>
    <row r="15397">
      <c r="A15397" t="n">
        <v>14400225</v>
      </c>
      <c r="B15397" t="n">
        <v>58940</v>
      </c>
      <c r="C15397" t="inlineStr">
        <is>
          <t>1440/02/25</t>
        </is>
      </c>
    </row>
    <row r="15398">
      <c r="A15398" t="n">
        <v>14400226</v>
      </c>
      <c r="B15398" t="n">
        <v>58941</v>
      </c>
      <c r="C15398" t="inlineStr">
        <is>
          <t>1440/02/26</t>
        </is>
      </c>
    </row>
    <row r="15399">
      <c r="A15399" t="n">
        <v>14400227</v>
      </c>
      <c r="B15399" t="n">
        <v>58942</v>
      </c>
      <c r="C15399" t="inlineStr">
        <is>
          <t>1440/02/27</t>
        </is>
      </c>
    </row>
    <row r="15400">
      <c r="A15400" t="n">
        <v>14400228</v>
      </c>
      <c r="B15400" t="n">
        <v>58943</v>
      </c>
      <c r="C15400" t="inlineStr">
        <is>
          <t>1440/02/28</t>
        </is>
      </c>
    </row>
    <row r="15401">
      <c r="A15401" t="n">
        <v>14400229</v>
      </c>
      <c r="B15401" t="n">
        <v>58944</v>
      </c>
      <c r="C15401" t="inlineStr">
        <is>
          <t>1440/02/29</t>
        </is>
      </c>
    </row>
    <row r="15402">
      <c r="A15402" t="n">
        <v>14400230</v>
      </c>
      <c r="B15402" t="n">
        <v>58945</v>
      </c>
      <c r="C15402" t="inlineStr">
        <is>
          <t>1440/02/30</t>
        </is>
      </c>
    </row>
    <row r="15403">
      <c r="A15403" t="n">
        <v>14400231</v>
      </c>
      <c r="B15403" t="n">
        <v>58946</v>
      </c>
      <c r="C15403" t="inlineStr">
        <is>
          <t>1440/02/31</t>
        </is>
      </c>
    </row>
    <row r="15404">
      <c r="A15404" t="n">
        <v>14400301</v>
      </c>
      <c r="B15404" t="n">
        <v>58947</v>
      </c>
      <c r="C15404" t="inlineStr">
        <is>
          <t>1440/03/01</t>
        </is>
      </c>
    </row>
    <row r="15405">
      <c r="A15405" t="n">
        <v>14400302</v>
      </c>
      <c r="B15405" t="n">
        <v>58948</v>
      </c>
      <c r="C15405" t="inlineStr">
        <is>
          <t>1440/03/02</t>
        </is>
      </c>
    </row>
    <row r="15406">
      <c r="A15406" t="n">
        <v>14400303</v>
      </c>
      <c r="B15406" t="n">
        <v>58949</v>
      </c>
      <c r="C15406" t="inlineStr">
        <is>
          <t>1440/03/03</t>
        </is>
      </c>
    </row>
    <row r="15407">
      <c r="A15407" t="n">
        <v>14400304</v>
      </c>
      <c r="B15407" t="n">
        <v>58950</v>
      </c>
      <c r="C15407" t="inlineStr">
        <is>
          <t>1440/03/04</t>
        </is>
      </c>
    </row>
    <row r="15408">
      <c r="A15408" t="n">
        <v>14400305</v>
      </c>
      <c r="B15408" t="n">
        <v>58951</v>
      </c>
      <c r="C15408" t="inlineStr">
        <is>
          <t>1440/03/05</t>
        </is>
      </c>
    </row>
    <row r="15409">
      <c r="A15409" t="n">
        <v>14400306</v>
      </c>
      <c r="B15409" t="n">
        <v>58952</v>
      </c>
      <c r="C15409" t="inlineStr">
        <is>
          <t>1440/03/06</t>
        </is>
      </c>
    </row>
    <row r="15410">
      <c r="A15410" t="n">
        <v>14400307</v>
      </c>
      <c r="B15410" t="n">
        <v>58953</v>
      </c>
      <c r="C15410" t="inlineStr">
        <is>
          <t>1440/03/07</t>
        </is>
      </c>
    </row>
    <row r="15411">
      <c r="A15411" t="n">
        <v>14400308</v>
      </c>
      <c r="B15411" t="n">
        <v>58954</v>
      </c>
      <c r="C15411" t="inlineStr">
        <is>
          <t>1440/03/08</t>
        </is>
      </c>
    </row>
    <row r="15412">
      <c r="A15412" t="n">
        <v>14400309</v>
      </c>
      <c r="B15412" t="n">
        <v>58955</v>
      </c>
      <c r="C15412" t="inlineStr">
        <is>
          <t>1440/03/09</t>
        </is>
      </c>
    </row>
    <row r="15413">
      <c r="A15413" t="n">
        <v>14400310</v>
      </c>
      <c r="B15413" t="n">
        <v>58956</v>
      </c>
      <c r="C15413" t="inlineStr">
        <is>
          <t>1440/03/10</t>
        </is>
      </c>
    </row>
    <row r="15414">
      <c r="A15414" t="n">
        <v>14400311</v>
      </c>
      <c r="B15414" t="n">
        <v>58957</v>
      </c>
      <c r="C15414" t="inlineStr">
        <is>
          <t>1440/03/11</t>
        </is>
      </c>
    </row>
    <row r="15415">
      <c r="A15415" t="n">
        <v>14400312</v>
      </c>
      <c r="B15415" t="n">
        <v>58958</v>
      </c>
      <c r="C15415" t="inlineStr">
        <is>
          <t>1440/03/12</t>
        </is>
      </c>
    </row>
    <row r="15416">
      <c r="A15416" t="n">
        <v>14400313</v>
      </c>
      <c r="B15416" t="n">
        <v>58959</v>
      </c>
      <c r="C15416" t="inlineStr">
        <is>
          <t>1440/03/13</t>
        </is>
      </c>
    </row>
    <row r="15417">
      <c r="A15417" t="n">
        <v>14400314</v>
      </c>
      <c r="B15417" t="n">
        <v>58960</v>
      </c>
      <c r="C15417" t="inlineStr">
        <is>
          <t>1440/03/14</t>
        </is>
      </c>
    </row>
    <row r="15418">
      <c r="A15418" t="n">
        <v>14400315</v>
      </c>
      <c r="B15418" t="n">
        <v>58961</v>
      </c>
      <c r="C15418" t="inlineStr">
        <is>
          <t>1440/03/15</t>
        </is>
      </c>
    </row>
    <row r="15419">
      <c r="A15419" t="n">
        <v>14400316</v>
      </c>
      <c r="B15419" t="n">
        <v>58962</v>
      </c>
      <c r="C15419" t="inlineStr">
        <is>
          <t>1440/03/16</t>
        </is>
      </c>
    </row>
    <row r="15420">
      <c r="A15420" t="n">
        <v>14400317</v>
      </c>
      <c r="B15420" t="n">
        <v>58963</v>
      </c>
      <c r="C15420" t="inlineStr">
        <is>
          <t>1440/03/17</t>
        </is>
      </c>
    </row>
    <row r="15421">
      <c r="A15421" t="n">
        <v>14400318</v>
      </c>
      <c r="B15421" t="n">
        <v>58964</v>
      </c>
      <c r="C15421" t="inlineStr">
        <is>
          <t>1440/03/18</t>
        </is>
      </c>
    </row>
    <row r="15422">
      <c r="A15422" t="n">
        <v>14400319</v>
      </c>
      <c r="B15422" t="n">
        <v>58965</v>
      </c>
      <c r="C15422" t="inlineStr">
        <is>
          <t>1440/03/19</t>
        </is>
      </c>
    </row>
    <row r="15423">
      <c r="A15423" t="n">
        <v>14400320</v>
      </c>
      <c r="B15423" t="n">
        <v>58966</v>
      </c>
      <c r="C15423" t="inlineStr">
        <is>
          <t>1440/03/20</t>
        </is>
      </c>
    </row>
    <row r="15424">
      <c r="A15424" t="n">
        <v>14400321</v>
      </c>
      <c r="B15424" t="n">
        <v>58967</v>
      </c>
      <c r="C15424" t="inlineStr">
        <is>
          <t>1440/03/21</t>
        </is>
      </c>
    </row>
    <row r="15425">
      <c r="A15425" t="n">
        <v>14400322</v>
      </c>
      <c r="B15425" t="n">
        <v>58968</v>
      </c>
      <c r="C15425" t="inlineStr">
        <is>
          <t>1440/03/22</t>
        </is>
      </c>
    </row>
    <row r="15426">
      <c r="A15426" t="n">
        <v>14400323</v>
      </c>
      <c r="B15426" t="n">
        <v>58969</v>
      </c>
      <c r="C15426" t="inlineStr">
        <is>
          <t>1440/03/23</t>
        </is>
      </c>
    </row>
    <row r="15427">
      <c r="A15427" t="n">
        <v>14400324</v>
      </c>
      <c r="B15427" t="n">
        <v>58970</v>
      </c>
      <c r="C15427" t="inlineStr">
        <is>
          <t>1440/03/24</t>
        </is>
      </c>
    </row>
    <row r="15428">
      <c r="A15428" t="n">
        <v>14400325</v>
      </c>
      <c r="B15428" t="n">
        <v>58971</v>
      </c>
      <c r="C15428" t="inlineStr">
        <is>
          <t>1440/03/25</t>
        </is>
      </c>
    </row>
    <row r="15429">
      <c r="A15429" t="n">
        <v>14400326</v>
      </c>
      <c r="B15429" t="n">
        <v>58972</v>
      </c>
      <c r="C15429" t="inlineStr">
        <is>
          <t>1440/03/26</t>
        </is>
      </c>
    </row>
    <row r="15430">
      <c r="A15430" t="n">
        <v>14400327</v>
      </c>
      <c r="B15430" t="n">
        <v>58973</v>
      </c>
      <c r="C15430" t="inlineStr">
        <is>
          <t>1440/03/27</t>
        </is>
      </c>
    </row>
    <row r="15431">
      <c r="A15431" t="n">
        <v>14400328</v>
      </c>
      <c r="B15431" t="n">
        <v>58974</v>
      </c>
      <c r="C15431" t="inlineStr">
        <is>
          <t>1440/03/28</t>
        </is>
      </c>
    </row>
    <row r="15432">
      <c r="A15432" t="n">
        <v>14400329</v>
      </c>
      <c r="B15432" t="n">
        <v>58975</v>
      </c>
      <c r="C15432" t="inlineStr">
        <is>
          <t>1440/03/29</t>
        </is>
      </c>
    </row>
    <row r="15433">
      <c r="A15433" t="n">
        <v>14400330</v>
      </c>
      <c r="B15433" t="n">
        <v>58976</v>
      </c>
      <c r="C15433" t="inlineStr">
        <is>
          <t>1440/03/30</t>
        </is>
      </c>
    </row>
    <row r="15434">
      <c r="A15434" t="n">
        <v>14400331</v>
      </c>
      <c r="B15434" t="n">
        <v>58977</v>
      </c>
      <c r="C15434" t="inlineStr">
        <is>
          <t>1440/03/31</t>
        </is>
      </c>
    </row>
    <row r="15435">
      <c r="A15435" t="n">
        <v>14400401</v>
      </c>
      <c r="B15435" t="n">
        <v>58978</v>
      </c>
      <c r="C15435" t="inlineStr">
        <is>
          <t>1440/04/01</t>
        </is>
      </c>
    </row>
    <row r="15436">
      <c r="A15436" t="n">
        <v>14400402</v>
      </c>
      <c r="B15436" t="n">
        <v>58979</v>
      </c>
      <c r="C15436" t="inlineStr">
        <is>
          <t>1440/04/02</t>
        </is>
      </c>
    </row>
    <row r="15437">
      <c r="A15437" t="n">
        <v>14400403</v>
      </c>
      <c r="B15437" t="n">
        <v>58980</v>
      </c>
      <c r="C15437" t="inlineStr">
        <is>
          <t>1440/04/03</t>
        </is>
      </c>
    </row>
    <row r="15438">
      <c r="A15438" t="n">
        <v>14400404</v>
      </c>
      <c r="B15438" t="n">
        <v>58981</v>
      </c>
      <c r="C15438" t="inlineStr">
        <is>
          <t>1440/04/04</t>
        </is>
      </c>
    </row>
    <row r="15439">
      <c r="A15439" t="n">
        <v>14400405</v>
      </c>
      <c r="B15439" t="n">
        <v>58982</v>
      </c>
      <c r="C15439" t="inlineStr">
        <is>
          <t>1440/04/05</t>
        </is>
      </c>
    </row>
    <row r="15440">
      <c r="A15440" t="n">
        <v>14400406</v>
      </c>
      <c r="B15440" t="n">
        <v>58983</v>
      </c>
      <c r="C15440" t="inlineStr">
        <is>
          <t>1440/04/06</t>
        </is>
      </c>
    </row>
    <row r="15441">
      <c r="A15441" t="n">
        <v>14400407</v>
      </c>
      <c r="B15441" t="n">
        <v>58984</v>
      </c>
      <c r="C15441" t="inlineStr">
        <is>
          <t>1440/04/07</t>
        </is>
      </c>
    </row>
    <row r="15442">
      <c r="A15442" t="n">
        <v>14400408</v>
      </c>
      <c r="B15442" t="n">
        <v>58985</v>
      </c>
      <c r="C15442" t="inlineStr">
        <is>
          <t>1440/04/08</t>
        </is>
      </c>
    </row>
    <row r="15443">
      <c r="A15443" t="n">
        <v>14400409</v>
      </c>
      <c r="B15443" t="n">
        <v>58986</v>
      </c>
      <c r="C15443" t="inlineStr">
        <is>
          <t>1440/04/09</t>
        </is>
      </c>
    </row>
    <row r="15444">
      <c r="A15444" t="n">
        <v>14400410</v>
      </c>
      <c r="B15444" t="n">
        <v>58987</v>
      </c>
      <c r="C15444" t="inlineStr">
        <is>
          <t>1440/04/10</t>
        </is>
      </c>
    </row>
    <row r="15445">
      <c r="A15445" t="n">
        <v>14400411</v>
      </c>
      <c r="B15445" t="n">
        <v>58988</v>
      </c>
      <c r="C15445" t="inlineStr">
        <is>
          <t>1440/04/11</t>
        </is>
      </c>
    </row>
    <row r="15446">
      <c r="A15446" t="n">
        <v>14400412</v>
      </c>
      <c r="B15446" t="n">
        <v>58989</v>
      </c>
      <c r="C15446" t="inlineStr">
        <is>
          <t>1440/04/12</t>
        </is>
      </c>
    </row>
    <row r="15447">
      <c r="A15447" t="n">
        <v>14400413</v>
      </c>
      <c r="B15447" t="n">
        <v>58990</v>
      </c>
      <c r="C15447" t="inlineStr">
        <is>
          <t>1440/04/13</t>
        </is>
      </c>
    </row>
    <row r="15448">
      <c r="A15448" t="n">
        <v>14400414</v>
      </c>
      <c r="B15448" t="n">
        <v>58991</v>
      </c>
      <c r="C15448" t="inlineStr">
        <is>
          <t>1440/04/14</t>
        </is>
      </c>
    </row>
    <row r="15449">
      <c r="A15449" t="n">
        <v>14400415</v>
      </c>
      <c r="B15449" t="n">
        <v>58992</v>
      </c>
      <c r="C15449" t="inlineStr">
        <is>
          <t>1440/04/15</t>
        </is>
      </c>
    </row>
    <row r="15450">
      <c r="A15450" t="n">
        <v>14400416</v>
      </c>
      <c r="B15450" t="n">
        <v>58993</v>
      </c>
      <c r="C15450" t="inlineStr">
        <is>
          <t>1440/04/16</t>
        </is>
      </c>
    </row>
    <row r="15451">
      <c r="A15451" t="n">
        <v>14400417</v>
      </c>
      <c r="B15451" t="n">
        <v>58994</v>
      </c>
      <c r="C15451" t="inlineStr">
        <is>
          <t>1440/04/17</t>
        </is>
      </c>
    </row>
    <row r="15452">
      <c r="A15452" t="n">
        <v>14400418</v>
      </c>
      <c r="B15452" t="n">
        <v>58995</v>
      </c>
      <c r="C15452" t="inlineStr">
        <is>
          <t>1440/04/18</t>
        </is>
      </c>
    </row>
    <row r="15453">
      <c r="A15453" t="n">
        <v>14400419</v>
      </c>
      <c r="B15453" t="n">
        <v>58996</v>
      </c>
      <c r="C15453" t="inlineStr">
        <is>
          <t>1440/04/19</t>
        </is>
      </c>
    </row>
    <row r="15454">
      <c r="A15454" t="n">
        <v>14400420</v>
      </c>
      <c r="B15454" t="n">
        <v>58997</v>
      </c>
      <c r="C15454" t="inlineStr">
        <is>
          <t>1440/04/20</t>
        </is>
      </c>
    </row>
    <row r="15455">
      <c r="A15455" t="n">
        <v>14400421</v>
      </c>
      <c r="B15455" t="n">
        <v>58998</v>
      </c>
      <c r="C15455" t="inlineStr">
        <is>
          <t>1440/04/21</t>
        </is>
      </c>
    </row>
    <row r="15456">
      <c r="A15456" t="n">
        <v>14400422</v>
      </c>
      <c r="B15456" t="n">
        <v>58999</v>
      </c>
      <c r="C15456" t="inlineStr">
        <is>
          <t>1440/04/22</t>
        </is>
      </c>
    </row>
    <row r="15457">
      <c r="A15457" t="n">
        <v>14400423</v>
      </c>
      <c r="B15457" t="n">
        <v>59000</v>
      </c>
      <c r="C15457" t="inlineStr">
        <is>
          <t>1440/04/23</t>
        </is>
      </c>
    </row>
    <row r="15458">
      <c r="A15458" t="n">
        <v>14400424</v>
      </c>
      <c r="B15458" t="n">
        <v>59001</v>
      </c>
      <c r="C15458" t="inlineStr">
        <is>
          <t>1440/04/24</t>
        </is>
      </c>
    </row>
    <row r="15459">
      <c r="A15459" t="n">
        <v>14400425</v>
      </c>
      <c r="B15459" t="n">
        <v>59002</v>
      </c>
      <c r="C15459" t="inlineStr">
        <is>
          <t>1440/04/25</t>
        </is>
      </c>
    </row>
    <row r="15460">
      <c r="A15460" t="n">
        <v>14400426</v>
      </c>
      <c r="B15460" t="n">
        <v>59003</v>
      </c>
      <c r="C15460" t="inlineStr">
        <is>
          <t>1440/04/26</t>
        </is>
      </c>
    </row>
    <row r="15461">
      <c r="A15461" t="n">
        <v>14400427</v>
      </c>
      <c r="B15461" t="n">
        <v>59004</v>
      </c>
      <c r="C15461" t="inlineStr">
        <is>
          <t>1440/04/27</t>
        </is>
      </c>
    </row>
    <row r="15462">
      <c r="A15462" t="n">
        <v>14400428</v>
      </c>
      <c r="B15462" t="n">
        <v>59005</v>
      </c>
      <c r="C15462" t="inlineStr">
        <is>
          <t>1440/04/28</t>
        </is>
      </c>
    </row>
    <row r="15463">
      <c r="A15463" t="n">
        <v>14400429</v>
      </c>
      <c r="B15463" t="n">
        <v>59006</v>
      </c>
      <c r="C15463" t="inlineStr">
        <is>
          <t>1440/04/29</t>
        </is>
      </c>
    </row>
    <row r="15464">
      <c r="A15464" t="n">
        <v>14400430</v>
      </c>
      <c r="B15464" t="n">
        <v>59007</v>
      </c>
      <c r="C15464" t="inlineStr">
        <is>
          <t>1440/04/30</t>
        </is>
      </c>
    </row>
    <row r="15465">
      <c r="A15465" t="n">
        <v>14400431</v>
      </c>
      <c r="B15465" t="n">
        <v>59008</v>
      </c>
      <c r="C15465" t="inlineStr">
        <is>
          <t>1440/04/31</t>
        </is>
      </c>
    </row>
    <row r="15466">
      <c r="A15466" t="n">
        <v>14400501</v>
      </c>
      <c r="B15466" t="n">
        <v>59009</v>
      </c>
      <c r="C15466" t="inlineStr">
        <is>
          <t>1440/05/01</t>
        </is>
      </c>
    </row>
    <row r="15467">
      <c r="A15467" t="n">
        <v>14400502</v>
      </c>
      <c r="B15467" t="n">
        <v>59010</v>
      </c>
      <c r="C15467" t="inlineStr">
        <is>
          <t>1440/05/02</t>
        </is>
      </c>
    </row>
    <row r="15468">
      <c r="A15468" t="n">
        <v>14400503</v>
      </c>
      <c r="B15468" t="n">
        <v>59011</v>
      </c>
      <c r="C15468" t="inlineStr">
        <is>
          <t>1440/05/03</t>
        </is>
      </c>
    </row>
    <row r="15469">
      <c r="A15469" t="n">
        <v>14400504</v>
      </c>
      <c r="B15469" t="n">
        <v>59012</v>
      </c>
      <c r="C15469" t="inlineStr">
        <is>
          <t>1440/05/04</t>
        </is>
      </c>
    </row>
    <row r="15470">
      <c r="A15470" t="n">
        <v>14400505</v>
      </c>
      <c r="B15470" t="n">
        <v>59013</v>
      </c>
      <c r="C15470" t="inlineStr">
        <is>
          <t>1440/05/05</t>
        </is>
      </c>
    </row>
    <row r="15471">
      <c r="A15471" t="n">
        <v>14400506</v>
      </c>
      <c r="B15471" t="n">
        <v>59014</v>
      </c>
      <c r="C15471" t="inlineStr">
        <is>
          <t>1440/05/06</t>
        </is>
      </c>
    </row>
    <row r="15472">
      <c r="A15472" t="n">
        <v>14400507</v>
      </c>
      <c r="B15472" t="n">
        <v>59015</v>
      </c>
      <c r="C15472" t="inlineStr">
        <is>
          <t>1440/05/07</t>
        </is>
      </c>
    </row>
    <row r="15473">
      <c r="A15473" t="n">
        <v>14400508</v>
      </c>
      <c r="B15473" t="n">
        <v>59016</v>
      </c>
      <c r="C15473" t="inlineStr">
        <is>
          <t>1440/05/08</t>
        </is>
      </c>
    </row>
    <row r="15474">
      <c r="A15474" t="n">
        <v>14400509</v>
      </c>
      <c r="B15474" t="n">
        <v>59017</v>
      </c>
      <c r="C15474" t="inlineStr">
        <is>
          <t>1440/05/09</t>
        </is>
      </c>
    </row>
    <row r="15475">
      <c r="A15475" t="n">
        <v>14400510</v>
      </c>
      <c r="B15475" t="n">
        <v>59018</v>
      </c>
      <c r="C15475" t="inlineStr">
        <is>
          <t>1440/05/10</t>
        </is>
      </c>
    </row>
    <row r="15476">
      <c r="A15476" t="n">
        <v>14400511</v>
      </c>
      <c r="B15476" t="n">
        <v>59019</v>
      </c>
      <c r="C15476" t="inlineStr">
        <is>
          <t>1440/05/11</t>
        </is>
      </c>
    </row>
    <row r="15477">
      <c r="A15477" t="n">
        <v>14400512</v>
      </c>
      <c r="B15477" t="n">
        <v>59020</v>
      </c>
      <c r="C15477" t="inlineStr">
        <is>
          <t>1440/05/12</t>
        </is>
      </c>
    </row>
    <row r="15478">
      <c r="A15478" t="n">
        <v>14400513</v>
      </c>
      <c r="B15478" t="n">
        <v>59021</v>
      </c>
      <c r="C15478" t="inlineStr">
        <is>
          <t>1440/05/13</t>
        </is>
      </c>
    </row>
    <row r="15479">
      <c r="A15479" t="n">
        <v>14400514</v>
      </c>
      <c r="B15479" t="n">
        <v>59022</v>
      </c>
      <c r="C15479" t="inlineStr">
        <is>
          <t>1440/05/14</t>
        </is>
      </c>
    </row>
    <row r="15480">
      <c r="A15480" t="n">
        <v>14400515</v>
      </c>
      <c r="B15480" t="n">
        <v>59023</v>
      </c>
      <c r="C15480" t="inlineStr">
        <is>
          <t>1440/05/15</t>
        </is>
      </c>
    </row>
    <row r="15481">
      <c r="A15481" t="n">
        <v>14400516</v>
      </c>
      <c r="B15481" t="n">
        <v>59024</v>
      </c>
      <c r="C15481" t="inlineStr">
        <is>
          <t>1440/05/16</t>
        </is>
      </c>
    </row>
    <row r="15482">
      <c r="A15482" t="n">
        <v>14400517</v>
      </c>
      <c r="B15482" t="n">
        <v>59025</v>
      </c>
      <c r="C15482" t="inlineStr">
        <is>
          <t>1440/05/17</t>
        </is>
      </c>
    </row>
    <row r="15483">
      <c r="A15483" t="n">
        <v>14400518</v>
      </c>
      <c r="B15483" t="n">
        <v>59026</v>
      </c>
      <c r="C15483" t="inlineStr">
        <is>
          <t>1440/05/18</t>
        </is>
      </c>
    </row>
    <row r="15484">
      <c r="A15484" t="n">
        <v>14400519</v>
      </c>
      <c r="B15484" t="n">
        <v>59027</v>
      </c>
      <c r="C15484" t="inlineStr">
        <is>
          <t>1440/05/19</t>
        </is>
      </c>
    </row>
    <row r="15485">
      <c r="A15485" t="n">
        <v>14400520</v>
      </c>
      <c r="B15485" t="n">
        <v>59028</v>
      </c>
      <c r="C15485" t="inlineStr">
        <is>
          <t>1440/05/20</t>
        </is>
      </c>
    </row>
    <row r="15486">
      <c r="A15486" t="n">
        <v>14400521</v>
      </c>
      <c r="B15486" t="n">
        <v>59029</v>
      </c>
      <c r="C15486" t="inlineStr">
        <is>
          <t>1440/05/21</t>
        </is>
      </c>
    </row>
    <row r="15487">
      <c r="A15487" t="n">
        <v>14400522</v>
      </c>
      <c r="B15487" t="n">
        <v>59030</v>
      </c>
      <c r="C15487" t="inlineStr">
        <is>
          <t>1440/05/22</t>
        </is>
      </c>
    </row>
    <row r="15488">
      <c r="A15488" t="n">
        <v>14400523</v>
      </c>
      <c r="B15488" t="n">
        <v>59031</v>
      </c>
      <c r="C15488" t="inlineStr">
        <is>
          <t>1440/05/23</t>
        </is>
      </c>
    </row>
    <row r="15489">
      <c r="A15489" t="n">
        <v>14400524</v>
      </c>
      <c r="B15489" t="n">
        <v>59032</v>
      </c>
      <c r="C15489" t="inlineStr">
        <is>
          <t>1440/05/24</t>
        </is>
      </c>
    </row>
    <row r="15490">
      <c r="A15490" t="n">
        <v>14400525</v>
      </c>
      <c r="B15490" t="n">
        <v>59033</v>
      </c>
      <c r="C15490" t="inlineStr">
        <is>
          <t>1440/05/25</t>
        </is>
      </c>
    </row>
    <row r="15491">
      <c r="A15491" t="n">
        <v>14400526</v>
      </c>
      <c r="B15491" t="n">
        <v>59034</v>
      </c>
      <c r="C15491" t="inlineStr">
        <is>
          <t>1440/05/26</t>
        </is>
      </c>
    </row>
    <row r="15492">
      <c r="A15492" t="n">
        <v>14400527</v>
      </c>
      <c r="B15492" t="n">
        <v>59035</v>
      </c>
      <c r="C15492" t="inlineStr">
        <is>
          <t>1440/05/27</t>
        </is>
      </c>
    </row>
    <row r="15493">
      <c r="A15493" t="n">
        <v>14400528</v>
      </c>
      <c r="B15493" t="n">
        <v>59036</v>
      </c>
      <c r="C15493" t="inlineStr">
        <is>
          <t>1440/05/28</t>
        </is>
      </c>
    </row>
    <row r="15494">
      <c r="A15494" t="n">
        <v>14400529</v>
      </c>
      <c r="B15494" t="n">
        <v>59037</v>
      </c>
      <c r="C15494" t="inlineStr">
        <is>
          <t>1440/05/29</t>
        </is>
      </c>
    </row>
    <row r="15495">
      <c r="A15495" t="n">
        <v>14400530</v>
      </c>
      <c r="B15495" t="n">
        <v>59038</v>
      </c>
      <c r="C15495" t="inlineStr">
        <is>
          <t>1440/05/30</t>
        </is>
      </c>
    </row>
    <row r="15496">
      <c r="A15496" t="n">
        <v>14400531</v>
      </c>
      <c r="B15496" t="n">
        <v>59039</v>
      </c>
      <c r="C15496" t="inlineStr">
        <is>
          <t>1440/05/31</t>
        </is>
      </c>
    </row>
    <row r="15497">
      <c r="A15497" t="n">
        <v>14400601</v>
      </c>
      <c r="B15497" t="n">
        <v>59040</v>
      </c>
      <c r="C15497" t="inlineStr">
        <is>
          <t>1440/06/01</t>
        </is>
      </c>
    </row>
    <row r="15498">
      <c r="A15498" t="n">
        <v>14400602</v>
      </c>
      <c r="B15498" t="n">
        <v>59041</v>
      </c>
      <c r="C15498" t="inlineStr">
        <is>
          <t>1440/06/02</t>
        </is>
      </c>
    </row>
    <row r="15499">
      <c r="A15499" t="n">
        <v>14400603</v>
      </c>
      <c r="B15499" t="n">
        <v>59042</v>
      </c>
      <c r="C15499" t="inlineStr">
        <is>
          <t>1440/06/03</t>
        </is>
      </c>
    </row>
    <row r="15500">
      <c r="A15500" t="n">
        <v>14400604</v>
      </c>
      <c r="B15500" t="n">
        <v>59043</v>
      </c>
      <c r="C15500" t="inlineStr">
        <is>
          <t>1440/06/04</t>
        </is>
      </c>
    </row>
    <row r="15501">
      <c r="A15501" t="n">
        <v>14400605</v>
      </c>
      <c r="B15501" t="n">
        <v>59044</v>
      </c>
      <c r="C15501" t="inlineStr">
        <is>
          <t>1440/06/05</t>
        </is>
      </c>
    </row>
    <row r="15502">
      <c r="A15502" t="n">
        <v>14400606</v>
      </c>
      <c r="B15502" t="n">
        <v>59045</v>
      </c>
      <c r="C15502" t="inlineStr">
        <is>
          <t>1440/06/06</t>
        </is>
      </c>
    </row>
    <row r="15503">
      <c r="A15503" t="n">
        <v>14400607</v>
      </c>
      <c r="B15503" t="n">
        <v>59046</v>
      </c>
      <c r="C15503" t="inlineStr">
        <is>
          <t>1440/06/07</t>
        </is>
      </c>
    </row>
    <row r="15504">
      <c r="A15504" t="n">
        <v>14400608</v>
      </c>
      <c r="B15504" t="n">
        <v>59047</v>
      </c>
      <c r="C15504" t="inlineStr">
        <is>
          <t>1440/06/08</t>
        </is>
      </c>
    </row>
    <row r="15505">
      <c r="A15505" t="n">
        <v>14400609</v>
      </c>
      <c r="B15505" t="n">
        <v>59048</v>
      </c>
      <c r="C15505" t="inlineStr">
        <is>
          <t>1440/06/09</t>
        </is>
      </c>
    </row>
    <row r="15506">
      <c r="A15506" t="n">
        <v>14400610</v>
      </c>
      <c r="B15506" t="n">
        <v>59049</v>
      </c>
      <c r="C15506" t="inlineStr">
        <is>
          <t>1440/06/10</t>
        </is>
      </c>
    </row>
    <row r="15507">
      <c r="A15507" t="n">
        <v>14400611</v>
      </c>
      <c r="B15507" t="n">
        <v>59050</v>
      </c>
      <c r="C15507" t="inlineStr">
        <is>
          <t>1440/06/11</t>
        </is>
      </c>
    </row>
    <row r="15508">
      <c r="A15508" t="n">
        <v>14400612</v>
      </c>
      <c r="B15508" t="n">
        <v>59051</v>
      </c>
      <c r="C15508" t="inlineStr">
        <is>
          <t>1440/06/12</t>
        </is>
      </c>
    </row>
    <row r="15509">
      <c r="A15509" t="n">
        <v>14400613</v>
      </c>
      <c r="B15509" t="n">
        <v>59052</v>
      </c>
      <c r="C15509" t="inlineStr">
        <is>
          <t>1440/06/13</t>
        </is>
      </c>
    </row>
    <row r="15510">
      <c r="A15510" t="n">
        <v>14400614</v>
      </c>
      <c r="B15510" t="n">
        <v>59053</v>
      </c>
      <c r="C15510" t="inlineStr">
        <is>
          <t>1440/06/14</t>
        </is>
      </c>
    </row>
    <row r="15511">
      <c r="A15511" t="n">
        <v>14400615</v>
      </c>
      <c r="B15511" t="n">
        <v>59054</v>
      </c>
      <c r="C15511" t="inlineStr">
        <is>
          <t>1440/06/15</t>
        </is>
      </c>
    </row>
    <row r="15512">
      <c r="A15512" t="n">
        <v>14400616</v>
      </c>
      <c r="B15512" t="n">
        <v>59055</v>
      </c>
      <c r="C15512" t="inlineStr">
        <is>
          <t>1440/06/16</t>
        </is>
      </c>
    </row>
    <row r="15513">
      <c r="A15513" t="n">
        <v>14400617</v>
      </c>
      <c r="B15513" t="n">
        <v>59056</v>
      </c>
      <c r="C15513" t="inlineStr">
        <is>
          <t>1440/06/17</t>
        </is>
      </c>
    </row>
    <row r="15514">
      <c r="A15514" t="n">
        <v>14400618</v>
      </c>
      <c r="B15514" t="n">
        <v>59057</v>
      </c>
      <c r="C15514" t="inlineStr">
        <is>
          <t>1440/06/18</t>
        </is>
      </c>
    </row>
    <row r="15515">
      <c r="A15515" t="n">
        <v>14400619</v>
      </c>
      <c r="B15515" t="n">
        <v>59058</v>
      </c>
      <c r="C15515" t="inlineStr">
        <is>
          <t>1440/06/19</t>
        </is>
      </c>
    </row>
    <row r="15516">
      <c r="A15516" t="n">
        <v>14400620</v>
      </c>
      <c r="B15516" t="n">
        <v>59059</v>
      </c>
      <c r="C15516" t="inlineStr">
        <is>
          <t>1440/06/20</t>
        </is>
      </c>
    </row>
    <row r="15517">
      <c r="A15517" t="n">
        <v>14400621</v>
      </c>
      <c r="B15517" t="n">
        <v>59060</v>
      </c>
      <c r="C15517" t="inlineStr">
        <is>
          <t>1440/06/21</t>
        </is>
      </c>
    </row>
    <row r="15518">
      <c r="A15518" t="n">
        <v>14400622</v>
      </c>
      <c r="B15518" t="n">
        <v>59061</v>
      </c>
      <c r="C15518" t="inlineStr">
        <is>
          <t>1440/06/22</t>
        </is>
      </c>
    </row>
    <row r="15519">
      <c r="A15519" t="n">
        <v>14400623</v>
      </c>
      <c r="B15519" t="n">
        <v>59062</v>
      </c>
      <c r="C15519" t="inlineStr">
        <is>
          <t>1440/06/23</t>
        </is>
      </c>
    </row>
    <row r="15520">
      <c r="A15520" t="n">
        <v>14400624</v>
      </c>
      <c r="B15520" t="n">
        <v>59063</v>
      </c>
      <c r="C15520" t="inlineStr">
        <is>
          <t>1440/06/24</t>
        </is>
      </c>
    </row>
    <row r="15521">
      <c r="A15521" t="n">
        <v>14400625</v>
      </c>
      <c r="B15521" t="n">
        <v>59064</v>
      </c>
      <c r="C15521" t="inlineStr">
        <is>
          <t>1440/06/25</t>
        </is>
      </c>
    </row>
    <row r="15522">
      <c r="A15522" t="n">
        <v>14400626</v>
      </c>
      <c r="B15522" t="n">
        <v>59065</v>
      </c>
      <c r="C15522" t="inlineStr">
        <is>
          <t>1440/06/26</t>
        </is>
      </c>
    </row>
    <row r="15523">
      <c r="A15523" t="n">
        <v>14400627</v>
      </c>
      <c r="B15523" t="n">
        <v>59066</v>
      </c>
      <c r="C15523" t="inlineStr">
        <is>
          <t>1440/06/27</t>
        </is>
      </c>
    </row>
    <row r="15524">
      <c r="A15524" t="n">
        <v>14400628</v>
      </c>
      <c r="B15524" t="n">
        <v>59067</v>
      </c>
      <c r="C15524" t="inlineStr">
        <is>
          <t>1440/06/28</t>
        </is>
      </c>
    </row>
    <row r="15525">
      <c r="A15525" t="n">
        <v>14400629</v>
      </c>
      <c r="B15525" t="n">
        <v>59068</v>
      </c>
      <c r="C15525" t="inlineStr">
        <is>
          <t>1440/06/29</t>
        </is>
      </c>
    </row>
    <row r="15526">
      <c r="A15526" t="n">
        <v>14400630</v>
      </c>
      <c r="B15526" t="n">
        <v>59069</v>
      </c>
      <c r="C15526" t="inlineStr">
        <is>
          <t>1440/06/30</t>
        </is>
      </c>
    </row>
    <row r="15527">
      <c r="A15527" t="n">
        <v>14400631</v>
      </c>
      <c r="B15527" t="n">
        <v>59070</v>
      </c>
      <c r="C15527" t="inlineStr">
        <is>
          <t>1440/06/31</t>
        </is>
      </c>
    </row>
    <row r="15528">
      <c r="A15528" t="n">
        <v>14400701</v>
      </c>
      <c r="B15528" t="n">
        <v>59071</v>
      </c>
      <c r="C15528" t="inlineStr">
        <is>
          <t>1440/07/01</t>
        </is>
      </c>
    </row>
    <row r="15529">
      <c r="A15529" t="n">
        <v>14400702</v>
      </c>
      <c r="B15529" t="n">
        <v>59072</v>
      </c>
      <c r="C15529" t="inlineStr">
        <is>
          <t>1440/07/02</t>
        </is>
      </c>
    </row>
    <row r="15530">
      <c r="A15530" t="n">
        <v>14400703</v>
      </c>
      <c r="B15530" t="n">
        <v>59073</v>
      </c>
      <c r="C15530" t="inlineStr">
        <is>
          <t>1440/07/03</t>
        </is>
      </c>
    </row>
    <row r="15531">
      <c r="A15531" t="n">
        <v>14400704</v>
      </c>
      <c r="B15531" t="n">
        <v>59074</v>
      </c>
      <c r="C15531" t="inlineStr">
        <is>
          <t>1440/07/04</t>
        </is>
      </c>
    </row>
    <row r="15532">
      <c r="A15532" t="n">
        <v>14400705</v>
      </c>
      <c r="B15532" t="n">
        <v>59075</v>
      </c>
      <c r="C15532" t="inlineStr">
        <is>
          <t>1440/07/05</t>
        </is>
      </c>
    </row>
    <row r="15533">
      <c r="A15533" t="n">
        <v>14400706</v>
      </c>
      <c r="B15533" t="n">
        <v>59076</v>
      </c>
      <c r="C15533" t="inlineStr">
        <is>
          <t>1440/07/06</t>
        </is>
      </c>
    </row>
    <row r="15534">
      <c r="A15534" t="n">
        <v>14400707</v>
      </c>
      <c r="B15534" t="n">
        <v>59077</v>
      </c>
      <c r="C15534" t="inlineStr">
        <is>
          <t>1440/07/07</t>
        </is>
      </c>
    </row>
    <row r="15535">
      <c r="A15535" t="n">
        <v>14400708</v>
      </c>
      <c r="B15535" t="n">
        <v>59078</v>
      </c>
      <c r="C15535" t="inlineStr">
        <is>
          <t>1440/07/08</t>
        </is>
      </c>
    </row>
    <row r="15536">
      <c r="A15536" t="n">
        <v>14400709</v>
      </c>
      <c r="B15536" t="n">
        <v>59079</v>
      </c>
      <c r="C15536" t="inlineStr">
        <is>
          <t>1440/07/09</t>
        </is>
      </c>
    </row>
    <row r="15537">
      <c r="A15537" t="n">
        <v>14400710</v>
      </c>
      <c r="B15537" t="n">
        <v>59080</v>
      </c>
      <c r="C15537" t="inlineStr">
        <is>
          <t>1440/07/10</t>
        </is>
      </c>
    </row>
    <row r="15538">
      <c r="A15538" t="n">
        <v>14400711</v>
      </c>
      <c r="B15538" t="n">
        <v>59081</v>
      </c>
      <c r="C15538" t="inlineStr">
        <is>
          <t>1440/07/11</t>
        </is>
      </c>
    </row>
    <row r="15539">
      <c r="A15539" t="n">
        <v>14400712</v>
      </c>
      <c r="B15539" t="n">
        <v>59082</v>
      </c>
      <c r="C15539" t="inlineStr">
        <is>
          <t>1440/07/12</t>
        </is>
      </c>
    </row>
    <row r="15540">
      <c r="A15540" t="n">
        <v>14400713</v>
      </c>
      <c r="B15540" t="n">
        <v>59083</v>
      </c>
      <c r="C15540" t="inlineStr">
        <is>
          <t>1440/07/13</t>
        </is>
      </c>
    </row>
    <row r="15541">
      <c r="A15541" t="n">
        <v>14400714</v>
      </c>
      <c r="B15541" t="n">
        <v>59084</v>
      </c>
      <c r="C15541" t="inlineStr">
        <is>
          <t>1440/07/14</t>
        </is>
      </c>
    </row>
    <row r="15542">
      <c r="A15542" t="n">
        <v>14400715</v>
      </c>
      <c r="B15542" t="n">
        <v>59085</v>
      </c>
      <c r="C15542" t="inlineStr">
        <is>
          <t>1440/07/15</t>
        </is>
      </c>
    </row>
    <row r="15543">
      <c r="A15543" t="n">
        <v>14400716</v>
      </c>
      <c r="B15543" t="n">
        <v>59086</v>
      </c>
      <c r="C15543" t="inlineStr">
        <is>
          <t>1440/07/16</t>
        </is>
      </c>
    </row>
    <row r="15544">
      <c r="A15544" t="n">
        <v>14400717</v>
      </c>
      <c r="B15544" t="n">
        <v>59087</v>
      </c>
      <c r="C15544" t="inlineStr">
        <is>
          <t>1440/07/17</t>
        </is>
      </c>
    </row>
    <row r="15545">
      <c r="A15545" t="n">
        <v>14400718</v>
      </c>
      <c r="B15545" t="n">
        <v>59088</v>
      </c>
      <c r="C15545" t="inlineStr">
        <is>
          <t>1440/07/18</t>
        </is>
      </c>
    </row>
    <row r="15546">
      <c r="A15546" t="n">
        <v>14400719</v>
      </c>
      <c r="B15546" t="n">
        <v>59089</v>
      </c>
      <c r="C15546" t="inlineStr">
        <is>
          <t>1440/07/19</t>
        </is>
      </c>
    </row>
    <row r="15547">
      <c r="A15547" t="n">
        <v>14400720</v>
      </c>
      <c r="B15547" t="n">
        <v>59090</v>
      </c>
      <c r="C15547" t="inlineStr">
        <is>
          <t>1440/07/20</t>
        </is>
      </c>
    </row>
    <row r="15548">
      <c r="A15548" t="n">
        <v>14400721</v>
      </c>
      <c r="B15548" t="n">
        <v>59091</v>
      </c>
      <c r="C15548" t="inlineStr">
        <is>
          <t>1440/07/21</t>
        </is>
      </c>
    </row>
    <row r="15549">
      <c r="A15549" t="n">
        <v>14400722</v>
      </c>
      <c r="B15549" t="n">
        <v>59092</v>
      </c>
      <c r="C15549" t="inlineStr">
        <is>
          <t>1440/07/22</t>
        </is>
      </c>
    </row>
    <row r="15550">
      <c r="A15550" t="n">
        <v>14400723</v>
      </c>
      <c r="B15550" t="n">
        <v>59093</v>
      </c>
      <c r="C15550" t="inlineStr">
        <is>
          <t>1440/07/23</t>
        </is>
      </c>
    </row>
    <row r="15551">
      <c r="A15551" t="n">
        <v>14400724</v>
      </c>
      <c r="B15551" t="n">
        <v>59094</v>
      </c>
      <c r="C15551" t="inlineStr">
        <is>
          <t>1440/07/24</t>
        </is>
      </c>
    </row>
    <row r="15552">
      <c r="A15552" t="n">
        <v>14400725</v>
      </c>
      <c r="B15552" t="n">
        <v>59095</v>
      </c>
      <c r="C15552" t="inlineStr">
        <is>
          <t>1440/07/25</t>
        </is>
      </c>
    </row>
    <row r="15553">
      <c r="A15553" t="n">
        <v>14400726</v>
      </c>
      <c r="B15553" t="n">
        <v>59096</v>
      </c>
      <c r="C15553" t="inlineStr">
        <is>
          <t>1440/07/26</t>
        </is>
      </c>
    </row>
    <row r="15554">
      <c r="A15554" t="n">
        <v>14400727</v>
      </c>
      <c r="B15554" t="n">
        <v>59097</v>
      </c>
      <c r="C15554" t="inlineStr">
        <is>
          <t>1440/07/27</t>
        </is>
      </c>
    </row>
    <row r="15555">
      <c r="A15555" t="n">
        <v>14400728</v>
      </c>
      <c r="B15555" t="n">
        <v>59098</v>
      </c>
      <c r="C15555" t="inlineStr">
        <is>
          <t>1440/07/28</t>
        </is>
      </c>
    </row>
    <row r="15556">
      <c r="A15556" t="n">
        <v>14400729</v>
      </c>
      <c r="B15556" t="n">
        <v>59099</v>
      </c>
      <c r="C15556" t="inlineStr">
        <is>
          <t>1440/07/29</t>
        </is>
      </c>
    </row>
    <row r="15557">
      <c r="A15557" t="n">
        <v>14400730</v>
      </c>
      <c r="B15557" t="n">
        <v>59100</v>
      </c>
      <c r="C15557" t="inlineStr">
        <is>
          <t>1440/07/30</t>
        </is>
      </c>
    </row>
    <row r="15558">
      <c r="A15558" t="n">
        <v>14400801</v>
      </c>
      <c r="B15558" t="n">
        <v>59101</v>
      </c>
      <c r="C15558" t="inlineStr">
        <is>
          <t>1440/08/01</t>
        </is>
      </c>
    </row>
    <row r="15559">
      <c r="A15559" t="n">
        <v>14400802</v>
      </c>
      <c r="B15559" t="n">
        <v>59102</v>
      </c>
      <c r="C15559" t="inlineStr">
        <is>
          <t>1440/08/02</t>
        </is>
      </c>
    </row>
    <row r="15560">
      <c r="A15560" t="n">
        <v>14400803</v>
      </c>
      <c r="B15560" t="n">
        <v>59103</v>
      </c>
      <c r="C15560" t="inlineStr">
        <is>
          <t>1440/08/03</t>
        </is>
      </c>
    </row>
    <row r="15561">
      <c r="A15561" t="n">
        <v>14400804</v>
      </c>
      <c r="B15561" t="n">
        <v>59104</v>
      </c>
      <c r="C15561" t="inlineStr">
        <is>
          <t>1440/08/04</t>
        </is>
      </c>
    </row>
    <row r="15562">
      <c r="A15562" t="n">
        <v>14400805</v>
      </c>
      <c r="B15562" t="n">
        <v>59105</v>
      </c>
      <c r="C15562" t="inlineStr">
        <is>
          <t>1440/08/05</t>
        </is>
      </c>
    </row>
    <row r="15563">
      <c r="A15563" t="n">
        <v>14400806</v>
      </c>
      <c r="B15563" t="n">
        <v>59106</v>
      </c>
      <c r="C15563" t="inlineStr">
        <is>
          <t>1440/08/06</t>
        </is>
      </c>
    </row>
    <row r="15564">
      <c r="A15564" t="n">
        <v>14400807</v>
      </c>
      <c r="B15564" t="n">
        <v>59107</v>
      </c>
      <c r="C15564" t="inlineStr">
        <is>
          <t>1440/08/07</t>
        </is>
      </c>
    </row>
    <row r="15565">
      <c r="A15565" t="n">
        <v>14400808</v>
      </c>
      <c r="B15565" t="n">
        <v>59108</v>
      </c>
      <c r="C15565" t="inlineStr">
        <is>
          <t>1440/08/08</t>
        </is>
      </c>
    </row>
    <row r="15566">
      <c r="A15566" t="n">
        <v>14400809</v>
      </c>
      <c r="B15566" t="n">
        <v>59109</v>
      </c>
      <c r="C15566" t="inlineStr">
        <is>
          <t>1440/08/09</t>
        </is>
      </c>
    </row>
    <row r="15567">
      <c r="A15567" t="n">
        <v>14400810</v>
      </c>
      <c r="B15567" t="n">
        <v>59110</v>
      </c>
      <c r="C15567" t="inlineStr">
        <is>
          <t>1440/08/10</t>
        </is>
      </c>
    </row>
    <row r="15568">
      <c r="A15568" t="n">
        <v>14400811</v>
      </c>
      <c r="B15568" t="n">
        <v>59111</v>
      </c>
      <c r="C15568" t="inlineStr">
        <is>
          <t>1440/08/11</t>
        </is>
      </c>
    </row>
    <row r="15569">
      <c r="A15569" t="n">
        <v>14400812</v>
      </c>
      <c r="B15569" t="n">
        <v>59112</v>
      </c>
      <c r="C15569" t="inlineStr">
        <is>
          <t>1440/08/12</t>
        </is>
      </c>
    </row>
    <row r="15570">
      <c r="A15570" t="n">
        <v>14400813</v>
      </c>
      <c r="B15570" t="n">
        <v>59113</v>
      </c>
      <c r="C15570" t="inlineStr">
        <is>
          <t>1440/08/13</t>
        </is>
      </c>
    </row>
    <row r="15571">
      <c r="A15571" t="n">
        <v>14400814</v>
      </c>
      <c r="B15571" t="n">
        <v>59114</v>
      </c>
      <c r="C15571" t="inlineStr">
        <is>
          <t>1440/08/14</t>
        </is>
      </c>
    </row>
    <row r="15572">
      <c r="A15572" t="n">
        <v>14400815</v>
      </c>
      <c r="B15572" t="n">
        <v>59115</v>
      </c>
      <c r="C15572" t="inlineStr">
        <is>
          <t>1440/08/15</t>
        </is>
      </c>
    </row>
    <row r="15573">
      <c r="A15573" t="n">
        <v>14400816</v>
      </c>
      <c r="B15573" t="n">
        <v>59116</v>
      </c>
      <c r="C15573" t="inlineStr">
        <is>
          <t>1440/08/16</t>
        </is>
      </c>
    </row>
    <row r="15574">
      <c r="A15574" t="n">
        <v>14400817</v>
      </c>
      <c r="B15574" t="n">
        <v>59117</v>
      </c>
      <c r="C15574" t="inlineStr">
        <is>
          <t>1440/08/17</t>
        </is>
      </c>
    </row>
    <row r="15575">
      <c r="A15575" t="n">
        <v>14400818</v>
      </c>
      <c r="B15575" t="n">
        <v>59118</v>
      </c>
      <c r="C15575" t="inlineStr">
        <is>
          <t>1440/08/18</t>
        </is>
      </c>
    </row>
    <row r="15576">
      <c r="A15576" t="n">
        <v>14400819</v>
      </c>
      <c r="B15576" t="n">
        <v>59119</v>
      </c>
      <c r="C15576" t="inlineStr">
        <is>
          <t>1440/08/19</t>
        </is>
      </c>
    </row>
    <row r="15577">
      <c r="A15577" t="n">
        <v>14400820</v>
      </c>
      <c r="B15577" t="n">
        <v>59120</v>
      </c>
      <c r="C15577" t="inlineStr">
        <is>
          <t>1440/08/20</t>
        </is>
      </c>
    </row>
    <row r="15578">
      <c r="A15578" t="n">
        <v>14400821</v>
      </c>
      <c r="B15578" t="n">
        <v>59121</v>
      </c>
      <c r="C15578" t="inlineStr">
        <is>
          <t>1440/08/21</t>
        </is>
      </c>
    </row>
    <row r="15579">
      <c r="A15579" t="n">
        <v>14400822</v>
      </c>
      <c r="B15579" t="n">
        <v>59122</v>
      </c>
      <c r="C15579" t="inlineStr">
        <is>
          <t>1440/08/22</t>
        </is>
      </c>
    </row>
    <row r="15580">
      <c r="A15580" t="n">
        <v>14400823</v>
      </c>
      <c r="B15580" t="n">
        <v>59123</v>
      </c>
      <c r="C15580" t="inlineStr">
        <is>
          <t>1440/08/23</t>
        </is>
      </c>
    </row>
    <row r="15581">
      <c r="A15581" t="n">
        <v>14400824</v>
      </c>
      <c r="B15581" t="n">
        <v>59124</v>
      </c>
      <c r="C15581" t="inlineStr">
        <is>
          <t>1440/08/24</t>
        </is>
      </c>
    </row>
    <row r="15582">
      <c r="A15582" t="n">
        <v>14400825</v>
      </c>
      <c r="B15582" t="n">
        <v>59125</v>
      </c>
      <c r="C15582" t="inlineStr">
        <is>
          <t>1440/08/25</t>
        </is>
      </c>
    </row>
    <row r="15583">
      <c r="A15583" t="n">
        <v>14400826</v>
      </c>
      <c r="B15583" t="n">
        <v>59126</v>
      </c>
      <c r="C15583" t="inlineStr">
        <is>
          <t>1440/08/26</t>
        </is>
      </c>
    </row>
    <row r="15584">
      <c r="A15584" t="n">
        <v>14400827</v>
      </c>
      <c r="B15584" t="n">
        <v>59127</v>
      </c>
      <c r="C15584" t="inlineStr">
        <is>
          <t>1440/08/27</t>
        </is>
      </c>
    </row>
    <row r="15585">
      <c r="A15585" t="n">
        <v>14400828</v>
      </c>
      <c r="B15585" t="n">
        <v>59128</v>
      </c>
      <c r="C15585" t="inlineStr">
        <is>
          <t>1440/08/28</t>
        </is>
      </c>
    </row>
    <row r="15586">
      <c r="A15586" t="n">
        <v>14400829</v>
      </c>
      <c r="B15586" t="n">
        <v>59129</v>
      </c>
      <c r="C15586" t="inlineStr">
        <is>
          <t>1440/08/29</t>
        </is>
      </c>
    </row>
    <row r="15587">
      <c r="A15587" t="n">
        <v>14400830</v>
      </c>
      <c r="B15587" t="n">
        <v>59130</v>
      </c>
      <c r="C15587" t="inlineStr">
        <is>
          <t>1440/08/30</t>
        </is>
      </c>
    </row>
    <row r="15588">
      <c r="A15588" t="n">
        <v>14400901</v>
      </c>
      <c r="B15588" t="n">
        <v>59131</v>
      </c>
      <c r="C15588" t="inlineStr">
        <is>
          <t>1440/09/01</t>
        </is>
      </c>
    </row>
    <row r="15589">
      <c r="A15589" t="n">
        <v>14400902</v>
      </c>
      <c r="B15589" t="n">
        <v>59132</v>
      </c>
      <c r="C15589" t="inlineStr">
        <is>
          <t>1440/09/02</t>
        </is>
      </c>
    </row>
    <row r="15590">
      <c r="A15590" t="n">
        <v>14400903</v>
      </c>
      <c r="B15590" t="n">
        <v>59133</v>
      </c>
      <c r="C15590" t="inlineStr">
        <is>
          <t>1440/09/03</t>
        </is>
      </c>
    </row>
    <row r="15591">
      <c r="A15591" t="n">
        <v>14400904</v>
      </c>
      <c r="B15591" t="n">
        <v>59134</v>
      </c>
      <c r="C15591" t="inlineStr">
        <is>
          <t>1440/09/04</t>
        </is>
      </c>
    </row>
    <row r="15592">
      <c r="A15592" t="n">
        <v>14400905</v>
      </c>
      <c r="B15592" t="n">
        <v>59135</v>
      </c>
      <c r="C15592" t="inlineStr">
        <is>
          <t>1440/09/05</t>
        </is>
      </c>
    </row>
    <row r="15593">
      <c r="A15593" t="n">
        <v>14400906</v>
      </c>
      <c r="B15593" t="n">
        <v>59136</v>
      </c>
      <c r="C15593" t="inlineStr">
        <is>
          <t>1440/09/06</t>
        </is>
      </c>
    </row>
    <row r="15594">
      <c r="A15594" t="n">
        <v>14400907</v>
      </c>
      <c r="B15594" t="n">
        <v>59137</v>
      </c>
      <c r="C15594" t="inlineStr">
        <is>
          <t>1440/09/07</t>
        </is>
      </c>
    </row>
    <row r="15595">
      <c r="A15595" t="n">
        <v>14400908</v>
      </c>
      <c r="B15595" t="n">
        <v>59138</v>
      </c>
      <c r="C15595" t="inlineStr">
        <is>
          <t>1440/09/08</t>
        </is>
      </c>
    </row>
    <row r="15596">
      <c r="A15596" t="n">
        <v>14400909</v>
      </c>
      <c r="B15596" t="n">
        <v>59139</v>
      </c>
      <c r="C15596" t="inlineStr">
        <is>
          <t>1440/09/09</t>
        </is>
      </c>
    </row>
    <row r="15597">
      <c r="A15597" t="n">
        <v>14400910</v>
      </c>
      <c r="B15597" t="n">
        <v>59140</v>
      </c>
      <c r="C15597" t="inlineStr">
        <is>
          <t>1440/09/10</t>
        </is>
      </c>
    </row>
    <row r="15598">
      <c r="A15598" t="n">
        <v>14400911</v>
      </c>
      <c r="B15598" t="n">
        <v>59141</v>
      </c>
      <c r="C15598" t="inlineStr">
        <is>
          <t>1440/09/11</t>
        </is>
      </c>
    </row>
    <row r="15599">
      <c r="A15599" t="n">
        <v>14400912</v>
      </c>
      <c r="B15599" t="n">
        <v>59142</v>
      </c>
      <c r="C15599" t="inlineStr">
        <is>
          <t>1440/09/12</t>
        </is>
      </c>
    </row>
    <row r="15600">
      <c r="A15600" t="n">
        <v>14400913</v>
      </c>
      <c r="B15600" t="n">
        <v>59143</v>
      </c>
      <c r="C15600" t="inlineStr">
        <is>
          <t>1440/09/13</t>
        </is>
      </c>
    </row>
    <row r="15601">
      <c r="A15601" t="n">
        <v>14400914</v>
      </c>
      <c r="B15601" t="n">
        <v>59144</v>
      </c>
      <c r="C15601" t="inlineStr">
        <is>
          <t>1440/09/14</t>
        </is>
      </c>
    </row>
    <row r="15602">
      <c r="A15602" t="n">
        <v>14400915</v>
      </c>
      <c r="B15602" t="n">
        <v>59145</v>
      </c>
      <c r="C15602" t="inlineStr">
        <is>
          <t>1440/09/15</t>
        </is>
      </c>
    </row>
    <row r="15603">
      <c r="A15603" t="n">
        <v>14400916</v>
      </c>
      <c r="B15603" t="n">
        <v>59146</v>
      </c>
      <c r="C15603" t="inlineStr">
        <is>
          <t>1440/09/16</t>
        </is>
      </c>
    </row>
    <row r="15604">
      <c r="A15604" t="n">
        <v>14400917</v>
      </c>
      <c r="B15604" t="n">
        <v>59147</v>
      </c>
      <c r="C15604" t="inlineStr">
        <is>
          <t>1440/09/17</t>
        </is>
      </c>
    </row>
    <row r="15605">
      <c r="A15605" t="n">
        <v>14400918</v>
      </c>
      <c r="B15605" t="n">
        <v>59148</v>
      </c>
      <c r="C15605" t="inlineStr">
        <is>
          <t>1440/09/18</t>
        </is>
      </c>
    </row>
    <row r="15606">
      <c r="A15606" t="n">
        <v>14400919</v>
      </c>
      <c r="B15606" t="n">
        <v>59149</v>
      </c>
      <c r="C15606" t="inlineStr">
        <is>
          <t>1440/09/19</t>
        </is>
      </c>
    </row>
    <row r="15607">
      <c r="A15607" t="n">
        <v>14400920</v>
      </c>
      <c r="B15607" t="n">
        <v>59150</v>
      </c>
      <c r="C15607" t="inlineStr">
        <is>
          <t>1440/09/20</t>
        </is>
      </c>
    </row>
    <row r="15608">
      <c r="A15608" t="n">
        <v>14400921</v>
      </c>
      <c r="B15608" t="n">
        <v>59151</v>
      </c>
      <c r="C15608" t="inlineStr">
        <is>
          <t>1440/09/21</t>
        </is>
      </c>
    </row>
    <row r="15609">
      <c r="A15609" t="n">
        <v>14400922</v>
      </c>
      <c r="B15609" t="n">
        <v>59152</v>
      </c>
      <c r="C15609" t="inlineStr">
        <is>
          <t>1440/09/22</t>
        </is>
      </c>
    </row>
    <row r="15610">
      <c r="A15610" t="n">
        <v>14400923</v>
      </c>
      <c r="B15610" t="n">
        <v>59153</v>
      </c>
      <c r="C15610" t="inlineStr">
        <is>
          <t>1440/09/23</t>
        </is>
      </c>
    </row>
    <row r="15611">
      <c r="A15611" t="n">
        <v>14400924</v>
      </c>
      <c r="B15611" t="n">
        <v>59154</v>
      </c>
      <c r="C15611" t="inlineStr">
        <is>
          <t>1440/09/24</t>
        </is>
      </c>
    </row>
    <row r="15612">
      <c r="A15612" t="n">
        <v>14400925</v>
      </c>
      <c r="B15612" t="n">
        <v>59155</v>
      </c>
      <c r="C15612" t="inlineStr">
        <is>
          <t>1440/09/25</t>
        </is>
      </c>
    </row>
    <row r="15613">
      <c r="A15613" t="n">
        <v>14400926</v>
      </c>
      <c r="B15613" t="n">
        <v>59156</v>
      </c>
      <c r="C15613" t="inlineStr">
        <is>
          <t>1440/09/26</t>
        </is>
      </c>
    </row>
    <row r="15614">
      <c r="A15614" t="n">
        <v>14400927</v>
      </c>
      <c r="B15614" t="n">
        <v>59157</v>
      </c>
      <c r="C15614" t="inlineStr">
        <is>
          <t>1440/09/27</t>
        </is>
      </c>
    </row>
    <row r="15615">
      <c r="A15615" t="n">
        <v>14400928</v>
      </c>
      <c r="B15615" t="n">
        <v>59158</v>
      </c>
      <c r="C15615" t="inlineStr">
        <is>
          <t>1440/09/28</t>
        </is>
      </c>
    </row>
    <row r="15616">
      <c r="A15616" t="n">
        <v>14400929</v>
      </c>
      <c r="B15616" t="n">
        <v>59159</v>
      </c>
      <c r="C15616" t="inlineStr">
        <is>
          <t>1440/09/29</t>
        </is>
      </c>
    </row>
    <row r="15617">
      <c r="A15617" t="n">
        <v>14400930</v>
      </c>
      <c r="B15617" t="n">
        <v>59160</v>
      </c>
      <c r="C15617" t="inlineStr">
        <is>
          <t>1440/09/30</t>
        </is>
      </c>
    </row>
    <row r="15618">
      <c r="A15618" t="n">
        <v>14401001</v>
      </c>
      <c r="B15618" t="n">
        <v>59161</v>
      </c>
      <c r="C15618" t="inlineStr">
        <is>
          <t>1440/10/01</t>
        </is>
      </c>
    </row>
    <row r="15619">
      <c r="A15619" t="n">
        <v>14401002</v>
      </c>
      <c r="B15619" t="n">
        <v>59162</v>
      </c>
      <c r="C15619" t="inlineStr">
        <is>
          <t>1440/10/02</t>
        </is>
      </c>
    </row>
    <row r="15620">
      <c r="A15620" t="n">
        <v>14401003</v>
      </c>
      <c r="B15620" t="n">
        <v>59163</v>
      </c>
      <c r="C15620" t="inlineStr">
        <is>
          <t>1440/10/03</t>
        </is>
      </c>
    </row>
    <row r="15621">
      <c r="A15621" t="n">
        <v>14401004</v>
      </c>
      <c r="B15621" t="n">
        <v>59164</v>
      </c>
      <c r="C15621" t="inlineStr">
        <is>
          <t>1440/10/04</t>
        </is>
      </c>
    </row>
    <row r="15622">
      <c r="A15622" t="n">
        <v>14401005</v>
      </c>
      <c r="B15622" t="n">
        <v>59165</v>
      </c>
      <c r="C15622" t="inlineStr">
        <is>
          <t>1440/10/05</t>
        </is>
      </c>
    </row>
    <row r="15623">
      <c r="A15623" t="n">
        <v>14401006</v>
      </c>
      <c r="B15623" t="n">
        <v>59166</v>
      </c>
      <c r="C15623" t="inlineStr">
        <is>
          <t>1440/10/06</t>
        </is>
      </c>
    </row>
    <row r="15624">
      <c r="A15624" t="n">
        <v>14401007</v>
      </c>
      <c r="B15624" t="n">
        <v>59167</v>
      </c>
      <c r="C15624" t="inlineStr">
        <is>
          <t>1440/10/07</t>
        </is>
      </c>
    </row>
    <row r="15625">
      <c r="A15625" t="n">
        <v>14401008</v>
      </c>
      <c r="B15625" t="n">
        <v>59168</v>
      </c>
      <c r="C15625" t="inlineStr">
        <is>
          <t>1440/10/08</t>
        </is>
      </c>
    </row>
    <row r="15626">
      <c r="A15626" t="n">
        <v>14401009</v>
      </c>
      <c r="B15626" t="n">
        <v>59169</v>
      </c>
      <c r="C15626" t="inlineStr">
        <is>
          <t>1440/10/09</t>
        </is>
      </c>
    </row>
    <row r="15627">
      <c r="A15627" t="n">
        <v>14401010</v>
      </c>
      <c r="B15627" t="n">
        <v>59170</v>
      </c>
      <c r="C15627" t="inlineStr">
        <is>
          <t>1440/10/10</t>
        </is>
      </c>
    </row>
    <row r="15628">
      <c r="A15628" t="n">
        <v>14401011</v>
      </c>
      <c r="B15628" t="n">
        <v>59171</v>
      </c>
      <c r="C15628" t="inlineStr">
        <is>
          <t>1440/10/11</t>
        </is>
      </c>
    </row>
    <row r="15629">
      <c r="A15629" t="n">
        <v>14401012</v>
      </c>
      <c r="B15629" t="n">
        <v>59172</v>
      </c>
      <c r="C15629" t="inlineStr">
        <is>
          <t>1440/10/12</t>
        </is>
      </c>
    </row>
    <row r="15630">
      <c r="A15630" t="n">
        <v>14401013</v>
      </c>
      <c r="B15630" t="n">
        <v>59173</v>
      </c>
      <c r="C15630" t="inlineStr">
        <is>
          <t>1440/10/13</t>
        </is>
      </c>
    </row>
    <row r="15631">
      <c r="A15631" t="n">
        <v>14401014</v>
      </c>
      <c r="B15631" t="n">
        <v>59174</v>
      </c>
      <c r="C15631" t="inlineStr">
        <is>
          <t>1440/10/14</t>
        </is>
      </c>
    </row>
    <row r="15632">
      <c r="A15632" t="n">
        <v>14401015</v>
      </c>
      <c r="B15632" t="n">
        <v>59175</v>
      </c>
      <c r="C15632" t="inlineStr">
        <is>
          <t>1440/10/15</t>
        </is>
      </c>
    </row>
    <row r="15633">
      <c r="A15633" t="n">
        <v>14401016</v>
      </c>
      <c r="B15633" t="n">
        <v>59176</v>
      </c>
      <c r="C15633" t="inlineStr">
        <is>
          <t>1440/10/16</t>
        </is>
      </c>
    </row>
    <row r="15634">
      <c r="A15634" t="n">
        <v>14401017</v>
      </c>
      <c r="B15634" t="n">
        <v>59177</v>
      </c>
      <c r="C15634" t="inlineStr">
        <is>
          <t>1440/10/17</t>
        </is>
      </c>
    </row>
    <row r="15635">
      <c r="A15635" t="n">
        <v>14401018</v>
      </c>
      <c r="B15635" t="n">
        <v>59178</v>
      </c>
      <c r="C15635" t="inlineStr">
        <is>
          <t>1440/10/18</t>
        </is>
      </c>
    </row>
    <row r="15636">
      <c r="A15636" t="n">
        <v>14401019</v>
      </c>
      <c r="B15636" t="n">
        <v>59179</v>
      </c>
      <c r="C15636" t="inlineStr">
        <is>
          <t>1440/10/19</t>
        </is>
      </c>
    </row>
    <row r="15637">
      <c r="A15637" t="n">
        <v>14401020</v>
      </c>
      <c r="B15637" t="n">
        <v>59180</v>
      </c>
      <c r="C15637" t="inlineStr">
        <is>
          <t>1440/10/20</t>
        </is>
      </c>
    </row>
    <row r="15638">
      <c r="A15638" t="n">
        <v>14401021</v>
      </c>
      <c r="B15638" t="n">
        <v>59181</v>
      </c>
      <c r="C15638" t="inlineStr">
        <is>
          <t>1440/10/21</t>
        </is>
      </c>
    </row>
    <row r="15639">
      <c r="A15639" t="n">
        <v>14401022</v>
      </c>
      <c r="B15639" t="n">
        <v>59182</v>
      </c>
      <c r="C15639" t="inlineStr">
        <is>
          <t>1440/10/22</t>
        </is>
      </c>
    </row>
    <row r="15640">
      <c r="A15640" t="n">
        <v>14401023</v>
      </c>
      <c r="B15640" t="n">
        <v>59183</v>
      </c>
      <c r="C15640" t="inlineStr">
        <is>
          <t>1440/10/23</t>
        </is>
      </c>
    </row>
    <row r="15641">
      <c r="A15641" t="n">
        <v>14401024</v>
      </c>
      <c r="B15641" t="n">
        <v>59184</v>
      </c>
      <c r="C15641" t="inlineStr">
        <is>
          <t>1440/10/24</t>
        </is>
      </c>
    </row>
    <row r="15642">
      <c r="A15642" t="n">
        <v>14401025</v>
      </c>
      <c r="B15642" t="n">
        <v>59185</v>
      </c>
      <c r="C15642" t="inlineStr">
        <is>
          <t>1440/10/25</t>
        </is>
      </c>
    </row>
    <row r="15643">
      <c r="A15643" t="n">
        <v>14401026</v>
      </c>
      <c r="B15643" t="n">
        <v>59186</v>
      </c>
      <c r="C15643" t="inlineStr">
        <is>
          <t>1440/10/26</t>
        </is>
      </c>
    </row>
    <row r="15644">
      <c r="A15644" t="n">
        <v>14401027</v>
      </c>
      <c r="B15644" t="n">
        <v>59187</v>
      </c>
      <c r="C15644" t="inlineStr">
        <is>
          <t>1440/10/27</t>
        </is>
      </c>
    </row>
    <row r="15645">
      <c r="A15645" t="n">
        <v>14401028</v>
      </c>
      <c r="B15645" t="n">
        <v>59188</v>
      </c>
      <c r="C15645" t="inlineStr">
        <is>
          <t>1440/10/28</t>
        </is>
      </c>
    </row>
    <row r="15646">
      <c r="A15646" t="n">
        <v>14401029</v>
      </c>
      <c r="B15646" t="n">
        <v>59189</v>
      </c>
      <c r="C15646" t="inlineStr">
        <is>
          <t>1440/10/29</t>
        </is>
      </c>
    </row>
    <row r="15647">
      <c r="A15647" t="n">
        <v>14401030</v>
      </c>
      <c r="B15647" t="n">
        <v>59190</v>
      </c>
      <c r="C15647" t="inlineStr">
        <is>
          <t>1440/10/30</t>
        </is>
      </c>
    </row>
    <row r="15648">
      <c r="A15648" t="n">
        <v>14401101</v>
      </c>
      <c r="B15648" t="n">
        <v>59191</v>
      </c>
      <c r="C15648" t="inlineStr">
        <is>
          <t>1440/11/01</t>
        </is>
      </c>
    </row>
    <row r="15649">
      <c r="A15649" t="n">
        <v>14401102</v>
      </c>
      <c r="B15649" t="n">
        <v>59192</v>
      </c>
      <c r="C15649" t="inlineStr">
        <is>
          <t>1440/11/02</t>
        </is>
      </c>
    </row>
    <row r="15650">
      <c r="A15650" t="n">
        <v>14401103</v>
      </c>
      <c r="B15650" t="n">
        <v>59193</v>
      </c>
      <c r="C15650" t="inlineStr">
        <is>
          <t>1440/11/03</t>
        </is>
      </c>
    </row>
    <row r="15651">
      <c r="A15651" t="n">
        <v>14401104</v>
      </c>
      <c r="B15651" t="n">
        <v>59194</v>
      </c>
      <c r="C15651" t="inlineStr">
        <is>
          <t>1440/11/04</t>
        </is>
      </c>
    </row>
    <row r="15652">
      <c r="A15652" t="n">
        <v>14401105</v>
      </c>
      <c r="B15652" t="n">
        <v>59195</v>
      </c>
      <c r="C15652" t="inlineStr">
        <is>
          <t>1440/11/05</t>
        </is>
      </c>
    </row>
    <row r="15653">
      <c r="A15653" t="n">
        <v>14401106</v>
      </c>
      <c r="B15653" t="n">
        <v>59196</v>
      </c>
      <c r="C15653" t="inlineStr">
        <is>
          <t>1440/11/06</t>
        </is>
      </c>
    </row>
    <row r="15654">
      <c r="A15654" t="n">
        <v>14401107</v>
      </c>
      <c r="B15654" t="n">
        <v>59197</v>
      </c>
      <c r="C15654" t="inlineStr">
        <is>
          <t>1440/11/07</t>
        </is>
      </c>
    </row>
    <row r="15655">
      <c r="A15655" t="n">
        <v>14401108</v>
      </c>
      <c r="B15655" t="n">
        <v>59198</v>
      </c>
      <c r="C15655" t="inlineStr">
        <is>
          <t>1440/11/08</t>
        </is>
      </c>
    </row>
    <row r="15656">
      <c r="A15656" t="n">
        <v>14401109</v>
      </c>
      <c r="B15656" t="n">
        <v>59199</v>
      </c>
      <c r="C15656" t="inlineStr">
        <is>
          <t>1440/11/09</t>
        </is>
      </c>
    </row>
    <row r="15657">
      <c r="A15657" t="n">
        <v>14401110</v>
      </c>
      <c r="B15657" t="n">
        <v>59200</v>
      </c>
      <c r="C15657" t="inlineStr">
        <is>
          <t>1440/11/10</t>
        </is>
      </c>
    </row>
    <row r="15658">
      <c r="A15658" t="n">
        <v>14401111</v>
      </c>
      <c r="B15658" t="n">
        <v>59201</v>
      </c>
      <c r="C15658" t="inlineStr">
        <is>
          <t>1440/11/11</t>
        </is>
      </c>
    </row>
    <row r="15659">
      <c r="A15659" t="n">
        <v>14401112</v>
      </c>
      <c r="B15659" t="n">
        <v>59202</v>
      </c>
      <c r="C15659" t="inlineStr">
        <is>
          <t>1440/11/12</t>
        </is>
      </c>
    </row>
    <row r="15660">
      <c r="A15660" t="n">
        <v>14401113</v>
      </c>
      <c r="B15660" t="n">
        <v>59203</v>
      </c>
      <c r="C15660" t="inlineStr">
        <is>
          <t>1440/11/13</t>
        </is>
      </c>
    </row>
    <row r="15661">
      <c r="A15661" t="n">
        <v>14401114</v>
      </c>
      <c r="B15661" t="n">
        <v>59204</v>
      </c>
      <c r="C15661" t="inlineStr">
        <is>
          <t>1440/11/14</t>
        </is>
      </c>
    </row>
    <row r="15662">
      <c r="A15662" t="n">
        <v>14401115</v>
      </c>
      <c r="B15662" t="n">
        <v>59205</v>
      </c>
      <c r="C15662" t="inlineStr">
        <is>
          <t>1440/11/15</t>
        </is>
      </c>
    </row>
    <row r="15663">
      <c r="A15663" t="n">
        <v>14401116</v>
      </c>
      <c r="B15663" t="n">
        <v>59206</v>
      </c>
      <c r="C15663" t="inlineStr">
        <is>
          <t>1440/11/16</t>
        </is>
      </c>
    </row>
    <row r="15664">
      <c r="A15664" t="n">
        <v>14401117</v>
      </c>
      <c r="B15664" t="n">
        <v>59207</v>
      </c>
      <c r="C15664" t="inlineStr">
        <is>
          <t>1440/11/17</t>
        </is>
      </c>
    </row>
    <row r="15665">
      <c r="A15665" t="n">
        <v>14401118</v>
      </c>
      <c r="B15665" t="n">
        <v>59208</v>
      </c>
      <c r="C15665" t="inlineStr">
        <is>
          <t>1440/11/18</t>
        </is>
      </c>
    </row>
    <row r="15666">
      <c r="A15666" t="n">
        <v>14401119</v>
      </c>
      <c r="B15666" t="n">
        <v>59209</v>
      </c>
      <c r="C15666" t="inlineStr">
        <is>
          <t>1440/11/19</t>
        </is>
      </c>
    </row>
    <row r="15667">
      <c r="A15667" t="n">
        <v>14401120</v>
      </c>
      <c r="B15667" t="n">
        <v>59210</v>
      </c>
      <c r="C15667" t="inlineStr">
        <is>
          <t>1440/11/20</t>
        </is>
      </c>
    </row>
    <row r="15668">
      <c r="A15668" t="n">
        <v>14401121</v>
      </c>
      <c r="B15668" t="n">
        <v>59211</v>
      </c>
      <c r="C15668" t="inlineStr">
        <is>
          <t>1440/11/21</t>
        </is>
      </c>
    </row>
    <row r="15669">
      <c r="A15669" t="n">
        <v>14401122</v>
      </c>
      <c r="B15669" t="n">
        <v>59212</v>
      </c>
      <c r="C15669" t="inlineStr">
        <is>
          <t>1440/11/22</t>
        </is>
      </c>
    </row>
    <row r="15670">
      <c r="A15670" t="n">
        <v>14401123</v>
      </c>
      <c r="B15670" t="n">
        <v>59213</v>
      </c>
      <c r="C15670" t="inlineStr">
        <is>
          <t>1440/11/23</t>
        </is>
      </c>
    </row>
    <row r="15671">
      <c r="A15671" t="n">
        <v>14401124</v>
      </c>
      <c r="B15671" t="n">
        <v>59214</v>
      </c>
      <c r="C15671" t="inlineStr">
        <is>
          <t>1440/11/24</t>
        </is>
      </c>
    </row>
    <row r="15672">
      <c r="A15672" t="n">
        <v>14401125</v>
      </c>
      <c r="B15672" t="n">
        <v>59215</v>
      </c>
      <c r="C15672" t="inlineStr">
        <is>
          <t>1440/11/25</t>
        </is>
      </c>
    </row>
    <row r="15673">
      <c r="A15673" t="n">
        <v>14401126</v>
      </c>
      <c r="B15673" t="n">
        <v>59216</v>
      </c>
      <c r="C15673" t="inlineStr">
        <is>
          <t>1440/11/26</t>
        </is>
      </c>
    </row>
    <row r="15674">
      <c r="A15674" t="n">
        <v>14401127</v>
      </c>
      <c r="B15674" t="n">
        <v>59217</v>
      </c>
      <c r="C15674" t="inlineStr">
        <is>
          <t>1440/11/27</t>
        </is>
      </c>
    </row>
    <row r="15675">
      <c r="A15675" t="n">
        <v>14401128</v>
      </c>
      <c r="B15675" t="n">
        <v>59218</v>
      </c>
      <c r="C15675" t="inlineStr">
        <is>
          <t>1440/11/28</t>
        </is>
      </c>
    </row>
    <row r="15676">
      <c r="A15676" t="n">
        <v>14401129</v>
      </c>
      <c r="B15676" t="n">
        <v>59219</v>
      </c>
      <c r="C15676" t="inlineStr">
        <is>
          <t>1440/11/29</t>
        </is>
      </c>
    </row>
    <row r="15677">
      <c r="A15677" t="n">
        <v>14401130</v>
      </c>
      <c r="B15677" t="n">
        <v>59220</v>
      </c>
      <c r="C15677" t="inlineStr">
        <is>
          <t>1440/11/30</t>
        </is>
      </c>
    </row>
    <row r="15678">
      <c r="A15678" t="n">
        <v>14401201</v>
      </c>
      <c r="B15678" t="n">
        <v>59221</v>
      </c>
      <c r="C15678" t="inlineStr">
        <is>
          <t>1440/12/01</t>
        </is>
      </c>
    </row>
    <row r="15679">
      <c r="A15679" t="n">
        <v>14401202</v>
      </c>
      <c r="B15679" t="n">
        <v>59222</v>
      </c>
      <c r="C15679" t="inlineStr">
        <is>
          <t>1440/12/02</t>
        </is>
      </c>
    </row>
    <row r="15680">
      <c r="A15680" t="n">
        <v>14401203</v>
      </c>
      <c r="B15680" t="n">
        <v>59223</v>
      </c>
      <c r="C15680" t="inlineStr">
        <is>
          <t>1440/12/03</t>
        </is>
      </c>
    </row>
    <row r="15681">
      <c r="A15681" t="n">
        <v>14401204</v>
      </c>
      <c r="B15681" t="n">
        <v>59224</v>
      </c>
      <c r="C15681" t="inlineStr">
        <is>
          <t>1440/12/04</t>
        </is>
      </c>
    </row>
    <row r="15682">
      <c r="A15682" t="n">
        <v>14401205</v>
      </c>
      <c r="B15682" t="n">
        <v>59225</v>
      </c>
      <c r="C15682" t="inlineStr">
        <is>
          <t>1440/12/05</t>
        </is>
      </c>
    </row>
    <row r="15683">
      <c r="A15683" t="n">
        <v>14401206</v>
      </c>
      <c r="B15683" t="n">
        <v>59226</v>
      </c>
      <c r="C15683" t="inlineStr">
        <is>
          <t>1440/12/06</t>
        </is>
      </c>
    </row>
    <row r="15684">
      <c r="A15684" t="n">
        <v>14401207</v>
      </c>
      <c r="B15684" t="n">
        <v>59227</v>
      </c>
      <c r="C15684" t="inlineStr">
        <is>
          <t>1440/12/07</t>
        </is>
      </c>
    </row>
    <row r="15685">
      <c r="A15685" t="n">
        <v>14401208</v>
      </c>
      <c r="B15685" t="n">
        <v>59228</v>
      </c>
      <c r="C15685" t="inlineStr">
        <is>
          <t>1440/12/08</t>
        </is>
      </c>
    </row>
    <row r="15686">
      <c r="A15686" t="n">
        <v>14401209</v>
      </c>
      <c r="B15686" t="n">
        <v>59229</v>
      </c>
      <c r="C15686" t="inlineStr">
        <is>
          <t>1440/12/09</t>
        </is>
      </c>
    </row>
    <row r="15687">
      <c r="A15687" t="n">
        <v>14401210</v>
      </c>
      <c r="B15687" t="n">
        <v>59230</v>
      </c>
      <c r="C15687" t="inlineStr">
        <is>
          <t>1440/12/10</t>
        </is>
      </c>
    </row>
    <row r="15688">
      <c r="A15688" t="n">
        <v>14401211</v>
      </c>
      <c r="B15688" t="n">
        <v>59231</v>
      </c>
      <c r="C15688" t="inlineStr">
        <is>
          <t>1440/12/11</t>
        </is>
      </c>
    </row>
    <row r="15689">
      <c r="A15689" t="n">
        <v>14401212</v>
      </c>
      <c r="B15689" t="n">
        <v>59232</v>
      </c>
      <c r="C15689" t="inlineStr">
        <is>
          <t>1440/12/12</t>
        </is>
      </c>
    </row>
    <row r="15690">
      <c r="A15690" t="n">
        <v>14401213</v>
      </c>
      <c r="B15690" t="n">
        <v>59233</v>
      </c>
      <c r="C15690" t="inlineStr">
        <is>
          <t>1440/12/13</t>
        </is>
      </c>
    </row>
    <row r="15691">
      <c r="A15691" t="n">
        <v>14401214</v>
      </c>
      <c r="B15691" t="n">
        <v>59234</v>
      </c>
      <c r="C15691" t="inlineStr">
        <is>
          <t>1440/12/14</t>
        </is>
      </c>
    </row>
    <row r="15692">
      <c r="A15692" t="n">
        <v>14401215</v>
      </c>
      <c r="B15692" t="n">
        <v>59235</v>
      </c>
      <c r="C15692" t="inlineStr">
        <is>
          <t>1440/12/15</t>
        </is>
      </c>
    </row>
    <row r="15693">
      <c r="A15693" t="n">
        <v>14401216</v>
      </c>
      <c r="B15693" t="n">
        <v>59236</v>
      </c>
      <c r="C15693" t="inlineStr">
        <is>
          <t>1440/12/16</t>
        </is>
      </c>
    </row>
    <row r="15694">
      <c r="A15694" t="n">
        <v>14401217</v>
      </c>
      <c r="B15694" t="n">
        <v>59237</v>
      </c>
      <c r="C15694" t="inlineStr">
        <is>
          <t>1440/12/17</t>
        </is>
      </c>
    </row>
    <row r="15695">
      <c r="A15695" t="n">
        <v>14401218</v>
      </c>
      <c r="B15695" t="n">
        <v>59238</v>
      </c>
      <c r="C15695" t="inlineStr">
        <is>
          <t>1440/12/18</t>
        </is>
      </c>
    </row>
    <row r="15696">
      <c r="A15696" t="n">
        <v>14401219</v>
      </c>
      <c r="B15696" t="n">
        <v>59239</v>
      </c>
      <c r="C15696" t="inlineStr">
        <is>
          <t>1440/12/19</t>
        </is>
      </c>
    </row>
    <row r="15697">
      <c r="A15697" t="n">
        <v>14401220</v>
      </c>
      <c r="B15697" t="n">
        <v>59240</v>
      </c>
      <c r="C15697" t="inlineStr">
        <is>
          <t>1440/12/20</t>
        </is>
      </c>
    </row>
    <row r="15698">
      <c r="A15698" t="n">
        <v>14401221</v>
      </c>
      <c r="B15698" t="n">
        <v>59241</v>
      </c>
      <c r="C15698" t="inlineStr">
        <is>
          <t>1440/12/21</t>
        </is>
      </c>
    </row>
    <row r="15699">
      <c r="A15699" t="n">
        <v>14401222</v>
      </c>
      <c r="B15699" t="n">
        <v>59242</v>
      </c>
      <c r="C15699" t="inlineStr">
        <is>
          <t>1440/12/22</t>
        </is>
      </c>
    </row>
    <row r="15700">
      <c r="A15700" t="n">
        <v>14401223</v>
      </c>
      <c r="B15700" t="n">
        <v>59243</v>
      </c>
      <c r="C15700" t="inlineStr">
        <is>
          <t>1440/12/23</t>
        </is>
      </c>
    </row>
    <row r="15701">
      <c r="A15701" t="n">
        <v>14401224</v>
      </c>
      <c r="B15701" t="n">
        <v>59244</v>
      </c>
      <c r="C15701" t="inlineStr">
        <is>
          <t>1440/12/24</t>
        </is>
      </c>
    </row>
    <row r="15702">
      <c r="A15702" t="n">
        <v>14401225</v>
      </c>
      <c r="B15702" t="n">
        <v>59245</v>
      </c>
      <c r="C15702" t="inlineStr">
        <is>
          <t>1440/12/25</t>
        </is>
      </c>
    </row>
    <row r="15703">
      <c r="A15703" t="n">
        <v>14401226</v>
      </c>
      <c r="B15703" t="n">
        <v>59246</v>
      </c>
      <c r="C15703" t="inlineStr">
        <is>
          <t>1440/12/26</t>
        </is>
      </c>
    </row>
    <row r="15704">
      <c r="A15704" t="n">
        <v>14401227</v>
      </c>
      <c r="B15704" t="n">
        <v>59247</v>
      </c>
      <c r="C15704" t="inlineStr">
        <is>
          <t>1440/12/27</t>
        </is>
      </c>
    </row>
    <row r="15705">
      <c r="A15705" t="n">
        <v>14401228</v>
      </c>
      <c r="B15705" t="n">
        <v>59248</v>
      </c>
      <c r="C15705" t="inlineStr">
        <is>
          <t>1440/12/28</t>
        </is>
      </c>
    </row>
    <row r="15706">
      <c r="A15706" t="n">
        <v>14401229</v>
      </c>
      <c r="B15706" t="n">
        <v>59249</v>
      </c>
      <c r="C15706" t="inlineStr">
        <is>
          <t>1440/12/29</t>
        </is>
      </c>
    </row>
    <row r="15707">
      <c r="A15707" t="n">
        <v>14410101</v>
      </c>
      <c r="B15707" t="n">
        <v>59250</v>
      </c>
      <c r="C15707" t="inlineStr">
        <is>
          <t>1441/01/01</t>
        </is>
      </c>
    </row>
    <row r="15708">
      <c r="A15708" t="n">
        <v>14410102</v>
      </c>
      <c r="B15708" t="n">
        <v>59251</v>
      </c>
      <c r="C15708" t="inlineStr">
        <is>
          <t>1441/01/02</t>
        </is>
      </c>
    </row>
    <row r="15709">
      <c r="A15709" t="n">
        <v>14410103</v>
      </c>
      <c r="B15709" t="n">
        <v>59252</v>
      </c>
      <c r="C15709" t="inlineStr">
        <is>
          <t>1441/01/03</t>
        </is>
      </c>
    </row>
    <row r="15710">
      <c r="A15710" t="n">
        <v>14410104</v>
      </c>
      <c r="B15710" t="n">
        <v>59253</v>
      </c>
      <c r="C15710" t="inlineStr">
        <is>
          <t>1441/01/04</t>
        </is>
      </c>
    </row>
    <row r="15711">
      <c r="A15711" t="n">
        <v>14410105</v>
      </c>
      <c r="B15711" t="n">
        <v>59254</v>
      </c>
      <c r="C15711" t="inlineStr">
        <is>
          <t>1441/01/05</t>
        </is>
      </c>
    </row>
    <row r="15712">
      <c r="A15712" t="n">
        <v>14410106</v>
      </c>
      <c r="B15712" t="n">
        <v>59255</v>
      </c>
      <c r="C15712" t="inlineStr">
        <is>
          <t>1441/01/06</t>
        </is>
      </c>
    </row>
    <row r="15713">
      <c r="A15713" t="n">
        <v>14410107</v>
      </c>
      <c r="B15713" t="n">
        <v>59256</v>
      </c>
      <c r="C15713" t="inlineStr">
        <is>
          <t>1441/01/07</t>
        </is>
      </c>
    </row>
    <row r="15714">
      <c r="A15714" t="n">
        <v>14410108</v>
      </c>
      <c r="B15714" t="n">
        <v>59257</v>
      </c>
      <c r="C15714" t="inlineStr">
        <is>
          <t>1441/01/08</t>
        </is>
      </c>
    </row>
    <row r="15715">
      <c r="A15715" t="n">
        <v>14410109</v>
      </c>
      <c r="B15715" t="n">
        <v>59258</v>
      </c>
      <c r="C15715" t="inlineStr">
        <is>
          <t>1441/01/09</t>
        </is>
      </c>
    </row>
    <row r="15716">
      <c r="A15716" t="n">
        <v>14410110</v>
      </c>
      <c r="B15716" t="n">
        <v>59259</v>
      </c>
      <c r="C15716" t="inlineStr">
        <is>
          <t>1441/01/10</t>
        </is>
      </c>
    </row>
    <row r="15717">
      <c r="A15717" t="n">
        <v>14410111</v>
      </c>
      <c r="B15717" t="n">
        <v>59260</v>
      </c>
      <c r="C15717" t="inlineStr">
        <is>
          <t>1441/01/11</t>
        </is>
      </c>
    </row>
    <row r="15718">
      <c r="A15718" t="n">
        <v>14410112</v>
      </c>
      <c r="B15718" t="n">
        <v>59261</v>
      </c>
      <c r="C15718" t="inlineStr">
        <is>
          <t>1441/01/12</t>
        </is>
      </c>
    </row>
    <row r="15719">
      <c r="A15719" t="n">
        <v>14410113</v>
      </c>
      <c r="B15719" t="n">
        <v>59262</v>
      </c>
      <c r="C15719" t="inlineStr">
        <is>
          <t>1441/01/13</t>
        </is>
      </c>
    </row>
    <row r="15720">
      <c r="A15720" t="n">
        <v>14410114</v>
      </c>
      <c r="B15720" t="n">
        <v>59263</v>
      </c>
      <c r="C15720" t="inlineStr">
        <is>
          <t>1441/01/14</t>
        </is>
      </c>
    </row>
    <row r="15721">
      <c r="A15721" t="n">
        <v>14410115</v>
      </c>
      <c r="B15721" t="n">
        <v>59264</v>
      </c>
      <c r="C15721" t="inlineStr">
        <is>
          <t>1441/01/15</t>
        </is>
      </c>
    </row>
    <row r="15722">
      <c r="A15722" t="n">
        <v>14410116</v>
      </c>
      <c r="B15722" t="n">
        <v>59265</v>
      </c>
      <c r="C15722" t="inlineStr">
        <is>
          <t>1441/01/16</t>
        </is>
      </c>
    </row>
    <row r="15723">
      <c r="A15723" t="n">
        <v>14410117</v>
      </c>
      <c r="B15723" t="n">
        <v>59266</v>
      </c>
      <c r="C15723" t="inlineStr">
        <is>
          <t>1441/01/17</t>
        </is>
      </c>
    </row>
    <row r="15724">
      <c r="A15724" t="n">
        <v>14410118</v>
      </c>
      <c r="B15724" t="n">
        <v>59267</v>
      </c>
      <c r="C15724" t="inlineStr">
        <is>
          <t>1441/01/18</t>
        </is>
      </c>
    </row>
    <row r="15725">
      <c r="A15725" t="n">
        <v>14410119</v>
      </c>
      <c r="B15725" t="n">
        <v>59268</v>
      </c>
      <c r="C15725" t="inlineStr">
        <is>
          <t>1441/01/19</t>
        </is>
      </c>
    </row>
    <row r="15726">
      <c r="A15726" t="n">
        <v>14410120</v>
      </c>
      <c r="B15726" t="n">
        <v>59269</v>
      </c>
      <c r="C15726" t="inlineStr">
        <is>
          <t>1441/01/20</t>
        </is>
      </c>
    </row>
    <row r="15727">
      <c r="A15727" t="n">
        <v>14410121</v>
      </c>
      <c r="B15727" t="n">
        <v>59270</v>
      </c>
      <c r="C15727" t="inlineStr">
        <is>
          <t>1441/01/21</t>
        </is>
      </c>
    </row>
    <row r="15728">
      <c r="A15728" t="n">
        <v>14410122</v>
      </c>
      <c r="B15728" t="n">
        <v>59271</v>
      </c>
      <c r="C15728" t="inlineStr">
        <is>
          <t>1441/01/22</t>
        </is>
      </c>
    </row>
    <row r="15729">
      <c r="A15729" t="n">
        <v>14410123</v>
      </c>
      <c r="B15729" t="n">
        <v>59272</v>
      </c>
      <c r="C15729" t="inlineStr">
        <is>
          <t>1441/01/23</t>
        </is>
      </c>
    </row>
    <row r="15730">
      <c r="A15730" t="n">
        <v>14410124</v>
      </c>
      <c r="B15730" t="n">
        <v>59273</v>
      </c>
      <c r="C15730" t="inlineStr">
        <is>
          <t>1441/01/24</t>
        </is>
      </c>
    </row>
    <row r="15731">
      <c r="A15731" t="n">
        <v>14410125</v>
      </c>
      <c r="B15731" t="n">
        <v>59274</v>
      </c>
      <c r="C15731" t="inlineStr">
        <is>
          <t>1441/01/25</t>
        </is>
      </c>
    </row>
    <row r="15732">
      <c r="A15732" t="n">
        <v>14410126</v>
      </c>
      <c r="B15732" t="n">
        <v>59275</v>
      </c>
      <c r="C15732" t="inlineStr">
        <is>
          <t>1441/01/26</t>
        </is>
      </c>
    </row>
    <row r="15733">
      <c r="A15733" t="n">
        <v>14410127</v>
      </c>
      <c r="B15733" t="n">
        <v>59276</v>
      </c>
      <c r="C15733" t="inlineStr">
        <is>
          <t>1441/01/27</t>
        </is>
      </c>
    </row>
    <row r="15734">
      <c r="A15734" t="n">
        <v>14410128</v>
      </c>
      <c r="B15734" t="n">
        <v>59277</v>
      </c>
      <c r="C15734" t="inlineStr">
        <is>
          <t>1441/01/28</t>
        </is>
      </c>
    </row>
    <row r="15735">
      <c r="A15735" t="n">
        <v>14410129</v>
      </c>
      <c r="B15735" t="n">
        <v>59278</v>
      </c>
      <c r="C15735" t="inlineStr">
        <is>
          <t>1441/01/29</t>
        </is>
      </c>
    </row>
    <row r="15736">
      <c r="A15736" t="n">
        <v>14410130</v>
      </c>
      <c r="B15736" t="n">
        <v>59279</v>
      </c>
      <c r="C15736" t="inlineStr">
        <is>
          <t>1441/01/30</t>
        </is>
      </c>
    </row>
    <row r="15737">
      <c r="A15737" t="n">
        <v>14410131</v>
      </c>
      <c r="B15737" t="n">
        <v>59280</v>
      </c>
      <c r="C15737" t="inlineStr">
        <is>
          <t>1441/01/31</t>
        </is>
      </c>
    </row>
    <row r="15738">
      <c r="A15738" t="n">
        <v>14410201</v>
      </c>
      <c r="B15738" t="n">
        <v>59281</v>
      </c>
      <c r="C15738" t="inlineStr">
        <is>
          <t>1441/02/01</t>
        </is>
      </c>
    </row>
    <row r="15739">
      <c r="A15739" t="n">
        <v>14410202</v>
      </c>
      <c r="B15739" t="n">
        <v>59282</v>
      </c>
      <c r="C15739" t="inlineStr">
        <is>
          <t>1441/02/02</t>
        </is>
      </c>
    </row>
    <row r="15740">
      <c r="A15740" t="n">
        <v>14410203</v>
      </c>
      <c r="B15740" t="n">
        <v>59283</v>
      </c>
      <c r="C15740" t="inlineStr">
        <is>
          <t>1441/02/03</t>
        </is>
      </c>
    </row>
    <row r="15741">
      <c r="A15741" t="n">
        <v>14410204</v>
      </c>
      <c r="B15741" t="n">
        <v>59284</v>
      </c>
      <c r="C15741" t="inlineStr">
        <is>
          <t>1441/02/04</t>
        </is>
      </c>
    </row>
    <row r="15742">
      <c r="A15742" t="n">
        <v>14410205</v>
      </c>
      <c r="B15742" t="n">
        <v>59285</v>
      </c>
      <c r="C15742" t="inlineStr">
        <is>
          <t>1441/02/05</t>
        </is>
      </c>
    </row>
    <row r="15743">
      <c r="A15743" t="n">
        <v>14410206</v>
      </c>
      <c r="B15743" t="n">
        <v>59286</v>
      </c>
      <c r="C15743" t="inlineStr">
        <is>
          <t>1441/02/06</t>
        </is>
      </c>
    </row>
    <row r="15744">
      <c r="A15744" t="n">
        <v>14410207</v>
      </c>
      <c r="B15744" t="n">
        <v>59287</v>
      </c>
      <c r="C15744" t="inlineStr">
        <is>
          <t>1441/02/07</t>
        </is>
      </c>
    </row>
    <row r="15745">
      <c r="A15745" t="n">
        <v>14410208</v>
      </c>
      <c r="B15745" t="n">
        <v>59288</v>
      </c>
      <c r="C15745" t="inlineStr">
        <is>
          <t>1441/02/08</t>
        </is>
      </c>
    </row>
    <row r="15746">
      <c r="A15746" t="n">
        <v>14410209</v>
      </c>
      <c r="B15746" t="n">
        <v>59289</v>
      </c>
      <c r="C15746" t="inlineStr">
        <is>
          <t>1441/02/09</t>
        </is>
      </c>
    </row>
    <row r="15747">
      <c r="A15747" t="n">
        <v>14410210</v>
      </c>
      <c r="B15747" t="n">
        <v>59290</v>
      </c>
      <c r="C15747" t="inlineStr">
        <is>
          <t>1441/02/10</t>
        </is>
      </c>
    </row>
    <row r="15748">
      <c r="A15748" t="n">
        <v>14410211</v>
      </c>
      <c r="B15748" t="n">
        <v>59291</v>
      </c>
      <c r="C15748" t="inlineStr">
        <is>
          <t>1441/02/11</t>
        </is>
      </c>
    </row>
    <row r="15749">
      <c r="A15749" t="n">
        <v>14410212</v>
      </c>
      <c r="B15749" t="n">
        <v>59292</v>
      </c>
      <c r="C15749" t="inlineStr">
        <is>
          <t>1441/02/12</t>
        </is>
      </c>
    </row>
    <row r="15750">
      <c r="A15750" t="n">
        <v>14410213</v>
      </c>
      <c r="B15750" t="n">
        <v>59293</v>
      </c>
      <c r="C15750" t="inlineStr">
        <is>
          <t>1441/02/13</t>
        </is>
      </c>
    </row>
    <row r="15751">
      <c r="A15751" t="n">
        <v>14410214</v>
      </c>
      <c r="B15751" t="n">
        <v>59294</v>
      </c>
      <c r="C15751" t="inlineStr">
        <is>
          <t>1441/02/14</t>
        </is>
      </c>
    </row>
    <row r="15752">
      <c r="A15752" t="n">
        <v>14410215</v>
      </c>
      <c r="B15752" t="n">
        <v>59295</v>
      </c>
      <c r="C15752" t="inlineStr">
        <is>
          <t>1441/02/15</t>
        </is>
      </c>
    </row>
    <row r="15753">
      <c r="A15753" t="n">
        <v>14410216</v>
      </c>
      <c r="B15753" t="n">
        <v>59296</v>
      </c>
      <c r="C15753" t="inlineStr">
        <is>
          <t>1441/02/16</t>
        </is>
      </c>
    </row>
    <row r="15754">
      <c r="A15754" t="n">
        <v>14410217</v>
      </c>
      <c r="B15754" t="n">
        <v>59297</v>
      </c>
      <c r="C15754" t="inlineStr">
        <is>
          <t>1441/02/17</t>
        </is>
      </c>
    </row>
    <row r="15755">
      <c r="A15755" t="n">
        <v>14410218</v>
      </c>
      <c r="B15755" t="n">
        <v>59298</v>
      </c>
      <c r="C15755" t="inlineStr">
        <is>
          <t>1441/02/18</t>
        </is>
      </c>
    </row>
    <row r="15756">
      <c r="A15756" t="n">
        <v>14410219</v>
      </c>
      <c r="B15756" t="n">
        <v>59299</v>
      </c>
      <c r="C15756" t="inlineStr">
        <is>
          <t>1441/02/19</t>
        </is>
      </c>
    </row>
    <row r="15757">
      <c r="A15757" t="n">
        <v>14410220</v>
      </c>
      <c r="B15757" t="n">
        <v>59300</v>
      </c>
      <c r="C15757" t="inlineStr">
        <is>
          <t>1441/02/20</t>
        </is>
      </c>
    </row>
    <row r="15758">
      <c r="A15758" t="n">
        <v>14410221</v>
      </c>
      <c r="B15758" t="n">
        <v>59301</v>
      </c>
      <c r="C15758" t="inlineStr">
        <is>
          <t>1441/02/21</t>
        </is>
      </c>
    </row>
    <row r="15759">
      <c r="A15759" t="n">
        <v>14410222</v>
      </c>
      <c r="B15759" t="n">
        <v>59302</v>
      </c>
      <c r="C15759" t="inlineStr">
        <is>
          <t>1441/02/22</t>
        </is>
      </c>
    </row>
    <row r="15760">
      <c r="A15760" t="n">
        <v>14410223</v>
      </c>
      <c r="B15760" t="n">
        <v>59303</v>
      </c>
      <c r="C15760" t="inlineStr">
        <is>
          <t>1441/02/23</t>
        </is>
      </c>
    </row>
    <row r="15761">
      <c r="A15761" t="n">
        <v>14410224</v>
      </c>
      <c r="B15761" t="n">
        <v>59304</v>
      </c>
      <c r="C15761" t="inlineStr">
        <is>
          <t>1441/02/24</t>
        </is>
      </c>
    </row>
    <row r="15762">
      <c r="A15762" t="n">
        <v>14410225</v>
      </c>
      <c r="B15762" t="n">
        <v>59305</v>
      </c>
      <c r="C15762" t="inlineStr">
        <is>
          <t>1441/02/25</t>
        </is>
      </c>
    </row>
    <row r="15763">
      <c r="A15763" t="n">
        <v>14410226</v>
      </c>
      <c r="B15763" t="n">
        <v>59306</v>
      </c>
      <c r="C15763" t="inlineStr">
        <is>
          <t>1441/02/26</t>
        </is>
      </c>
    </row>
    <row r="15764">
      <c r="A15764" t="n">
        <v>14410227</v>
      </c>
      <c r="B15764" t="n">
        <v>59307</v>
      </c>
      <c r="C15764" t="inlineStr">
        <is>
          <t>1441/02/27</t>
        </is>
      </c>
    </row>
    <row r="15765">
      <c r="A15765" t="n">
        <v>14410228</v>
      </c>
      <c r="B15765" t="n">
        <v>59308</v>
      </c>
      <c r="C15765" t="inlineStr">
        <is>
          <t>1441/02/28</t>
        </is>
      </c>
    </row>
    <row r="15766">
      <c r="A15766" t="n">
        <v>14410229</v>
      </c>
      <c r="B15766" t="n">
        <v>59309</v>
      </c>
      <c r="C15766" t="inlineStr">
        <is>
          <t>1441/02/29</t>
        </is>
      </c>
    </row>
    <row r="15767">
      <c r="A15767" t="n">
        <v>14410230</v>
      </c>
      <c r="B15767" t="n">
        <v>59310</v>
      </c>
      <c r="C15767" t="inlineStr">
        <is>
          <t>1441/02/30</t>
        </is>
      </c>
    </row>
    <row r="15768">
      <c r="A15768" t="n">
        <v>14410231</v>
      </c>
      <c r="B15768" t="n">
        <v>59311</v>
      </c>
      <c r="C15768" t="inlineStr">
        <is>
          <t>1441/02/31</t>
        </is>
      </c>
    </row>
    <row r="15769">
      <c r="A15769" t="n">
        <v>14410301</v>
      </c>
      <c r="B15769" t="n">
        <v>59312</v>
      </c>
      <c r="C15769" t="inlineStr">
        <is>
          <t>1441/03/01</t>
        </is>
      </c>
    </row>
    <row r="15770">
      <c r="A15770" t="n">
        <v>14410302</v>
      </c>
      <c r="B15770" t="n">
        <v>59313</v>
      </c>
      <c r="C15770" t="inlineStr">
        <is>
          <t>1441/03/02</t>
        </is>
      </c>
    </row>
    <row r="15771">
      <c r="A15771" t="n">
        <v>14410303</v>
      </c>
      <c r="B15771" t="n">
        <v>59314</v>
      </c>
      <c r="C15771" t="inlineStr">
        <is>
          <t>1441/03/03</t>
        </is>
      </c>
    </row>
    <row r="15772">
      <c r="A15772" t="n">
        <v>14410304</v>
      </c>
      <c r="B15772" t="n">
        <v>59315</v>
      </c>
      <c r="C15772" t="inlineStr">
        <is>
          <t>1441/03/04</t>
        </is>
      </c>
    </row>
    <row r="15773">
      <c r="A15773" t="n">
        <v>14410305</v>
      </c>
      <c r="B15773" t="n">
        <v>59316</v>
      </c>
      <c r="C15773" t="inlineStr">
        <is>
          <t>1441/03/05</t>
        </is>
      </c>
    </row>
    <row r="15774">
      <c r="A15774" t="n">
        <v>14410306</v>
      </c>
      <c r="B15774" t="n">
        <v>59317</v>
      </c>
      <c r="C15774" t="inlineStr">
        <is>
          <t>1441/03/06</t>
        </is>
      </c>
    </row>
    <row r="15775">
      <c r="A15775" t="n">
        <v>14410307</v>
      </c>
      <c r="B15775" t="n">
        <v>59318</v>
      </c>
      <c r="C15775" t="inlineStr">
        <is>
          <t>1441/03/07</t>
        </is>
      </c>
    </row>
    <row r="15776">
      <c r="A15776" t="n">
        <v>14410308</v>
      </c>
      <c r="B15776" t="n">
        <v>59319</v>
      </c>
      <c r="C15776" t="inlineStr">
        <is>
          <t>1441/03/08</t>
        </is>
      </c>
    </row>
    <row r="15777">
      <c r="A15777" t="n">
        <v>14410309</v>
      </c>
      <c r="B15777" t="n">
        <v>59320</v>
      </c>
      <c r="C15777" t="inlineStr">
        <is>
          <t>1441/03/09</t>
        </is>
      </c>
    </row>
    <row r="15778">
      <c r="A15778" t="n">
        <v>14410310</v>
      </c>
      <c r="B15778" t="n">
        <v>59321</v>
      </c>
      <c r="C15778" t="inlineStr">
        <is>
          <t>1441/03/10</t>
        </is>
      </c>
    </row>
    <row r="15779">
      <c r="A15779" t="n">
        <v>14410311</v>
      </c>
      <c r="B15779" t="n">
        <v>59322</v>
      </c>
      <c r="C15779" t="inlineStr">
        <is>
          <t>1441/03/11</t>
        </is>
      </c>
    </row>
    <row r="15780">
      <c r="A15780" t="n">
        <v>14410312</v>
      </c>
      <c r="B15780" t="n">
        <v>59323</v>
      </c>
      <c r="C15780" t="inlineStr">
        <is>
          <t>1441/03/12</t>
        </is>
      </c>
    </row>
    <row r="15781">
      <c r="A15781" t="n">
        <v>14410313</v>
      </c>
      <c r="B15781" t="n">
        <v>59324</v>
      </c>
      <c r="C15781" t="inlineStr">
        <is>
          <t>1441/03/13</t>
        </is>
      </c>
    </row>
    <row r="15782">
      <c r="A15782" t="n">
        <v>14410314</v>
      </c>
      <c r="B15782" t="n">
        <v>59325</v>
      </c>
      <c r="C15782" t="inlineStr">
        <is>
          <t>1441/03/14</t>
        </is>
      </c>
    </row>
    <row r="15783">
      <c r="A15783" t="n">
        <v>14410315</v>
      </c>
      <c r="B15783" t="n">
        <v>59326</v>
      </c>
      <c r="C15783" t="inlineStr">
        <is>
          <t>1441/03/15</t>
        </is>
      </c>
    </row>
    <row r="15784">
      <c r="A15784" t="n">
        <v>14410316</v>
      </c>
      <c r="B15784" t="n">
        <v>59327</v>
      </c>
      <c r="C15784" t="inlineStr">
        <is>
          <t>1441/03/16</t>
        </is>
      </c>
    </row>
    <row r="15785">
      <c r="A15785" t="n">
        <v>14410317</v>
      </c>
      <c r="B15785" t="n">
        <v>59328</v>
      </c>
      <c r="C15785" t="inlineStr">
        <is>
          <t>1441/03/17</t>
        </is>
      </c>
    </row>
    <row r="15786">
      <c r="A15786" t="n">
        <v>14410318</v>
      </c>
      <c r="B15786" t="n">
        <v>59329</v>
      </c>
      <c r="C15786" t="inlineStr">
        <is>
          <t>1441/03/18</t>
        </is>
      </c>
    </row>
    <row r="15787">
      <c r="A15787" t="n">
        <v>14410319</v>
      </c>
      <c r="B15787" t="n">
        <v>59330</v>
      </c>
      <c r="C15787" t="inlineStr">
        <is>
          <t>1441/03/19</t>
        </is>
      </c>
    </row>
    <row r="15788">
      <c r="A15788" t="n">
        <v>14410320</v>
      </c>
      <c r="B15788" t="n">
        <v>59331</v>
      </c>
      <c r="C15788" t="inlineStr">
        <is>
          <t>1441/03/20</t>
        </is>
      </c>
    </row>
    <row r="15789">
      <c r="A15789" t="n">
        <v>14410321</v>
      </c>
      <c r="B15789" t="n">
        <v>59332</v>
      </c>
      <c r="C15789" t="inlineStr">
        <is>
          <t>1441/03/21</t>
        </is>
      </c>
    </row>
    <row r="15790">
      <c r="A15790" t="n">
        <v>14410322</v>
      </c>
      <c r="B15790" t="n">
        <v>59333</v>
      </c>
      <c r="C15790" t="inlineStr">
        <is>
          <t>1441/03/22</t>
        </is>
      </c>
    </row>
    <row r="15791">
      <c r="A15791" t="n">
        <v>14410323</v>
      </c>
      <c r="B15791" t="n">
        <v>59334</v>
      </c>
      <c r="C15791" t="inlineStr">
        <is>
          <t>1441/03/23</t>
        </is>
      </c>
    </row>
    <row r="15792">
      <c r="A15792" t="n">
        <v>14410324</v>
      </c>
      <c r="B15792" t="n">
        <v>59335</v>
      </c>
      <c r="C15792" t="inlineStr">
        <is>
          <t>1441/03/24</t>
        </is>
      </c>
    </row>
    <row r="15793">
      <c r="A15793" t="n">
        <v>14410325</v>
      </c>
      <c r="B15793" t="n">
        <v>59336</v>
      </c>
      <c r="C15793" t="inlineStr">
        <is>
          <t>1441/03/25</t>
        </is>
      </c>
    </row>
    <row r="15794">
      <c r="A15794" t="n">
        <v>14410326</v>
      </c>
      <c r="B15794" t="n">
        <v>59337</v>
      </c>
      <c r="C15794" t="inlineStr">
        <is>
          <t>1441/03/26</t>
        </is>
      </c>
    </row>
    <row r="15795">
      <c r="A15795" t="n">
        <v>14410327</v>
      </c>
      <c r="B15795" t="n">
        <v>59338</v>
      </c>
      <c r="C15795" t="inlineStr">
        <is>
          <t>1441/03/27</t>
        </is>
      </c>
    </row>
    <row r="15796">
      <c r="A15796" t="n">
        <v>14410328</v>
      </c>
      <c r="B15796" t="n">
        <v>59339</v>
      </c>
      <c r="C15796" t="inlineStr">
        <is>
          <t>1441/03/28</t>
        </is>
      </c>
    </row>
    <row r="15797">
      <c r="A15797" t="n">
        <v>14410329</v>
      </c>
      <c r="B15797" t="n">
        <v>59340</v>
      </c>
      <c r="C15797" t="inlineStr">
        <is>
          <t>1441/03/29</t>
        </is>
      </c>
    </row>
    <row r="15798">
      <c r="A15798" t="n">
        <v>14410330</v>
      </c>
      <c r="B15798" t="n">
        <v>59341</v>
      </c>
      <c r="C15798" t="inlineStr">
        <is>
          <t>1441/03/30</t>
        </is>
      </c>
    </row>
    <row r="15799">
      <c r="A15799" t="n">
        <v>14410331</v>
      </c>
      <c r="B15799" t="n">
        <v>59342</v>
      </c>
      <c r="C15799" t="inlineStr">
        <is>
          <t>1441/03/31</t>
        </is>
      </c>
    </row>
    <row r="15800">
      <c r="A15800" t="n">
        <v>14410401</v>
      </c>
      <c r="B15800" t="n">
        <v>59343</v>
      </c>
      <c r="C15800" t="inlineStr">
        <is>
          <t>1441/04/01</t>
        </is>
      </c>
    </row>
    <row r="15801">
      <c r="A15801" t="n">
        <v>14410402</v>
      </c>
      <c r="B15801" t="n">
        <v>59344</v>
      </c>
      <c r="C15801" t="inlineStr">
        <is>
          <t>1441/04/02</t>
        </is>
      </c>
    </row>
    <row r="15802">
      <c r="A15802" t="n">
        <v>14410403</v>
      </c>
      <c r="B15802" t="n">
        <v>59345</v>
      </c>
      <c r="C15802" t="inlineStr">
        <is>
          <t>1441/04/03</t>
        </is>
      </c>
    </row>
    <row r="15803">
      <c r="A15803" t="n">
        <v>14410404</v>
      </c>
      <c r="B15803" t="n">
        <v>59346</v>
      </c>
      <c r="C15803" t="inlineStr">
        <is>
          <t>1441/04/04</t>
        </is>
      </c>
    </row>
    <row r="15804">
      <c r="A15804" t="n">
        <v>14410405</v>
      </c>
      <c r="B15804" t="n">
        <v>59347</v>
      </c>
      <c r="C15804" t="inlineStr">
        <is>
          <t>1441/04/05</t>
        </is>
      </c>
    </row>
    <row r="15805">
      <c r="A15805" t="n">
        <v>14410406</v>
      </c>
      <c r="B15805" t="n">
        <v>59348</v>
      </c>
      <c r="C15805" t="inlineStr">
        <is>
          <t>1441/04/06</t>
        </is>
      </c>
    </row>
    <row r="15806">
      <c r="A15806" t="n">
        <v>14410407</v>
      </c>
      <c r="B15806" t="n">
        <v>59349</v>
      </c>
      <c r="C15806" t="inlineStr">
        <is>
          <t>1441/04/07</t>
        </is>
      </c>
    </row>
    <row r="15807">
      <c r="A15807" t="n">
        <v>14410408</v>
      </c>
      <c r="B15807" t="n">
        <v>59350</v>
      </c>
      <c r="C15807" t="inlineStr">
        <is>
          <t>1441/04/08</t>
        </is>
      </c>
    </row>
    <row r="15808">
      <c r="A15808" t="n">
        <v>14410409</v>
      </c>
      <c r="B15808" t="n">
        <v>59351</v>
      </c>
      <c r="C15808" t="inlineStr">
        <is>
          <t>1441/04/09</t>
        </is>
      </c>
    </row>
    <row r="15809">
      <c r="A15809" t="n">
        <v>14410410</v>
      </c>
      <c r="B15809" t="n">
        <v>59352</v>
      </c>
      <c r="C15809" t="inlineStr">
        <is>
          <t>1441/04/10</t>
        </is>
      </c>
    </row>
    <row r="15810">
      <c r="A15810" t="n">
        <v>14410411</v>
      </c>
      <c r="B15810" t="n">
        <v>59353</v>
      </c>
      <c r="C15810" t="inlineStr">
        <is>
          <t>1441/04/11</t>
        </is>
      </c>
    </row>
    <row r="15811">
      <c r="A15811" t="n">
        <v>14410412</v>
      </c>
      <c r="B15811" t="n">
        <v>59354</v>
      </c>
      <c r="C15811" t="inlineStr">
        <is>
          <t>1441/04/12</t>
        </is>
      </c>
    </row>
    <row r="15812">
      <c r="A15812" t="n">
        <v>14410413</v>
      </c>
      <c r="B15812" t="n">
        <v>59355</v>
      </c>
      <c r="C15812" t="inlineStr">
        <is>
          <t>1441/04/13</t>
        </is>
      </c>
    </row>
    <row r="15813">
      <c r="A15813" t="n">
        <v>14410414</v>
      </c>
      <c r="B15813" t="n">
        <v>59356</v>
      </c>
      <c r="C15813" t="inlineStr">
        <is>
          <t>1441/04/14</t>
        </is>
      </c>
    </row>
    <row r="15814">
      <c r="A15814" t="n">
        <v>14410415</v>
      </c>
      <c r="B15814" t="n">
        <v>59357</v>
      </c>
      <c r="C15814" t="inlineStr">
        <is>
          <t>1441/04/15</t>
        </is>
      </c>
    </row>
    <row r="15815">
      <c r="A15815" t="n">
        <v>14410416</v>
      </c>
      <c r="B15815" t="n">
        <v>59358</v>
      </c>
      <c r="C15815" t="inlineStr">
        <is>
          <t>1441/04/16</t>
        </is>
      </c>
    </row>
    <row r="15816">
      <c r="A15816" t="n">
        <v>14410417</v>
      </c>
      <c r="B15816" t="n">
        <v>59359</v>
      </c>
      <c r="C15816" t="inlineStr">
        <is>
          <t>1441/04/17</t>
        </is>
      </c>
    </row>
    <row r="15817">
      <c r="A15817" t="n">
        <v>14410418</v>
      </c>
      <c r="B15817" t="n">
        <v>59360</v>
      </c>
      <c r="C15817" t="inlineStr">
        <is>
          <t>1441/04/18</t>
        </is>
      </c>
    </row>
    <row r="15818">
      <c r="A15818" t="n">
        <v>14410419</v>
      </c>
      <c r="B15818" t="n">
        <v>59361</v>
      </c>
      <c r="C15818" t="inlineStr">
        <is>
          <t>1441/04/19</t>
        </is>
      </c>
    </row>
    <row r="15819">
      <c r="A15819" t="n">
        <v>14410420</v>
      </c>
      <c r="B15819" t="n">
        <v>59362</v>
      </c>
      <c r="C15819" t="inlineStr">
        <is>
          <t>1441/04/20</t>
        </is>
      </c>
    </row>
    <row r="15820">
      <c r="A15820" t="n">
        <v>14410421</v>
      </c>
      <c r="B15820" t="n">
        <v>59363</v>
      </c>
      <c r="C15820" t="inlineStr">
        <is>
          <t>1441/04/21</t>
        </is>
      </c>
    </row>
    <row r="15821">
      <c r="A15821" t="n">
        <v>14410422</v>
      </c>
      <c r="B15821" t="n">
        <v>59364</v>
      </c>
      <c r="C15821" t="inlineStr">
        <is>
          <t>1441/04/22</t>
        </is>
      </c>
    </row>
    <row r="15822">
      <c r="A15822" t="n">
        <v>14410423</v>
      </c>
      <c r="B15822" t="n">
        <v>59365</v>
      </c>
      <c r="C15822" t="inlineStr">
        <is>
          <t>1441/04/23</t>
        </is>
      </c>
    </row>
    <row r="15823">
      <c r="A15823" t="n">
        <v>14410424</v>
      </c>
      <c r="B15823" t="n">
        <v>59366</v>
      </c>
      <c r="C15823" t="inlineStr">
        <is>
          <t>1441/04/24</t>
        </is>
      </c>
    </row>
    <row r="15824">
      <c r="A15824" t="n">
        <v>14410425</v>
      </c>
      <c r="B15824" t="n">
        <v>59367</v>
      </c>
      <c r="C15824" t="inlineStr">
        <is>
          <t>1441/04/25</t>
        </is>
      </c>
    </row>
    <row r="15825">
      <c r="A15825" t="n">
        <v>14410426</v>
      </c>
      <c r="B15825" t="n">
        <v>59368</v>
      </c>
      <c r="C15825" t="inlineStr">
        <is>
          <t>1441/04/26</t>
        </is>
      </c>
    </row>
    <row r="15826">
      <c r="A15826" t="n">
        <v>14410427</v>
      </c>
      <c r="B15826" t="n">
        <v>59369</v>
      </c>
      <c r="C15826" t="inlineStr">
        <is>
          <t>1441/04/27</t>
        </is>
      </c>
    </row>
    <row r="15827">
      <c r="A15827" t="n">
        <v>14410428</v>
      </c>
      <c r="B15827" t="n">
        <v>59370</v>
      </c>
      <c r="C15827" t="inlineStr">
        <is>
          <t>1441/04/28</t>
        </is>
      </c>
    </row>
    <row r="15828">
      <c r="A15828" t="n">
        <v>14410429</v>
      </c>
      <c r="B15828" t="n">
        <v>59371</v>
      </c>
      <c r="C15828" t="inlineStr">
        <is>
          <t>1441/04/29</t>
        </is>
      </c>
    </row>
    <row r="15829">
      <c r="A15829" t="n">
        <v>14410430</v>
      </c>
      <c r="B15829" t="n">
        <v>59372</v>
      </c>
      <c r="C15829" t="inlineStr">
        <is>
          <t>1441/04/30</t>
        </is>
      </c>
    </row>
    <row r="15830">
      <c r="A15830" t="n">
        <v>14410431</v>
      </c>
      <c r="B15830" t="n">
        <v>59373</v>
      </c>
      <c r="C15830" t="inlineStr">
        <is>
          <t>1441/04/31</t>
        </is>
      </c>
    </row>
    <row r="15831">
      <c r="A15831" t="n">
        <v>14410501</v>
      </c>
      <c r="B15831" t="n">
        <v>59374</v>
      </c>
      <c r="C15831" t="inlineStr">
        <is>
          <t>1441/05/01</t>
        </is>
      </c>
    </row>
    <row r="15832">
      <c r="A15832" t="n">
        <v>14410502</v>
      </c>
      <c r="B15832" t="n">
        <v>59375</v>
      </c>
      <c r="C15832" t="inlineStr">
        <is>
          <t>1441/05/02</t>
        </is>
      </c>
    </row>
    <row r="15833">
      <c r="A15833" t="n">
        <v>14410503</v>
      </c>
      <c r="B15833" t="n">
        <v>59376</v>
      </c>
      <c r="C15833" t="inlineStr">
        <is>
          <t>1441/05/03</t>
        </is>
      </c>
    </row>
    <row r="15834">
      <c r="A15834" t="n">
        <v>14410504</v>
      </c>
      <c r="B15834" t="n">
        <v>59377</v>
      </c>
      <c r="C15834" t="inlineStr">
        <is>
          <t>1441/05/04</t>
        </is>
      </c>
    </row>
    <row r="15835">
      <c r="A15835" t="n">
        <v>14410505</v>
      </c>
      <c r="B15835" t="n">
        <v>59378</v>
      </c>
      <c r="C15835" t="inlineStr">
        <is>
          <t>1441/05/05</t>
        </is>
      </c>
    </row>
    <row r="15836">
      <c r="A15836" t="n">
        <v>14410506</v>
      </c>
      <c r="B15836" t="n">
        <v>59379</v>
      </c>
      <c r="C15836" t="inlineStr">
        <is>
          <t>1441/05/06</t>
        </is>
      </c>
    </row>
    <row r="15837">
      <c r="A15837" t="n">
        <v>14410507</v>
      </c>
      <c r="B15837" t="n">
        <v>59380</v>
      </c>
      <c r="C15837" t="inlineStr">
        <is>
          <t>1441/05/07</t>
        </is>
      </c>
    </row>
    <row r="15838">
      <c r="A15838" t="n">
        <v>14410508</v>
      </c>
      <c r="B15838" t="n">
        <v>59381</v>
      </c>
      <c r="C15838" t="inlineStr">
        <is>
          <t>1441/05/08</t>
        </is>
      </c>
    </row>
    <row r="15839">
      <c r="A15839" t="n">
        <v>14410509</v>
      </c>
      <c r="B15839" t="n">
        <v>59382</v>
      </c>
      <c r="C15839" t="inlineStr">
        <is>
          <t>1441/05/09</t>
        </is>
      </c>
    </row>
    <row r="15840">
      <c r="A15840" t="n">
        <v>14410510</v>
      </c>
      <c r="B15840" t="n">
        <v>59383</v>
      </c>
      <c r="C15840" t="inlineStr">
        <is>
          <t>1441/05/10</t>
        </is>
      </c>
    </row>
    <row r="15841">
      <c r="A15841" t="n">
        <v>14410511</v>
      </c>
      <c r="B15841" t="n">
        <v>59384</v>
      </c>
      <c r="C15841" t="inlineStr">
        <is>
          <t>1441/05/11</t>
        </is>
      </c>
    </row>
    <row r="15842">
      <c r="A15842" t="n">
        <v>14410512</v>
      </c>
      <c r="B15842" t="n">
        <v>59385</v>
      </c>
      <c r="C15842" t="inlineStr">
        <is>
          <t>1441/05/12</t>
        </is>
      </c>
    </row>
    <row r="15843">
      <c r="A15843" t="n">
        <v>14410513</v>
      </c>
      <c r="B15843" t="n">
        <v>59386</v>
      </c>
      <c r="C15843" t="inlineStr">
        <is>
          <t>1441/05/13</t>
        </is>
      </c>
    </row>
    <row r="15844">
      <c r="A15844" t="n">
        <v>14410514</v>
      </c>
      <c r="B15844" t="n">
        <v>59387</v>
      </c>
      <c r="C15844" t="inlineStr">
        <is>
          <t>1441/05/14</t>
        </is>
      </c>
    </row>
    <row r="15845">
      <c r="A15845" t="n">
        <v>14410515</v>
      </c>
      <c r="B15845" t="n">
        <v>59388</v>
      </c>
      <c r="C15845" t="inlineStr">
        <is>
          <t>1441/05/15</t>
        </is>
      </c>
    </row>
    <row r="15846">
      <c r="A15846" t="n">
        <v>14410516</v>
      </c>
      <c r="B15846" t="n">
        <v>59389</v>
      </c>
      <c r="C15846" t="inlineStr">
        <is>
          <t>1441/05/16</t>
        </is>
      </c>
    </row>
    <row r="15847">
      <c r="A15847" t="n">
        <v>14410517</v>
      </c>
      <c r="B15847" t="n">
        <v>59390</v>
      </c>
      <c r="C15847" t="inlineStr">
        <is>
          <t>1441/05/17</t>
        </is>
      </c>
    </row>
    <row r="15848">
      <c r="A15848" t="n">
        <v>14410518</v>
      </c>
      <c r="B15848" t="n">
        <v>59391</v>
      </c>
      <c r="C15848" t="inlineStr">
        <is>
          <t>1441/05/18</t>
        </is>
      </c>
    </row>
    <row r="15849">
      <c r="A15849" t="n">
        <v>14410519</v>
      </c>
      <c r="B15849" t="n">
        <v>59392</v>
      </c>
      <c r="C15849" t="inlineStr">
        <is>
          <t>1441/05/19</t>
        </is>
      </c>
    </row>
    <row r="15850">
      <c r="A15850" t="n">
        <v>14410520</v>
      </c>
      <c r="B15850" t="n">
        <v>59393</v>
      </c>
      <c r="C15850" t="inlineStr">
        <is>
          <t>1441/05/20</t>
        </is>
      </c>
    </row>
    <row r="15851">
      <c r="A15851" t="n">
        <v>14410521</v>
      </c>
      <c r="B15851" t="n">
        <v>59394</v>
      </c>
      <c r="C15851" t="inlineStr">
        <is>
          <t>1441/05/21</t>
        </is>
      </c>
    </row>
    <row r="15852">
      <c r="A15852" t="n">
        <v>14410522</v>
      </c>
      <c r="B15852" t="n">
        <v>59395</v>
      </c>
      <c r="C15852" t="inlineStr">
        <is>
          <t>1441/05/22</t>
        </is>
      </c>
    </row>
    <row r="15853">
      <c r="A15853" t="n">
        <v>14410523</v>
      </c>
      <c r="B15853" t="n">
        <v>59396</v>
      </c>
      <c r="C15853" t="inlineStr">
        <is>
          <t>1441/05/23</t>
        </is>
      </c>
    </row>
    <row r="15854">
      <c r="A15854" t="n">
        <v>14410524</v>
      </c>
      <c r="B15854" t="n">
        <v>59397</v>
      </c>
      <c r="C15854" t="inlineStr">
        <is>
          <t>1441/05/24</t>
        </is>
      </c>
    </row>
    <row r="15855">
      <c r="A15855" t="n">
        <v>14410525</v>
      </c>
      <c r="B15855" t="n">
        <v>59398</v>
      </c>
      <c r="C15855" t="inlineStr">
        <is>
          <t>1441/05/25</t>
        </is>
      </c>
    </row>
    <row r="15856">
      <c r="A15856" t="n">
        <v>14410526</v>
      </c>
      <c r="B15856" t="n">
        <v>59399</v>
      </c>
      <c r="C15856" t="inlineStr">
        <is>
          <t>1441/05/26</t>
        </is>
      </c>
    </row>
    <row r="15857">
      <c r="A15857" t="n">
        <v>14410527</v>
      </c>
      <c r="B15857" t="n">
        <v>59400</v>
      </c>
      <c r="C15857" t="inlineStr">
        <is>
          <t>1441/05/27</t>
        </is>
      </c>
    </row>
    <row r="15858">
      <c r="A15858" t="n">
        <v>14410528</v>
      </c>
      <c r="B15858" t="n">
        <v>59401</v>
      </c>
      <c r="C15858" t="inlineStr">
        <is>
          <t>1441/05/28</t>
        </is>
      </c>
    </row>
    <row r="15859">
      <c r="A15859" t="n">
        <v>14410529</v>
      </c>
      <c r="B15859" t="n">
        <v>59402</v>
      </c>
      <c r="C15859" t="inlineStr">
        <is>
          <t>1441/05/29</t>
        </is>
      </c>
    </row>
    <row r="15860">
      <c r="A15860" t="n">
        <v>14410530</v>
      </c>
      <c r="B15860" t="n">
        <v>59403</v>
      </c>
      <c r="C15860" t="inlineStr">
        <is>
          <t>1441/05/30</t>
        </is>
      </c>
    </row>
    <row r="15861">
      <c r="A15861" t="n">
        <v>14410531</v>
      </c>
      <c r="B15861" t="n">
        <v>59404</v>
      </c>
      <c r="C15861" t="inlineStr">
        <is>
          <t>1441/05/31</t>
        </is>
      </c>
    </row>
    <row r="15862">
      <c r="A15862" t="n">
        <v>14410601</v>
      </c>
      <c r="B15862" t="n">
        <v>59405</v>
      </c>
      <c r="C15862" t="inlineStr">
        <is>
          <t>1441/06/01</t>
        </is>
      </c>
    </row>
    <row r="15863">
      <c r="A15863" t="n">
        <v>14410602</v>
      </c>
      <c r="B15863" t="n">
        <v>59406</v>
      </c>
      <c r="C15863" t="inlineStr">
        <is>
          <t>1441/06/02</t>
        </is>
      </c>
    </row>
    <row r="15864">
      <c r="A15864" t="n">
        <v>14410603</v>
      </c>
      <c r="B15864" t="n">
        <v>59407</v>
      </c>
      <c r="C15864" t="inlineStr">
        <is>
          <t>1441/06/03</t>
        </is>
      </c>
    </row>
    <row r="15865">
      <c r="A15865" t="n">
        <v>14410604</v>
      </c>
      <c r="B15865" t="n">
        <v>59408</v>
      </c>
      <c r="C15865" t="inlineStr">
        <is>
          <t>1441/06/04</t>
        </is>
      </c>
    </row>
    <row r="15866">
      <c r="A15866" t="n">
        <v>14410605</v>
      </c>
      <c r="B15866" t="n">
        <v>59409</v>
      </c>
      <c r="C15866" t="inlineStr">
        <is>
          <t>1441/06/05</t>
        </is>
      </c>
    </row>
    <row r="15867">
      <c r="A15867" t="n">
        <v>14410606</v>
      </c>
      <c r="B15867" t="n">
        <v>59410</v>
      </c>
      <c r="C15867" t="inlineStr">
        <is>
          <t>1441/06/06</t>
        </is>
      </c>
    </row>
    <row r="15868">
      <c r="A15868" t="n">
        <v>14410607</v>
      </c>
      <c r="B15868" t="n">
        <v>59411</v>
      </c>
      <c r="C15868" t="inlineStr">
        <is>
          <t>1441/06/07</t>
        </is>
      </c>
    </row>
    <row r="15869">
      <c r="A15869" t="n">
        <v>14410608</v>
      </c>
      <c r="B15869" t="n">
        <v>59412</v>
      </c>
      <c r="C15869" t="inlineStr">
        <is>
          <t>1441/06/08</t>
        </is>
      </c>
    </row>
    <row r="15870">
      <c r="A15870" t="n">
        <v>14410609</v>
      </c>
      <c r="B15870" t="n">
        <v>59413</v>
      </c>
      <c r="C15870" t="inlineStr">
        <is>
          <t>1441/06/09</t>
        </is>
      </c>
    </row>
    <row r="15871">
      <c r="A15871" t="n">
        <v>14410610</v>
      </c>
      <c r="B15871" t="n">
        <v>59414</v>
      </c>
      <c r="C15871" t="inlineStr">
        <is>
          <t>1441/06/10</t>
        </is>
      </c>
    </row>
    <row r="15872">
      <c r="A15872" t="n">
        <v>14410611</v>
      </c>
      <c r="B15872" t="n">
        <v>59415</v>
      </c>
      <c r="C15872" t="inlineStr">
        <is>
          <t>1441/06/11</t>
        </is>
      </c>
    </row>
    <row r="15873">
      <c r="A15873" t="n">
        <v>14410612</v>
      </c>
      <c r="B15873" t="n">
        <v>59416</v>
      </c>
      <c r="C15873" t="inlineStr">
        <is>
          <t>1441/06/12</t>
        </is>
      </c>
    </row>
    <row r="15874">
      <c r="A15874" t="n">
        <v>14410613</v>
      </c>
      <c r="B15874" t="n">
        <v>59417</v>
      </c>
      <c r="C15874" t="inlineStr">
        <is>
          <t>1441/06/13</t>
        </is>
      </c>
    </row>
    <row r="15875">
      <c r="A15875" t="n">
        <v>14410614</v>
      </c>
      <c r="B15875" t="n">
        <v>59418</v>
      </c>
      <c r="C15875" t="inlineStr">
        <is>
          <t>1441/06/14</t>
        </is>
      </c>
    </row>
    <row r="15876">
      <c r="A15876" t="n">
        <v>14410615</v>
      </c>
      <c r="B15876" t="n">
        <v>59419</v>
      </c>
      <c r="C15876" t="inlineStr">
        <is>
          <t>1441/06/15</t>
        </is>
      </c>
    </row>
    <row r="15877">
      <c r="A15877" t="n">
        <v>14410616</v>
      </c>
      <c r="B15877" t="n">
        <v>59420</v>
      </c>
      <c r="C15877" t="inlineStr">
        <is>
          <t>1441/06/16</t>
        </is>
      </c>
    </row>
    <row r="15878">
      <c r="A15878" t="n">
        <v>14410617</v>
      </c>
      <c r="B15878" t="n">
        <v>59421</v>
      </c>
      <c r="C15878" t="inlineStr">
        <is>
          <t>1441/06/17</t>
        </is>
      </c>
    </row>
    <row r="15879">
      <c r="A15879" t="n">
        <v>14410618</v>
      </c>
      <c r="B15879" t="n">
        <v>59422</v>
      </c>
      <c r="C15879" t="inlineStr">
        <is>
          <t>1441/06/18</t>
        </is>
      </c>
    </row>
    <row r="15880">
      <c r="A15880" t="n">
        <v>14410619</v>
      </c>
      <c r="B15880" t="n">
        <v>59423</v>
      </c>
      <c r="C15880" t="inlineStr">
        <is>
          <t>1441/06/19</t>
        </is>
      </c>
    </row>
    <row r="15881">
      <c r="A15881" t="n">
        <v>14410620</v>
      </c>
      <c r="B15881" t="n">
        <v>59424</v>
      </c>
      <c r="C15881" t="inlineStr">
        <is>
          <t>1441/06/20</t>
        </is>
      </c>
    </row>
    <row r="15882">
      <c r="A15882" t="n">
        <v>14410621</v>
      </c>
      <c r="B15882" t="n">
        <v>59425</v>
      </c>
      <c r="C15882" t="inlineStr">
        <is>
          <t>1441/06/21</t>
        </is>
      </c>
    </row>
    <row r="15883">
      <c r="A15883" t="n">
        <v>14410622</v>
      </c>
      <c r="B15883" t="n">
        <v>59426</v>
      </c>
      <c r="C15883" t="inlineStr">
        <is>
          <t>1441/06/22</t>
        </is>
      </c>
    </row>
    <row r="15884">
      <c r="A15884" t="n">
        <v>14410623</v>
      </c>
      <c r="B15884" t="n">
        <v>59427</v>
      </c>
      <c r="C15884" t="inlineStr">
        <is>
          <t>1441/06/23</t>
        </is>
      </c>
    </row>
    <row r="15885">
      <c r="A15885" t="n">
        <v>14410624</v>
      </c>
      <c r="B15885" t="n">
        <v>59428</v>
      </c>
      <c r="C15885" t="inlineStr">
        <is>
          <t>1441/06/24</t>
        </is>
      </c>
    </row>
    <row r="15886">
      <c r="A15886" t="n">
        <v>14410625</v>
      </c>
      <c r="B15886" t="n">
        <v>59429</v>
      </c>
      <c r="C15886" t="inlineStr">
        <is>
          <t>1441/06/25</t>
        </is>
      </c>
    </row>
    <row r="15887">
      <c r="A15887" t="n">
        <v>14410626</v>
      </c>
      <c r="B15887" t="n">
        <v>59430</v>
      </c>
      <c r="C15887" t="inlineStr">
        <is>
          <t>1441/06/26</t>
        </is>
      </c>
    </row>
    <row r="15888">
      <c r="A15888" t="n">
        <v>14410627</v>
      </c>
      <c r="B15888" t="n">
        <v>59431</v>
      </c>
      <c r="C15888" t="inlineStr">
        <is>
          <t>1441/06/27</t>
        </is>
      </c>
    </row>
    <row r="15889">
      <c r="A15889" t="n">
        <v>14410628</v>
      </c>
      <c r="B15889" t="n">
        <v>59432</v>
      </c>
      <c r="C15889" t="inlineStr">
        <is>
          <t>1441/06/28</t>
        </is>
      </c>
    </row>
    <row r="15890">
      <c r="A15890" t="n">
        <v>14410629</v>
      </c>
      <c r="B15890" t="n">
        <v>59433</v>
      </c>
      <c r="C15890" t="inlineStr">
        <is>
          <t>1441/06/29</t>
        </is>
      </c>
    </row>
    <row r="15891">
      <c r="A15891" t="n">
        <v>14410630</v>
      </c>
      <c r="B15891" t="n">
        <v>59434</v>
      </c>
      <c r="C15891" t="inlineStr">
        <is>
          <t>1441/06/30</t>
        </is>
      </c>
    </row>
    <row r="15892">
      <c r="A15892" t="n">
        <v>14410631</v>
      </c>
      <c r="B15892" t="n">
        <v>59435</v>
      </c>
      <c r="C15892" t="inlineStr">
        <is>
          <t>1441/06/31</t>
        </is>
      </c>
    </row>
    <row r="15893">
      <c r="A15893" t="n">
        <v>14410701</v>
      </c>
      <c r="B15893" t="n">
        <v>59436</v>
      </c>
      <c r="C15893" t="inlineStr">
        <is>
          <t>1441/07/01</t>
        </is>
      </c>
    </row>
    <row r="15894">
      <c r="A15894" t="n">
        <v>14410702</v>
      </c>
      <c r="B15894" t="n">
        <v>59437</v>
      </c>
      <c r="C15894" t="inlineStr">
        <is>
          <t>1441/07/02</t>
        </is>
      </c>
    </row>
    <row r="15895">
      <c r="A15895" t="n">
        <v>14410703</v>
      </c>
      <c r="B15895" t="n">
        <v>59438</v>
      </c>
      <c r="C15895" t="inlineStr">
        <is>
          <t>1441/07/03</t>
        </is>
      </c>
    </row>
    <row r="15896">
      <c r="A15896" t="n">
        <v>14410704</v>
      </c>
      <c r="B15896" t="n">
        <v>59439</v>
      </c>
      <c r="C15896" t="inlineStr">
        <is>
          <t>1441/07/04</t>
        </is>
      </c>
    </row>
    <row r="15897">
      <c r="A15897" t="n">
        <v>14410705</v>
      </c>
      <c r="B15897" t="n">
        <v>59440</v>
      </c>
      <c r="C15897" t="inlineStr">
        <is>
          <t>1441/07/05</t>
        </is>
      </c>
    </row>
    <row r="15898">
      <c r="A15898" t="n">
        <v>14410706</v>
      </c>
      <c r="B15898" t="n">
        <v>59441</v>
      </c>
      <c r="C15898" t="inlineStr">
        <is>
          <t>1441/07/06</t>
        </is>
      </c>
    </row>
    <row r="15899">
      <c r="A15899" t="n">
        <v>14410707</v>
      </c>
      <c r="B15899" t="n">
        <v>59442</v>
      </c>
      <c r="C15899" t="inlineStr">
        <is>
          <t>1441/07/07</t>
        </is>
      </c>
    </row>
    <row r="15900">
      <c r="A15900" t="n">
        <v>14410708</v>
      </c>
      <c r="B15900" t="n">
        <v>59443</v>
      </c>
      <c r="C15900" t="inlineStr">
        <is>
          <t>1441/07/08</t>
        </is>
      </c>
    </row>
    <row r="15901">
      <c r="A15901" t="n">
        <v>14410709</v>
      </c>
      <c r="B15901" t="n">
        <v>59444</v>
      </c>
      <c r="C15901" t="inlineStr">
        <is>
          <t>1441/07/09</t>
        </is>
      </c>
    </row>
    <row r="15902">
      <c r="A15902" t="n">
        <v>14410710</v>
      </c>
      <c r="B15902" t="n">
        <v>59445</v>
      </c>
      <c r="C15902" t="inlineStr">
        <is>
          <t>1441/07/10</t>
        </is>
      </c>
    </row>
    <row r="15903">
      <c r="A15903" t="n">
        <v>14410711</v>
      </c>
      <c r="B15903" t="n">
        <v>59446</v>
      </c>
      <c r="C15903" t="inlineStr">
        <is>
          <t>1441/07/11</t>
        </is>
      </c>
    </row>
    <row r="15904">
      <c r="A15904" t="n">
        <v>14410712</v>
      </c>
      <c r="B15904" t="n">
        <v>59447</v>
      </c>
      <c r="C15904" t="inlineStr">
        <is>
          <t>1441/07/12</t>
        </is>
      </c>
    </row>
    <row r="15905">
      <c r="A15905" t="n">
        <v>14410713</v>
      </c>
      <c r="B15905" t="n">
        <v>59448</v>
      </c>
      <c r="C15905" t="inlineStr">
        <is>
          <t>1441/07/13</t>
        </is>
      </c>
    </row>
    <row r="15906">
      <c r="A15906" t="n">
        <v>14410714</v>
      </c>
      <c r="B15906" t="n">
        <v>59449</v>
      </c>
      <c r="C15906" t="inlineStr">
        <is>
          <t>1441/07/14</t>
        </is>
      </c>
    </row>
    <row r="15907">
      <c r="A15907" t="n">
        <v>14410715</v>
      </c>
      <c r="B15907" t="n">
        <v>59450</v>
      </c>
      <c r="C15907" t="inlineStr">
        <is>
          <t>1441/07/15</t>
        </is>
      </c>
    </row>
    <row r="15908">
      <c r="A15908" t="n">
        <v>14410716</v>
      </c>
      <c r="B15908" t="n">
        <v>59451</v>
      </c>
      <c r="C15908" t="inlineStr">
        <is>
          <t>1441/07/16</t>
        </is>
      </c>
    </row>
    <row r="15909">
      <c r="A15909" t="n">
        <v>14410717</v>
      </c>
      <c r="B15909" t="n">
        <v>59452</v>
      </c>
      <c r="C15909" t="inlineStr">
        <is>
          <t>1441/07/17</t>
        </is>
      </c>
    </row>
    <row r="15910">
      <c r="A15910" t="n">
        <v>14410718</v>
      </c>
      <c r="B15910" t="n">
        <v>59453</v>
      </c>
      <c r="C15910" t="inlineStr">
        <is>
          <t>1441/07/18</t>
        </is>
      </c>
    </row>
    <row r="15911">
      <c r="A15911" t="n">
        <v>14410719</v>
      </c>
      <c r="B15911" t="n">
        <v>59454</v>
      </c>
      <c r="C15911" t="inlineStr">
        <is>
          <t>1441/07/19</t>
        </is>
      </c>
    </row>
    <row r="15912">
      <c r="A15912" t="n">
        <v>14410720</v>
      </c>
      <c r="B15912" t="n">
        <v>59455</v>
      </c>
      <c r="C15912" t="inlineStr">
        <is>
          <t>1441/07/20</t>
        </is>
      </c>
    </row>
    <row r="15913">
      <c r="A15913" t="n">
        <v>14410721</v>
      </c>
      <c r="B15913" t="n">
        <v>59456</v>
      </c>
      <c r="C15913" t="inlineStr">
        <is>
          <t>1441/07/21</t>
        </is>
      </c>
    </row>
    <row r="15914">
      <c r="A15914" t="n">
        <v>14410722</v>
      </c>
      <c r="B15914" t="n">
        <v>59457</v>
      </c>
      <c r="C15914" t="inlineStr">
        <is>
          <t>1441/07/22</t>
        </is>
      </c>
    </row>
    <row r="15915">
      <c r="A15915" t="n">
        <v>14410723</v>
      </c>
      <c r="B15915" t="n">
        <v>59458</v>
      </c>
      <c r="C15915" t="inlineStr">
        <is>
          <t>1441/07/23</t>
        </is>
      </c>
    </row>
    <row r="15916">
      <c r="A15916" t="n">
        <v>14410724</v>
      </c>
      <c r="B15916" t="n">
        <v>59459</v>
      </c>
      <c r="C15916" t="inlineStr">
        <is>
          <t>1441/07/24</t>
        </is>
      </c>
    </row>
    <row r="15917">
      <c r="A15917" t="n">
        <v>14410725</v>
      </c>
      <c r="B15917" t="n">
        <v>59460</v>
      </c>
      <c r="C15917" t="inlineStr">
        <is>
          <t>1441/07/25</t>
        </is>
      </c>
    </row>
    <row r="15918">
      <c r="A15918" t="n">
        <v>14410726</v>
      </c>
      <c r="B15918" t="n">
        <v>59461</v>
      </c>
      <c r="C15918" t="inlineStr">
        <is>
          <t>1441/07/26</t>
        </is>
      </c>
    </row>
    <row r="15919">
      <c r="A15919" t="n">
        <v>14410727</v>
      </c>
      <c r="B15919" t="n">
        <v>59462</v>
      </c>
      <c r="C15919" t="inlineStr">
        <is>
          <t>1441/07/27</t>
        </is>
      </c>
    </row>
    <row r="15920">
      <c r="A15920" t="n">
        <v>14410728</v>
      </c>
      <c r="B15920" t="n">
        <v>59463</v>
      </c>
      <c r="C15920" t="inlineStr">
        <is>
          <t>1441/07/28</t>
        </is>
      </c>
    </row>
    <row r="15921">
      <c r="A15921" t="n">
        <v>14410729</v>
      </c>
      <c r="B15921" t="n">
        <v>59464</v>
      </c>
      <c r="C15921" t="inlineStr">
        <is>
          <t>1441/07/29</t>
        </is>
      </c>
    </row>
    <row r="15922">
      <c r="A15922" t="n">
        <v>14410730</v>
      </c>
      <c r="B15922" t="n">
        <v>59465</v>
      </c>
      <c r="C15922" t="inlineStr">
        <is>
          <t>1441/07/30</t>
        </is>
      </c>
    </row>
    <row r="15923">
      <c r="A15923" t="n">
        <v>14410801</v>
      </c>
      <c r="B15923" t="n">
        <v>59466</v>
      </c>
      <c r="C15923" t="inlineStr">
        <is>
          <t>1441/08/01</t>
        </is>
      </c>
    </row>
    <row r="15924">
      <c r="A15924" t="n">
        <v>14410802</v>
      </c>
      <c r="B15924" t="n">
        <v>59467</v>
      </c>
      <c r="C15924" t="inlineStr">
        <is>
          <t>1441/08/02</t>
        </is>
      </c>
    </row>
    <row r="15925">
      <c r="A15925" t="n">
        <v>14410803</v>
      </c>
      <c r="B15925" t="n">
        <v>59468</v>
      </c>
      <c r="C15925" t="inlineStr">
        <is>
          <t>1441/08/03</t>
        </is>
      </c>
    </row>
    <row r="15926">
      <c r="A15926" t="n">
        <v>14410804</v>
      </c>
      <c r="B15926" t="n">
        <v>59469</v>
      </c>
      <c r="C15926" t="inlineStr">
        <is>
          <t>1441/08/04</t>
        </is>
      </c>
    </row>
    <row r="15927">
      <c r="A15927" t="n">
        <v>14410805</v>
      </c>
      <c r="B15927" t="n">
        <v>59470</v>
      </c>
      <c r="C15927" t="inlineStr">
        <is>
          <t>1441/08/05</t>
        </is>
      </c>
    </row>
    <row r="15928">
      <c r="A15928" t="n">
        <v>14410806</v>
      </c>
      <c r="B15928" t="n">
        <v>59471</v>
      </c>
      <c r="C15928" t="inlineStr">
        <is>
          <t>1441/08/06</t>
        </is>
      </c>
    </row>
    <row r="15929">
      <c r="A15929" t="n">
        <v>14410807</v>
      </c>
      <c r="B15929" t="n">
        <v>59472</v>
      </c>
      <c r="C15929" t="inlineStr">
        <is>
          <t>1441/08/07</t>
        </is>
      </c>
    </row>
    <row r="15930">
      <c r="A15930" t="n">
        <v>14410808</v>
      </c>
      <c r="B15930" t="n">
        <v>59473</v>
      </c>
      <c r="C15930" t="inlineStr">
        <is>
          <t>1441/08/08</t>
        </is>
      </c>
    </row>
    <row r="15931">
      <c r="A15931" t="n">
        <v>14410809</v>
      </c>
      <c r="B15931" t="n">
        <v>59474</v>
      </c>
      <c r="C15931" t="inlineStr">
        <is>
          <t>1441/08/09</t>
        </is>
      </c>
    </row>
    <row r="15932">
      <c r="A15932" t="n">
        <v>14410810</v>
      </c>
      <c r="B15932" t="n">
        <v>59475</v>
      </c>
      <c r="C15932" t="inlineStr">
        <is>
          <t>1441/08/10</t>
        </is>
      </c>
    </row>
    <row r="15933">
      <c r="A15933" t="n">
        <v>14410811</v>
      </c>
      <c r="B15933" t="n">
        <v>59476</v>
      </c>
      <c r="C15933" t="inlineStr">
        <is>
          <t>1441/08/11</t>
        </is>
      </c>
    </row>
    <row r="15934">
      <c r="A15934" t="n">
        <v>14410812</v>
      </c>
      <c r="B15934" t="n">
        <v>59477</v>
      </c>
      <c r="C15934" t="inlineStr">
        <is>
          <t>1441/08/12</t>
        </is>
      </c>
    </row>
    <row r="15935">
      <c r="A15935" t="n">
        <v>14410813</v>
      </c>
      <c r="B15935" t="n">
        <v>59478</v>
      </c>
      <c r="C15935" t="inlineStr">
        <is>
          <t>1441/08/13</t>
        </is>
      </c>
    </row>
    <row r="15936">
      <c r="A15936" t="n">
        <v>14410814</v>
      </c>
      <c r="B15936" t="n">
        <v>59479</v>
      </c>
      <c r="C15936" t="inlineStr">
        <is>
          <t>1441/08/14</t>
        </is>
      </c>
    </row>
    <row r="15937">
      <c r="A15937" t="n">
        <v>14410815</v>
      </c>
      <c r="B15937" t="n">
        <v>59480</v>
      </c>
      <c r="C15937" t="inlineStr">
        <is>
          <t>1441/08/15</t>
        </is>
      </c>
    </row>
    <row r="15938">
      <c r="A15938" t="n">
        <v>14410816</v>
      </c>
      <c r="B15938" t="n">
        <v>59481</v>
      </c>
      <c r="C15938" t="inlineStr">
        <is>
          <t>1441/08/16</t>
        </is>
      </c>
    </row>
    <row r="15939">
      <c r="A15939" t="n">
        <v>14410817</v>
      </c>
      <c r="B15939" t="n">
        <v>59482</v>
      </c>
      <c r="C15939" t="inlineStr">
        <is>
          <t>1441/08/17</t>
        </is>
      </c>
    </row>
    <row r="15940">
      <c r="A15940" t="n">
        <v>14410818</v>
      </c>
      <c r="B15940" t="n">
        <v>59483</v>
      </c>
      <c r="C15940" t="inlineStr">
        <is>
          <t>1441/08/18</t>
        </is>
      </c>
    </row>
    <row r="15941">
      <c r="A15941" t="n">
        <v>14410819</v>
      </c>
      <c r="B15941" t="n">
        <v>59484</v>
      </c>
      <c r="C15941" t="inlineStr">
        <is>
          <t>1441/08/19</t>
        </is>
      </c>
    </row>
    <row r="15942">
      <c r="A15942" t="n">
        <v>14410820</v>
      </c>
      <c r="B15942" t="n">
        <v>59485</v>
      </c>
      <c r="C15942" t="inlineStr">
        <is>
          <t>1441/08/20</t>
        </is>
      </c>
    </row>
    <row r="15943">
      <c r="A15943" t="n">
        <v>14410821</v>
      </c>
      <c r="B15943" t="n">
        <v>59486</v>
      </c>
      <c r="C15943" t="inlineStr">
        <is>
          <t>1441/08/21</t>
        </is>
      </c>
    </row>
    <row r="15944">
      <c r="A15944" t="n">
        <v>14410822</v>
      </c>
      <c r="B15944" t="n">
        <v>59487</v>
      </c>
      <c r="C15944" t="inlineStr">
        <is>
          <t>1441/08/22</t>
        </is>
      </c>
    </row>
    <row r="15945">
      <c r="A15945" t="n">
        <v>14410823</v>
      </c>
      <c r="B15945" t="n">
        <v>59488</v>
      </c>
      <c r="C15945" t="inlineStr">
        <is>
          <t>1441/08/23</t>
        </is>
      </c>
    </row>
    <row r="15946">
      <c r="A15946" t="n">
        <v>14410824</v>
      </c>
      <c r="B15946" t="n">
        <v>59489</v>
      </c>
      <c r="C15946" t="inlineStr">
        <is>
          <t>1441/08/24</t>
        </is>
      </c>
    </row>
    <row r="15947">
      <c r="A15947" t="n">
        <v>14410825</v>
      </c>
      <c r="B15947" t="n">
        <v>59490</v>
      </c>
      <c r="C15947" t="inlineStr">
        <is>
          <t>1441/08/25</t>
        </is>
      </c>
    </row>
    <row r="15948">
      <c r="A15948" t="n">
        <v>14410826</v>
      </c>
      <c r="B15948" t="n">
        <v>59491</v>
      </c>
      <c r="C15948" t="inlineStr">
        <is>
          <t>1441/08/26</t>
        </is>
      </c>
    </row>
    <row r="15949">
      <c r="A15949" t="n">
        <v>14410827</v>
      </c>
      <c r="B15949" t="n">
        <v>59492</v>
      </c>
      <c r="C15949" t="inlineStr">
        <is>
          <t>1441/08/27</t>
        </is>
      </c>
    </row>
    <row r="15950">
      <c r="A15950" t="n">
        <v>14410828</v>
      </c>
      <c r="B15950" t="n">
        <v>59493</v>
      </c>
      <c r="C15950" t="inlineStr">
        <is>
          <t>1441/08/28</t>
        </is>
      </c>
    </row>
    <row r="15951">
      <c r="A15951" t="n">
        <v>14410829</v>
      </c>
      <c r="B15951" t="n">
        <v>59494</v>
      </c>
      <c r="C15951" t="inlineStr">
        <is>
          <t>1441/08/29</t>
        </is>
      </c>
    </row>
    <row r="15952">
      <c r="A15952" t="n">
        <v>14410830</v>
      </c>
      <c r="B15952" t="n">
        <v>59495</v>
      </c>
      <c r="C15952" t="inlineStr">
        <is>
          <t>1441/08/30</t>
        </is>
      </c>
    </row>
    <row r="15953">
      <c r="A15953" t="n">
        <v>14410901</v>
      </c>
      <c r="B15953" t="n">
        <v>59496</v>
      </c>
      <c r="C15953" t="inlineStr">
        <is>
          <t>1441/09/01</t>
        </is>
      </c>
    </row>
    <row r="15954">
      <c r="A15954" t="n">
        <v>14410902</v>
      </c>
      <c r="B15954" t="n">
        <v>59497</v>
      </c>
      <c r="C15954" t="inlineStr">
        <is>
          <t>1441/09/02</t>
        </is>
      </c>
    </row>
    <row r="15955">
      <c r="A15955" t="n">
        <v>14410903</v>
      </c>
      <c r="B15955" t="n">
        <v>59498</v>
      </c>
      <c r="C15955" t="inlineStr">
        <is>
          <t>1441/09/03</t>
        </is>
      </c>
    </row>
    <row r="15956">
      <c r="A15956" t="n">
        <v>14410904</v>
      </c>
      <c r="B15956" t="n">
        <v>59499</v>
      </c>
      <c r="C15956" t="inlineStr">
        <is>
          <t>1441/09/04</t>
        </is>
      </c>
    </row>
    <row r="15957">
      <c r="A15957" t="n">
        <v>14410905</v>
      </c>
      <c r="B15957" t="n">
        <v>59500</v>
      </c>
      <c r="C15957" t="inlineStr">
        <is>
          <t>1441/09/05</t>
        </is>
      </c>
    </row>
    <row r="15958">
      <c r="A15958" t="n">
        <v>14410906</v>
      </c>
      <c r="B15958" t="n">
        <v>59501</v>
      </c>
      <c r="C15958" t="inlineStr">
        <is>
          <t>1441/09/06</t>
        </is>
      </c>
    </row>
    <row r="15959">
      <c r="A15959" t="n">
        <v>14410907</v>
      </c>
      <c r="B15959" t="n">
        <v>59502</v>
      </c>
      <c r="C15959" t="inlineStr">
        <is>
          <t>1441/09/07</t>
        </is>
      </c>
    </row>
    <row r="15960">
      <c r="A15960" t="n">
        <v>14410908</v>
      </c>
      <c r="B15960" t="n">
        <v>59503</v>
      </c>
      <c r="C15960" t="inlineStr">
        <is>
          <t>1441/09/08</t>
        </is>
      </c>
    </row>
    <row r="15961">
      <c r="A15961" t="n">
        <v>14410909</v>
      </c>
      <c r="B15961" t="n">
        <v>59504</v>
      </c>
      <c r="C15961" t="inlineStr">
        <is>
          <t>1441/09/09</t>
        </is>
      </c>
    </row>
    <row r="15962">
      <c r="A15962" t="n">
        <v>14410910</v>
      </c>
      <c r="B15962" t="n">
        <v>59505</v>
      </c>
      <c r="C15962" t="inlineStr">
        <is>
          <t>1441/09/10</t>
        </is>
      </c>
    </row>
    <row r="15963">
      <c r="A15963" t="n">
        <v>14410911</v>
      </c>
      <c r="B15963" t="n">
        <v>59506</v>
      </c>
      <c r="C15963" t="inlineStr">
        <is>
          <t>1441/09/11</t>
        </is>
      </c>
    </row>
    <row r="15964">
      <c r="A15964" t="n">
        <v>14410912</v>
      </c>
      <c r="B15964" t="n">
        <v>59507</v>
      </c>
      <c r="C15964" t="inlineStr">
        <is>
          <t>1441/09/12</t>
        </is>
      </c>
    </row>
    <row r="15965">
      <c r="A15965" t="n">
        <v>14410913</v>
      </c>
      <c r="B15965" t="n">
        <v>59508</v>
      </c>
      <c r="C15965" t="inlineStr">
        <is>
          <t>1441/09/13</t>
        </is>
      </c>
    </row>
    <row r="15966">
      <c r="A15966" t="n">
        <v>14410914</v>
      </c>
      <c r="B15966" t="n">
        <v>59509</v>
      </c>
      <c r="C15966" t="inlineStr">
        <is>
          <t>1441/09/14</t>
        </is>
      </c>
    </row>
    <row r="15967">
      <c r="A15967" t="n">
        <v>14410915</v>
      </c>
      <c r="B15967" t="n">
        <v>59510</v>
      </c>
      <c r="C15967" t="inlineStr">
        <is>
          <t>1441/09/15</t>
        </is>
      </c>
    </row>
    <row r="15968">
      <c r="A15968" t="n">
        <v>14410916</v>
      </c>
      <c r="B15968" t="n">
        <v>59511</v>
      </c>
      <c r="C15968" t="inlineStr">
        <is>
          <t>1441/09/16</t>
        </is>
      </c>
    </row>
    <row r="15969">
      <c r="A15969" t="n">
        <v>14410917</v>
      </c>
      <c r="B15969" t="n">
        <v>59512</v>
      </c>
      <c r="C15969" t="inlineStr">
        <is>
          <t>1441/09/17</t>
        </is>
      </c>
    </row>
    <row r="15970">
      <c r="A15970" t="n">
        <v>14410918</v>
      </c>
      <c r="B15970" t="n">
        <v>59513</v>
      </c>
      <c r="C15970" t="inlineStr">
        <is>
          <t>1441/09/18</t>
        </is>
      </c>
    </row>
    <row r="15971">
      <c r="A15971" t="n">
        <v>14410919</v>
      </c>
      <c r="B15971" t="n">
        <v>59514</v>
      </c>
      <c r="C15971" t="inlineStr">
        <is>
          <t>1441/09/19</t>
        </is>
      </c>
    </row>
    <row r="15972">
      <c r="A15972" t="n">
        <v>14410920</v>
      </c>
      <c r="B15972" t="n">
        <v>59515</v>
      </c>
      <c r="C15972" t="inlineStr">
        <is>
          <t>1441/09/20</t>
        </is>
      </c>
    </row>
    <row r="15973">
      <c r="A15973" t="n">
        <v>14410921</v>
      </c>
      <c r="B15973" t="n">
        <v>59516</v>
      </c>
      <c r="C15973" t="inlineStr">
        <is>
          <t>1441/09/21</t>
        </is>
      </c>
    </row>
    <row r="15974">
      <c r="A15974" t="n">
        <v>14410922</v>
      </c>
      <c r="B15974" t="n">
        <v>59517</v>
      </c>
      <c r="C15974" t="inlineStr">
        <is>
          <t>1441/09/22</t>
        </is>
      </c>
    </row>
    <row r="15975">
      <c r="A15975" t="n">
        <v>14410923</v>
      </c>
      <c r="B15975" t="n">
        <v>59518</v>
      </c>
      <c r="C15975" t="inlineStr">
        <is>
          <t>1441/09/23</t>
        </is>
      </c>
    </row>
    <row r="15976">
      <c r="A15976" t="n">
        <v>14410924</v>
      </c>
      <c r="B15976" t="n">
        <v>59519</v>
      </c>
      <c r="C15976" t="inlineStr">
        <is>
          <t>1441/09/24</t>
        </is>
      </c>
    </row>
    <row r="15977">
      <c r="A15977" t="n">
        <v>14410925</v>
      </c>
      <c r="B15977" t="n">
        <v>59520</v>
      </c>
      <c r="C15977" t="inlineStr">
        <is>
          <t>1441/09/25</t>
        </is>
      </c>
    </row>
    <row r="15978">
      <c r="A15978" t="n">
        <v>14410926</v>
      </c>
      <c r="B15978" t="n">
        <v>59521</v>
      </c>
      <c r="C15978" t="inlineStr">
        <is>
          <t>1441/09/26</t>
        </is>
      </c>
    </row>
    <row r="15979">
      <c r="A15979" t="n">
        <v>14410927</v>
      </c>
      <c r="B15979" t="n">
        <v>59522</v>
      </c>
      <c r="C15979" t="inlineStr">
        <is>
          <t>1441/09/27</t>
        </is>
      </c>
    </row>
    <row r="15980">
      <c r="A15980" t="n">
        <v>14410928</v>
      </c>
      <c r="B15980" t="n">
        <v>59523</v>
      </c>
      <c r="C15980" t="inlineStr">
        <is>
          <t>1441/09/28</t>
        </is>
      </c>
    </row>
    <row r="15981">
      <c r="A15981" t="n">
        <v>14410929</v>
      </c>
      <c r="B15981" t="n">
        <v>59524</v>
      </c>
      <c r="C15981" t="inlineStr">
        <is>
          <t>1441/09/29</t>
        </is>
      </c>
    </row>
    <row r="15982">
      <c r="A15982" t="n">
        <v>14410930</v>
      </c>
      <c r="B15982" t="n">
        <v>59525</v>
      </c>
      <c r="C15982" t="inlineStr">
        <is>
          <t>1441/09/30</t>
        </is>
      </c>
    </row>
    <row r="15983">
      <c r="A15983" t="n">
        <v>14411001</v>
      </c>
      <c r="B15983" t="n">
        <v>59526</v>
      </c>
      <c r="C15983" t="inlineStr">
        <is>
          <t>1441/10/01</t>
        </is>
      </c>
    </row>
    <row r="15984">
      <c r="A15984" t="n">
        <v>14411002</v>
      </c>
      <c r="B15984" t="n">
        <v>59527</v>
      </c>
      <c r="C15984" t="inlineStr">
        <is>
          <t>1441/10/02</t>
        </is>
      </c>
    </row>
    <row r="15985">
      <c r="A15985" t="n">
        <v>14411003</v>
      </c>
      <c r="B15985" t="n">
        <v>59528</v>
      </c>
      <c r="C15985" t="inlineStr">
        <is>
          <t>1441/10/03</t>
        </is>
      </c>
    </row>
    <row r="15986">
      <c r="A15986" t="n">
        <v>14411004</v>
      </c>
      <c r="B15986" t="n">
        <v>59529</v>
      </c>
      <c r="C15986" t="inlineStr">
        <is>
          <t>1441/10/04</t>
        </is>
      </c>
    </row>
    <row r="15987">
      <c r="A15987" t="n">
        <v>14411005</v>
      </c>
      <c r="B15987" t="n">
        <v>59530</v>
      </c>
      <c r="C15987" t="inlineStr">
        <is>
          <t>1441/10/05</t>
        </is>
      </c>
    </row>
    <row r="15988">
      <c r="A15988" t="n">
        <v>14411006</v>
      </c>
      <c r="B15988" t="n">
        <v>59531</v>
      </c>
      <c r="C15988" t="inlineStr">
        <is>
          <t>1441/10/06</t>
        </is>
      </c>
    </row>
    <row r="15989">
      <c r="A15989" t="n">
        <v>14411007</v>
      </c>
      <c r="B15989" t="n">
        <v>59532</v>
      </c>
      <c r="C15989" t="inlineStr">
        <is>
          <t>1441/10/07</t>
        </is>
      </c>
    </row>
    <row r="15990">
      <c r="A15990" t="n">
        <v>14411008</v>
      </c>
      <c r="B15990" t="n">
        <v>59533</v>
      </c>
      <c r="C15990" t="inlineStr">
        <is>
          <t>1441/10/08</t>
        </is>
      </c>
    </row>
    <row r="15991">
      <c r="A15991" t="n">
        <v>14411009</v>
      </c>
      <c r="B15991" t="n">
        <v>59534</v>
      </c>
      <c r="C15991" t="inlineStr">
        <is>
          <t>1441/10/09</t>
        </is>
      </c>
    </row>
    <row r="15992">
      <c r="A15992" t="n">
        <v>14411010</v>
      </c>
      <c r="B15992" t="n">
        <v>59535</v>
      </c>
      <c r="C15992" t="inlineStr">
        <is>
          <t>1441/10/10</t>
        </is>
      </c>
    </row>
    <row r="15993">
      <c r="A15993" t="n">
        <v>14411011</v>
      </c>
      <c r="B15993" t="n">
        <v>59536</v>
      </c>
      <c r="C15993" t="inlineStr">
        <is>
          <t>1441/10/11</t>
        </is>
      </c>
    </row>
    <row r="15994">
      <c r="A15994" t="n">
        <v>14411012</v>
      </c>
      <c r="B15994" t="n">
        <v>59537</v>
      </c>
      <c r="C15994" t="inlineStr">
        <is>
          <t>1441/10/12</t>
        </is>
      </c>
    </row>
    <row r="15995">
      <c r="A15995" t="n">
        <v>14411013</v>
      </c>
      <c r="B15995" t="n">
        <v>59538</v>
      </c>
      <c r="C15995" t="inlineStr">
        <is>
          <t>1441/10/13</t>
        </is>
      </c>
    </row>
    <row r="15996">
      <c r="A15996" t="n">
        <v>14411014</v>
      </c>
      <c r="B15996" t="n">
        <v>59539</v>
      </c>
      <c r="C15996" t="inlineStr">
        <is>
          <t>1441/10/14</t>
        </is>
      </c>
    </row>
    <row r="15997">
      <c r="A15997" t="n">
        <v>14411015</v>
      </c>
      <c r="B15997" t="n">
        <v>59540</v>
      </c>
      <c r="C15997" t="inlineStr">
        <is>
          <t>1441/10/15</t>
        </is>
      </c>
    </row>
    <row r="15998">
      <c r="A15998" t="n">
        <v>14411016</v>
      </c>
      <c r="B15998" t="n">
        <v>59541</v>
      </c>
      <c r="C15998" t="inlineStr">
        <is>
          <t>1441/10/16</t>
        </is>
      </c>
    </row>
    <row r="15999">
      <c r="A15999" t="n">
        <v>14411017</v>
      </c>
      <c r="B15999" t="n">
        <v>59542</v>
      </c>
      <c r="C15999" t="inlineStr">
        <is>
          <t>1441/10/17</t>
        </is>
      </c>
    </row>
    <row r="16000">
      <c r="A16000" t="n">
        <v>14411018</v>
      </c>
      <c r="B16000" t="n">
        <v>59543</v>
      </c>
      <c r="C16000" t="inlineStr">
        <is>
          <t>1441/10/18</t>
        </is>
      </c>
    </row>
    <row r="16001">
      <c r="A16001" t="n">
        <v>14411019</v>
      </c>
      <c r="B16001" t="n">
        <v>59544</v>
      </c>
      <c r="C16001" t="inlineStr">
        <is>
          <t>1441/10/19</t>
        </is>
      </c>
    </row>
    <row r="16002">
      <c r="A16002" t="n">
        <v>14411020</v>
      </c>
      <c r="B16002" t="n">
        <v>59545</v>
      </c>
      <c r="C16002" t="inlineStr">
        <is>
          <t>1441/10/20</t>
        </is>
      </c>
    </row>
    <row r="16003">
      <c r="A16003" t="n">
        <v>14411021</v>
      </c>
      <c r="B16003" t="n">
        <v>59546</v>
      </c>
      <c r="C16003" t="inlineStr">
        <is>
          <t>1441/10/21</t>
        </is>
      </c>
    </row>
    <row r="16004">
      <c r="A16004" t="n">
        <v>14411022</v>
      </c>
      <c r="B16004" t="n">
        <v>59547</v>
      </c>
      <c r="C16004" t="inlineStr">
        <is>
          <t>1441/10/22</t>
        </is>
      </c>
    </row>
    <row r="16005">
      <c r="A16005" t="n">
        <v>14411023</v>
      </c>
      <c r="B16005" t="n">
        <v>59548</v>
      </c>
      <c r="C16005" t="inlineStr">
        <is>
          <t>1441/10/23</t>
        </is>
      </c>
    </row>
    <row r="16006">
      <c r="A16006" t="n">
        <v>14411024</v>
      </c>
      <c r="B16006" t="n">
        <v>59549</v>
      </c>
      <c r="C16006" t="inlineStr">
        <is>
          <t>1441/10/24</t>
        </is>
      </c>
    </row>
    <row r="16007">
      <c r="A16007" t="n">
        <v>14411025</v>
      </c>
      <c r="B16007" t="n">
        <v>59550</v>
      </c>
      <c r="C16007" t="inlineStr">
        <is>
          <t>1441/10/25</t>
        </is>
      </c>
    </row>
    <row r="16008">
      <c r="A16008" t="n">
        <v>14411026</v>
      </c>
      <c r="B16008" t="n">
        <v>59551</v>
      </c>
      <c r="C16008" t="inlineStr">
        <is>
          <t>1441/10/26</t>
        </is>
      </c>
    </row>
    <row r="16009">
      <c r="A16009" t="n">
        <v>14411027</v>
      </c>
      <c r="B16009" t="n">
        <v>59552</v>
      </c>
      <c r="C16009" t="inlineStr">
        <is>
          <t>1441/10/27</t>
        </is>
      </c>
    </row>
    <row r="16010">
      <c r="A16010" t="n">
        <v>14411028</v>
      </c>
      <c r="B16010" t="n">
        <v>59553</v>
      </c>
      <c r="C16010" t="inlineStr">
        <is>
          <t>1441/10/28</t>
        </is>
      </c>
    </row>
    <row r="16011">
      <c r="A16011" t="n">
        <v>14411029</v>
      </c>
      <c r="B16011" t="n">
        <v>59554</v>
      </c>
      <c r="C16011" t="inlineStr">
        <is>
          <t>1441/10/29</t>
        </is>
      </c>
    </row>
    <row r="16012">
      <c r="A16012" t="n">
        <v>14411030</v>
      </c>
      <c r="B16012" t="n">
        <v>59555</v>
      </c>
      <c r="C16012" t="inlineStr">
        <is>
          <t>1441/10/30</t>
        </is>
      </c>
    </row>
    <row r="16013">
      <c r="A16013" t="n">
        <v>14411101</v>
      </c>
      <c r="B16013" t="n">
        <v>59556</v>
      </c>
      <c r="C16013" t="inlineStr">
        <is>
          <t>1441/11/01</t>
        </is>
      </c>
    </row>
    <row r="16014">
      <c r="A16014" t="n">
        <v>14411102</v>
      </c>
      <c r="B16014" t="n">
        <v>59557</v>
      </c>
      <c r="C16014" t="inlineStr">
        <is>
          <t>1441/11/02</t>
        </is>
      </c>
    </row>
    <row r="16015">
      <c r="A16015" t="n">
        <v>14411103</v>
      </c>
      <c r="B16015" t="n">
        <v>59558</v>
      </c>
      <c r="C16015" t="inlineStr">
        <is>
          <t>1441/11/03</t>
        </is>
      </c>
    </row>
    <row r="16016">
      <c r="A16016" t="n">
        <v>14411104</v>
      </c>
      <c r="B16016" t="n">
        <v>59559</v>
      </c>
      <c r="C16016" t="inlineStr">
        <is>
          <t>1441/11/04</t>
        </is>
      </c>
    </row>
    <row r="16017">
      <c r="A16017" t="n">
        <v>14411105</v>
      </c>
      <c r="B16017" t="n">
        <v>59560</v>
      </c>
      <c r="C16017" t="inlineStr">
        <is>
          <t>1441/11/05</t>
        </is>
      </c>
    </row>
    <row r="16018">
      <c r="A16018" t="n">
        <v>14411106</v>
      </c>
      <c r="B16018" t="n">
        <v>59561</v>
      </c>
      <c r="C16018" t="inlineStr">
        <is>
          <t>1441/11/06</t>
        </is>
      </c>
    </row>
    <row r="16019">
      <c r="A16019" t="n">
        <v>14411107</v>
      </c>
      <c r="B16019" t="n">
        <v>59562</v>
      </c>
      <c r="C16019" t="inlineStr">
        <is>
          <t>1441/11/07</t>
        </is>
      </c>
    </row>
    <row r="16020">
      <c r="A16020" t="n">
        <v>14411108</v>
      </c>
      <c r="B16020" t="n">
        <v>59563</v>
      </c>
      <c r="C16020" t="inlineStr">
        <is>
          <t>1441/11/08</t>
        </is>
      </c>
    </row>
    <row r="16021">
      <c r="A16021" t="n">
        <v>14411109</v>
      </c>
      <c r="B16021" t="n">
        <v>59564</v>
      </c>
      <c r="C16021" t="inlineStr">
        <is>
          <t>1441/11/09</t>
        </is>
      </c>
    </row>
    <row r="16022">
      <c r="A16022" t="n">
        <v>14411110</v>
      </c>
      <c r="B16022" t="n">
        <v>59565</v>
      </c>
      <c r="C16022" t="inlineStr">
        <is>
          <t>1441/11/10</t>
        </is>
      </c>
    </row>
    <row r="16023">
      <c r="A16023" t="n">
        <v>14411111</v>
      </c>
      <c r="B16023" t="n">
        <v>59566</v>
      </c>
      <c r="C16023" t="inlineStr">
        <is>
          <t>1441/11/11</t>
        </is>
      </c>
    </row>
    <row r="16024">
      <c r="A16024" t="n">
        <v>14411112</v>
      </c>
      <c r="B16024" t="n">
        <v>59567</v>
      </c>
      <c r="C16024" t="inlineStr">
        <is>
          <t>1441/11/12</t>
        </is>
      </c>
    </row>
    <row r="16025">
      <c r="A16025" t="n">
        <v>14411113</v>
      </c>
      <c r="B16025" t="n">
        <v>59568</v>
      </c>
      <c r="C16025" t="inlineStr">
        <is>
          <t>1441/11/13</t>
        </is>
      </c>
    </row>
    <row r="16026">
      <c r="A16026" t="n">
        <v>14411114</v>
      </c>
      <c r="B16026" t="n">
        <v>59569</v>
      </c>
      <c r="C16026" t="inlineStr">
        <is>
          <t>1441/11/14</t>
        </is>
      </c>
    </row>
    <row r="16027">
      <c r="A16027" t="n">
        <v>14411115</v>
      </c>
      <c r="B16027" t="n">
        <v>59570</v>
      </c>
      <c r="C16027" t="inlineStr">
        <is>
          <t>1441/11/15</t>
        </is>
      </c>
    </row>
    <row r="16028">
      <c r="A16028" t="n">
        <v>14411116</v>
      </c>
      <c r="B16028" t="n">
        <v>59571</v>
      </c>
      <c r="C16028" t="inlineStr">
        <is>
          <t>1441/11/16</t>
        </is>
      </c>
    </row>
    <row r="16029">
      <c r="A16029" t="n">
        <v>14411117</v>
      </c>
      <c r="B16029" t="n">
        <v>59572</v>
      </c>
      <c r="C16029" t="inlineStr">
        <is>
          <t>1441/11/17</t>
        </is>
      </c>
    </row>
    <row r="16030">
      <c r="A16030" t="n">
        <v>14411118</v>
      </c>
      <c r="B16030" t="n">
        <v>59573</v>
      </c>
      <c r="C16030" t="inlineStr">
        <is>
          <t>1441/11/18</t>
        </is>
      </c>
    </row>
    <row r="16031">
      <c r="A16031" t="n">
        <v>14411119</v>
      </c>
      <c r="B16031" t="n">
        <v>59574</v>
      </c>
      <c r="C16031" t="inlineStr">
        <is>
          <t>1441/11/19</t>
        </is>
      </c>
    </row>
    <row r="16032">
      <c r="A16032" t="n">
        <v>14411120</v>
      </c>
      <c r="B16032" t="n">
        <v>59575</v>
      </c>
      <c r="C16032" t="inlineStr">
        <is>
          <t>1441/11/20</t>
        </is>
      </c>
    </row>
    <row r="16033">
      <c r="A16033" t="n">
        <v>14411121</v>
      </c>
      <c r="B16033" t="n">
        <v>59576</v>
      </c>
      <c r="C16033" t="inlineStr">
        <is>
          <t>1441/11/21</t>
        </is>
      </c>
    </row>
    <row r="16034">
      <c r="A16034" t="n">
        <v>14411122</v>
      </c>
      <c r="B16034" t="n">
        <v>59577</v>
      </c>
      <c r="C16034" t="inlineStr">
        <is>
          <t>1441/11/22</t>
        </is>
      </c>
    </row>
    <row r="16035">
      <c r="A16035" t="n">
        <v>14411123</v>
      </c>
      <c r="B16035" t="n">
        <v>59578</v>
      </c>
      <c r="C16035" t="inlineStr">
        <is>
          <t>1441/11/23</t>
        </is>
      </c>
    </row>
    <row r="16036">
      <c r="A16036" t="n">
        <v>14411124</v>
      </c>
      <c r="B16036" t="n">
        <v>59579</v>
      </c>
      <c r="C16036" t="inlineStr">
        <is>
          <t>1441/11/24</t>
        </is>
      </c>
    </row>
    <row r="16037">
      <c r="A16037" t="n">
        <v>14411125</v>
      </c>
      <c r="B16037" t="n">
        <v>59580</v>
      </c>
      <c r="C16037" t="inlineStr">
        <is>
          <t>1441/11/25</t>
        </is>
      </c>
    </row>
    <row r="16038">
      <c r="A16038" t="n">
        <v>14411126</v>
      </c>
      <c r="B16038" t="n">
        <v>59581</v>
      </c>
      <c r="C16038" t="inlineStr">
        <is>
          <t>1441/11/26</t>
        </is>
      </c>
    </row>
    <row r="16039">
      <c r="A16039" t="n">
        <v>14411127</v>
      </c>
      <c r="B16039" t="n">
        <v>59582</v>
      </c>
      <c r="C16039" t="inlineStr">
        <is>
          <t>1441/11/27</t>
        </is>
      </c>
    </row>
    <row r="16040">
      <c r="A16040" t="n">
        <v>14411128</v>
      </c>
      <c r="B16040" t="n">
        <v>59583</v>
      </c>
      <c r="C16040" t="inlineStr">
        <is>
          <t>1441/11/28</t>
        </is>
      </c>
    </row>
    <row r="16041">
      <c r="A16041" t="n">
        <v>14411129</v>
      </c>
      <c r="B16041" t="n">
        <v>59584</v>
      </c>
      <c r="C16041" t="inlineStr">
        <is>
          <t>1441/11/29</t>
        </is>
      </c>
    </row>
    <row r="16042">
      <c r="A16042" t="n">
        <v>14411130</v>
      </c>
      <c r="B16042" t="n">
        <v>59585</v>
      </c>
      <c r="C16042" t="inlineStr">
        <is>
          <t>1441/11/30</t>
        </is>
      </c>
    </row>
    <row r="16043">
      <c r="A16043" t="n">
        <v>14411201</v>
      </c>
      <c r="B16043" t="n">
        <v>59586</v>
      </c>
      <c r="C16043" t="inlineStr">
        <is>
          <t>1441/12/01</t>
        </is>
      </c>
    </row>
    <row r="16044">
      <c r="A16044" t="n">
        <v>14411202</v>
      </c>
      <c r="B16044" t="n">
        <v>59587</v>
      </c>
      <c r="C16044" t="inlineStr">
        <is>
          <t>1441/12/02</t>
        </is>
      </c>
    </row>
    <row r="16045">
      <c r="A16045" t="n">
        <v>14411203</v>
      </c>
      <c r="B16045" t="n">
        <v>59588</v>
      </c>
      <c r="C16045" t="inlineStr">
        <is>
          <t>1441/12/03</t>
        </is>
      </c>
    </row>
    <row r="16046">
      <c r="A16046" t="n">
        <v>14411204</v>
      </c>
      <c r="B16046" t="n">
        <v>59589</v>
      </c>
      <c r="C16046" t="inlineStr">
        <is>
          <t>1441/12/04</t>
        </is>
      </c>
    </row>
    <row r="16047">
      <c r="A16047" t="n">
        <v>14411205</v>
      </c>
      <c r="B16047" t="n">
        <v>59590</v>
      </c>
      <c r="C16047" t="inlineStr">
        <is>
          <t>1441/12/05</t>
        </is>
      </c>
    </row>
    <row r="16048">
      <c r="A16048" t="n">
        <v>14411206</v>
      </c>
      <c r="B16048" t="n">
        <v>59591</v>
      </c>
      <c r="C16048" t="inlineStr">
        <is>
          <t>1441/12/06</t>
        </is>
      </c>
    </row>
    <row r="16049">
      <c r="A16049" t="n">
        <v>14411207</v>
      </c>
      <c r="B16049" t="n">
        <v>59592</v>
      </c>
      <c r="C16049" t="inlineStr">
        <is>
          <t>1441/12/07</t>
        </is>
      </c>
    </row>
    <row r="16050">
      <c r="A16050" t="n">
        <v>14411208</v>
      </c>
      <c r="B16050" t="n">
        <v>59593</v>
      </c>
      <c r="C16050" t="inlineStr">
        <is>
          <t>1441/12/08</t>
        </is>
      </c>
    </row>
    <row r="16051">
      <c r="A16051" t="n">
        <v>14411209</v>
      </c>
      <c r="B16051" t="n">
        <v>59594</v>
      </c>
      <c r="C16051" t="inlineStr">
        <is>
          <t>1441/12/09</t>
        </is>
      </c>
    </row>
    <row r="16052">
      <c r="A16052" t="n">
        <v>14411210</v>
      </c>
      <c r="B16052" t="n">
        <v>59595</v>
      </c>
      <c r="C16052" t="inlineStr">
        <is>
          <t>1441/12/10</t>
        </is>
      </c>
    </row>
    <row r="16053">
      <c r="A16053" t="n">
        <v>14411211</v>
      </c>
      <c r="B16053" t="n">
        <v>59596</v>
      </c>
      <c r="C16053" t="inlineStr">
        <is>
          <t>1441/12/11</t>
        </is>
      </c>
    </row>
    <row r="16054">
      <c r="A16054" t="n">
        <v>14411212</v>
      </c>
      <c r="B16054" t="n">
        <v>59597</v>
      </c>
      <c r="C16054" t="inlineStr">
        <is>
          <t>1441/12/12</t>
        </is>
      </c>
    </row>
    <row r="16055">
      <c r="A16055" t="n">
        <v>14411213</v>
      </c>
      <c r="B16055" t="n">
        <v>59598</v>
      </c>
      <c r="C16055" t="inlineStr">
        <is>
          <t>1441/12/13</t>
        </is>
      </c>
    </row>
    <row r="16056">
      <c r="A16056" t="n">
        <v>14411214</v>
      </c>
      <c r="B16056" t="n">
        <v>59599</v>
      </c>
      <c r="C16056" t="inlineStr">
        <is>
          <t>1441/12/14</t>
        </is>
      </c>
    </row>
    <row r="16057">
      <c r="A16057" t="n">
        <v>14411215</v>
      </c>
      <c r="B16057" t="n">
        <v>59600</v>
      </c>
      <c r="C16057" t="inlineStr">
        <is>
          <t>1441/12/15</t>
        </is>
      </c>
    </row>
    <row r="16058">
      <c r="A16058" t="n">
        <v>14411216</v>
      </c>
      <c r="B16058" t="n">
        <v>59601</v>
      </c>
      <c r="C16058" t="inlineStr">
        <is>
          <t>1441/12/16</t>
        </is>
      </c>
    </row>
    <row r="16059">
      <c r="A16059" t="n">
        <v>14411217</v>
      </c>
      <c r="B16059" t="n">
        <v>59602</v>
      </c>
      <c r="C16059" t="inlineStr">
        <is>
          <t>1441/12/17</t>
        </is>
      </c>
    </row>
    <row r="16060">
      <c r="A16060" t="n">
        <v>14411218</v>
      </c>
      <c r="B16060" t="n">
        <v>59603</v>
      </c>
      <c r="C16060" t="inlineStr">
        <is>
          <t>1441/12/18</t>
        </is>
      </c>
    </row>
    <row r="16061">
      <c r="A16061" t="n">
        <v>14411219</v>
      </c>
      <c r="B16061" t="n">
        <v>59604</v>
      </c>
      <c r="C16061" t="inlineStr">
        <is>
          <t>1441/12/19</t>
        </is>
      </c>
    </row>
    <row r="16062">
      <c r="A16062" t="n">
        <v>14411220</v>
      </c>
      <c r="B16062" t="n">
        <v>59605</v>
      </c>
      <c r="C16062" t="inlineStr">
        <is>
          <t>1441/12/20</t>
        </is>
      </c>
    </row>
    <row r="16063">
      <c r="A16063" t="n">
        <v>14411221</v>
      </c>
      <c r="B16063" t="n">
        <v>59606</v>
      </c>
      <c r="C16063" t="inlineStr">
        <is>
          <t>1441/12/21</t>
        </is>
      </c>
    </row>
    <row r="16064">
      <c r="A16064" t="n">
        <v>14411222</v>
      </c>
      <c r="B16064" t="n">
        <v>59607</v>
      </c>
      <c r="C16064" t="inlineStr">
        <is>
          <t>1441/12/22</t>
        </is>
      </c>
    </row>
    <row r="16065">
      <c r="A16065" t="n">
        <v>14411223</v>
      </c>
      <c r="B16065" t="n">
        <v>59608</v>
      </c>
      <c r="C16065" t="inlineStr">
        <is>
          <t>1441/12/23</t>
        </is>
      </c>
    </row>
    <row r="16066">
      <c r="A16066" t="n">
        <v>14411224</v>
      </c>
      <c r="B16066" t="n">
        <v>59609</v>
      </c>
      <c r="C16066" t="inlineStr">
        <is>
          <t>1441/12/24</t>
        </is>
      </c>
    </row>
    <row r="16067">
      <c r="A16067" t="n">
        <v>14411225</v>
      </c>
      <c r="B16067" t="n">
        <v>59610</v>
      </c>
      <c r="C16067" t="inlineStr">
        <is>
          <t>1441/12/25</t>
        </is>
      </c>
    </row>
    <row r="16068">
      <c r="A16068" t="n">
        <v>14411226</v>
      </c>
      <c r="B16068" t="n">
        <v>59611</v>
      </c>
      <c r="C16068" t="inlineStr">
        <is>
          <t>1441/12/26</t>
        </is>
      </c>
    </row>
    <row r="16069">
      <c r="A16069" t="n">
        <v>14411227</v>
      </c>
      <c r="B16069" t="n">
        <v>59612</v>
      </c>
      <c r="C16069" t="inlineStr">
        <is>
          <t>1441/12/27</t>
        </is>
      </c>
    </row>
    <row r="16070">
      <c r="A16070" t="n">
        <v>14411228</v>
      </c>
      <c r="B16070" t="n">
        <v>59613</v>
      </c>
      <c r="C16070" t="inlineStr">
        <is>
          <t>1441/12/28</t>
        </is>
      </c>
    </row>
    <row r="16071">
      <c r="A16071" t="n">
        <v>14411229</v>
      </c>
      <c r="B16071" t="n">
        <v>59614</v>
      </c>
      <c r="C16071" t="inlineStr">
        <is>
          <t>1441/12/29</t>
        </is>
      </c>
    </row>
    <row r="16072">
      <c r="A16072" t="n">
        <v>14411230</v>
      </c>
      <c r="B16072" t="n">
        <v>59615</v>
      </c>
      <c r="C16072" t="inlineStr">
        <is>
          <t>1441/12/30</t>
        </is>
      </c>
    </row>
    <row r="16073">
      <c r="A16073" t="n">
        <v>14420101</v>
      </c>
      <c r="B16073" t="n">
        <v>59616</v>
      </c>
      <c r="C16073" t="inlineStr">
        <is>
          <t>1442/01/01</t>
        </is>
      </c>
    </row>
    <row r="16074">
      <c r="A16074" t="n">
        <v>14420102</v>
      </c>
      <c r="B16074" t="n">
        <v>59617</v>
      </c>
      <c r="C16074" t="inlineStr">
        <is>
          <t>1442/01/02</t>
        </is>
      </c>
    </row>
    <row r="16075">
      <c r="A16075" t="n">
        <v>14420103</v>
      </c>
      <c r="B16075" t="n">
        <v>59618</v>
      </c>
      <c r="C16075" t="inlineStr">
        <is>
          <t>1442/01/03</t>
        </is>
      </c>
    </row>
    <row r="16076">
      <c r="A16076" t="n">
        <v>14420104</v>
      </c>
      <c r="B16076" t="n">
        <v>59619</v>
      </c>
      <c r="C16076" t="inlineStr">
        <is>
          <t>1442/01/04</t>
        </is>
      </c>
    </row>
    <row r="16077">
      <c r="A16077" t="n">
        <v>14420105</v>
      </c>
      <c r="B16077" t="n">
        <v>59620</v>
      </c>
      <c r="C16077" t="inlineStr">
        <is>
          <t>1442/01/05</t>
        </is>
      </c>
    </row>
    <row r="16078">
      <c r="A16078" t="n">
        <v>14420106</v>
      </c>
      <c r="B16078" t="n">
        <v>59621</v>
      </c>
      <c r="C16078" t="inlineStr">
        <is>
          <t>1442/01/06</t>
        </is>
      </c>
    </row>
    <row r="16079">
      <c r="A16079" t="n">
        <v>14420107</v>
      </c>
      <c r="B16079" t="n">
        <v>59622</v>
      </c>
      <c r="C16079" t="inlineStr">
        <is>
          <t>1442/01/07</t>
        </is>
      </c>
    </row>
    <row r="16080">
      <c r="A16080" t="n">
        <v>14420108</v>
      </c>
      <c r="B16080" t="n">
        <v>59623</v>
      </c>
      <c r="C16080" t="inlineStr">
        <is>
          <t>1442/01/08</t>
        </is>
      </c>
    </row>
    <row r="16081">
      <c r="A16081" t="n">
        <v>14420109</v>
      </c>
      <c r="B16081" t="n">
        <v>59624</v>
      </c>
      <c r="C16081" t="inlineStr">
        <is>
          <t>1442/01/09</t>
        </is>
      </c>
    </row>
    <row r="16082">
      <c r="A16082" t="n">
        <v>14420110</v>
      </c>
      <c r="B16082" t="n">
        <v>59625</v>
      </c>
      <c r="C16082" t="inlineStr">
        <is>
          <t>1442/01/10</t>
        </is>
      </c>
    </row>
    <row r="16083">
      <c r="A16083" t="n">
        <v>14420111</v>
      </c>
      <c r="B16083" t="n">
        <v>59626</v>
      </c>
      <c r="C16083" t="inlineStr">
        <is>
          <t>1442/01/11</t>
        </is>
      </c>
    </row>
    <row r="16084">
      <c r="A16084" t="n">
        <v>14420112</v>
      </c>
      <c r="B16084" t="n">
        <v>59627</v>
      </c>
      <c r="C16084" t="inlineStr">
        <is>
          <t>1442/01/12</t>
        </is>
      </c>
    </row>
    <row r="16085">
      <c r="A16085" t="n">
        <v>14420113</v>
      </c>
      <c r="B16085" t="n">
        <v>59628</v>
      </c>
      <c r="C16085" t="inlineStr">
        <is>
          <t>1442/01/13</t>
        </is>
      </c>
    </row>
    <row r="16086">
      <c r="A16086" t="n">
        <v>14420114</v>
      </c>
      <c r="B16086" t="n">
        <v>59629</v>
      </c>
      <c r="C16086" t="inlineStr">
        <is>
          <t>1442/01/14</t>
        </is>
      </c>
    </row>
    <row r="16087">
      <c r="A16087" t="n">
        <v>14420115</v>
      </c>
      <c r="B16087" t="n">
        <v>59630</v>
      </c>
      <c r="C16087" t="inlineStr">
        <is>
          <t>1442/01/15</t>
        </is>
      </c>
    </row>
    <row r="16088">
      <c r="A16088" t="n">
        <v>14420116</v>
      </c>
      <c r="B16088" t="n">
        <v>59631</v>
      </c>
      <c r="C16088" t="inlineStr">
        <is>
          <t>1442/01/16</t>
        </is>
      </c>
    </row>
    <row r="16089">
      <c r="A16089" t="n">
        <v>14420117</v>
      </c>
      <c r="B16089" t="n">
        <v>59632</v>
      </c>
      <c r="C16089" t="inlineStr">
        <is>
          <t>1442/01/17</t>
        </is>
      </c>
    </row>
    <row r="16090">
      <c r="A16090" t="n">
        <v>14420118</v>
      </c>
      <c r="B16090" t="n">
        <v>59633</v>
      </c>
      <c r="C16090" t="inlineStr">
        <is>
          <t>1442/01/18</t>
        </is>
      </c>
    </row>
    <row r="16091">
      <c r="A16091" t="n">
        <v>14420119</v>
      </c>
      <c r="B16091" t="n">
        <v>59634</v>
      </c>
      <c r="C16091" t="inlineStr">
        <is>
          <t>1442/01/19</t>
        </is>
      </c>
    </row>
    <row r="16092">
      <c r="A16092" t="n">
        <v>14420120</v>
      </c>
      <c r="B16092" t="n">
        <v>59635</v>
      </c>
      <c r="C16092" t="inlineStr">
        <is>
          <t>1442/01/20</t>
        </is>
      </c>
    </row>
    <row r="16093">
      <c r="A16093" t="n">
        <v>14420121</v>
      </c>
      <c r="B16093" t="n">
        <v>59636</v>
      </c>
      <c r="C16093" t="inlineStr">
        <is>
          <t>1442/01/21</t>
        </is>
      </c>
    </row>
    <row r="16094">
      <c r="A16094" t="n">
        <v>14420122</v>
      </c>
      <c r="B16094" t="n">
        <v>59637</v>
      </c>
      <c r="C16094" t="inlineStr">
        <is>
          <t>1442/01/22</t>
        </is>
      </c>
    </row>
    <row r="16095">
      <c r="A16095" t="n">
        <v>14420123</v>
      </c>
      <c r="B16095" t="n">
        <v>59638</v>
      </c>
      <c r="C16095" t="inlineStr">
        <is>
          <t>1442/01/23</t>
        </is>
      </c>
    </row>
    <row r="16096">
      <c r="A16096" t="n">
        <v>14420124</v>
      </c>
      <c r="B16096" t="n">
        <v>59639</v>
      </c>
      <c r="C16096" t="inlineStr">
        <is>
          <t>1442/01/24</t>
        </is>
      </c>
    </row>
    <row r="16097">
      <c r="A16097" t="n">
        <v>14420125</v>
      </c>
      <c r="B16097" t="n">
        <v>59640</v>
      </c>
      <c r="C16097" t="inlineStr">
        <is>
          <t>1442/01/25</t>
        </is>
      </c>
    </row>
    <row r="16098">
      <c r="A16098" t="n">
        <v>14420126</v>
      </c>
      <c r="B16098" t="n">
        <v>59641</v>
      </c>
      <c r="C16098" t="inlineStr">
        <is>
          <t>1442/01/26</t>
        </is>
      </c>
    </row>
    <row r="16099">
      <c r="A16099" t="n">
        <v>14420127</v>
      </c>
      <c r="B16099" t="n">
        <v>59642</v>
      </c>
      <c r="C16099" t="inlineStr">
        <is>
          <t>1442/01/27</t>
        </is>
      </c>
    </row>
    <row r="16100">
      <c r="A16100" t="n">
        <v>14420128</v>
      </c>
      <c r="B16100" t="n">
        <v>59643</v>
      </c>
      <c r="C16100" t="inlineStr">
        <is>
          <t>1442/01/28</t>
        </is>
      </c>
    </row>
    <row r="16101">
      <c r="A16101" t="n">
        <v>14420129</v>
      </c>
      <c r="B16101" t="n">
        <v>59644</v>
      </c>
      <c r="C16101" t="inlineStr">
        <is>
          <t>1442/01/29</t>
        </is>
      </c>
    </row>
    <row r="16102">
      <c r="A16102" t="n">
        <v>14420130</v>
      </c>
      <c r="B16102" t="n">
        <v>59645</v>
      </c>
      <c r="C16102" t="inlineStr">
        <is>
          <t>1442/01/30</t>
        </is>
      </c>
    </row>
    <row r="16103">
      <c r="A16103" t="n">
        <v>14420131</v>
      </c>
      <c r="B16103" t="n">
        <v>59646</v>
      </c>
      <c r="C16103" t="inlineStr">
        <is>
          <t>1442/01/31</t>
        </is>
      </c>
    </row>
    <row r="16104">
      <c r="A16104" t="n">
        <v>14420201</v>
      </c>
      <c r="B16104" t="n">
        <v>59647</v>
      </c>
      <c r="C16104" t="inlineStr">
        <is>
          <t>1442/02/01</t>
        </is>
      </c>
    </row>
    <row r="16105">
      <c r="A16105" t="n">
        <v>14420202</v>
      </c>
      <c r="B16105" t="n">
        <v>59648</v>
      </c>
      <c r="C16105" t="inlineStr">
        <is>
          <t>1442/02/02</t>
        </is>
      </c>
    </row>
    <row r="16106">
      <c r="A16106" t="n">
        <v>14420203</v>
      </c>
      <c r="B16106" t="n">
        <v>59649</v>
      </c>
      <c r="C16106" t="inlineStr">
        <is>
          <t>1442/02/03</t>
        </is>
      </c>
    </row>
    <row r="16107">
      <c r="A16107" t="n">
        <v>14420204</v>
      </c>
      <c r="B16107" t="n">
        <v>59650</v>
      </c>
      <c r="C16107" t="inlineStr">
        <is>
          <t>1442/02/04</t>
        </is>
      </c>
    </row>
    <row r="16108">
      <c r="A16108" t="n">
        <v>14420205</v>
      </c>
      <c r="B16108" t="n">
        <v>59651</v>
      </c>
      <c r="C16108" t="inlineStr">
        <is>
          <t>1442/02/05</t>
        </is>
      </c>
    </row>
    <row r="16109">
      <c r="A16109" t="n">
        <v>14420206</v>
      </c>
      <c r="B16109" t="n">
        <v>59652</v>
      </c>
      <c r="C16109" t="inlineStr">
        <is>
          <t>1442/02/06</t>
        </is>
      </c>
    </row>
    <row r="16110">
      <c r="A16110" t="n">
        <v>14420207</v>
      </c>
      <c r="B16110" t="n">
        <v>59653</v>
      </c>
      <c r="C16110" t="inlineStr">
        <is>
          <t>1442/02/07</t>
        </is>
      </c>
    </row>
    <row r="16111">
      <c r="A16111" t="n">
        <v>14420208</v>
      </c>
      <c r="B16111" t="n">
        <v>59654</v>
      </c>
      <c r="C16111" t="inlineStr">
        <is>
          <t>1442/02/08</t>
        </is>
      </c>
    </row>
    <row r="16112">
      <c r="A16112" t="n">
        <v>14420209</v>
      </c>
      <c r="B16112" t="n">
        <v>59655</v>
      </c>
      <c r="C16112" t="inlineStr">
        <is>
          <t>1442/02/09</t>
        </is>
      </c>
    </row>
    <row r="16113">
      <c r="A16113" t="n">
        <v>14420210</v>
      </c>
      <c r="B16113" t="n">
        <v>59656</v>
      </c>
      <c r="C16113" t="inlineStr">
        <is>
          <t>1442/02/10</t>
        </is>
      </c>
    </row>
    <row r="16114">
      <c r="A16114" t="n">
        <v>14420211</v>
      </c>
      <c r="B16114" t="n">
        <v>59657</v>
      </c>
      <c r="C16114" t="inlineStr">
        <is>
          <t>1442/02/11</t>
        </is>
      </c>
    </row>
    <row r="16115">
      <c r="A16115" t="n">
        <v>14420212</v>
      </c>
      <c r="B16115" t="n">
        <v>59658</v>
      </c>
      <c r="C16115" t="inlineStr">
        <is>
          <t>1442/02/12</t>
        </is>
      </c>
    </row>
    <row r="16116">
      <c r="A16116" t="n">
        <v>14420213</v>
      </c>
      <c r="B16116" t="n">
        <v>59659</v>
      </c>
      <c r="C16116" t="inlineStr">
        <is>
          <t>1442/02/13</t>
        </is>
      </c>
    </row>
    <row r="16117">
      <c r="A16117" t="n">
        <v>14420214</v>
      </c>
      <c r="B16117" t="n">
        <v>59660</v>
      </c>
      <c r="C16117" t="inlineStr">
        <is>
          <t>1442/02/14</t>
        </is>
      </c>
    </row>
    <row r="16118">
      <c r="A16118" t="n">
        <v>14420215</v>
      </c>
      <c r="B16118" t="n">
        <v>59661</v>
      </c>
      <c r="C16118" t="inlineStr">
        <is>
          <t>1442/02/15</t>
        </is>
      </c>
    </row>
    <row r="16119">
      <c r="A16119" t="n">
        <v>14420216</v>
      </c>
      <c r="B16119" t="n">
        <v>59662</v>
      </c>
      <c r="C16119" t="inlineStr">
        <is>
          <t>1442/02/16</t>
        </is>
      </c>
    </row>
    <row r="16120">
      <c r="A16120" t="n">
        <v>14420217</v>
      </c>
      <c r="B16120" t="n">
        <v>59663</v>
      </c>
      <c r="C16120" t="inlineStr">
        <is>
          <t>1442/02/17</t>
        </is>
      </c>
    </row>
    <row r="16121">
      <c r="A16121" t="n">
        <v>14420218</v>
      </c>
      <c r="B16121" t="n">
        <v>59664</v>
      </c>
      <c r="C16121" t="inlineStr">
        <is>
          <t>1442/02/18</t>
        </is>
      </c>
    </row>
    <row r="16122">
      <c r="A16122" t="n">
        <v>14420219</v>
      </c>
      <c r="B16122" t="n">
        <v>59665</v>
      </c>
      <c r="C16122" t="inlineStr">
        <is>
          <t>1442/02/19</t>
        </is>
      </c>
    </row>
    <row r="16123">
      <c r="A16123" t="n">
        <v>14420220</v>
      </c>
      <c r="B16123" t="n">
        <v>59666</v>
      </c>
      <c r="C16123" t="inlineStr">
        <is>
          <t>1442/02/20</t>
        </is>
      </c>
    </row>
    <row r="16124">
      <c r="A16124" t="n">
        <v>14420221</v>
      </c>
      <c r="B16124" t="n">
        <v>59667</v>
      </c>
      <c r="C16124" t="inlineStr">
        <is>
          <t>1442/02/21</t>
        </is>
      </c>
    </row>
    <row r="16125">
      <c r="A16125" t="n">
        <v>14420222</v>
      </c>
      <c r="B16125" t="n">
        <v>59668</v>
      </c>
      <c r="C16125" t="inlineStr">
        <is>
          <t>1442/02/22</t>
        </is>
      </c>
    </row>
    <row r="16126">
      <c r="A16126" t="n">
        <v>14420223</v>
      </c>
      <c r="B16126" t="n">
        <v>59669</v>
      </c>
      <c r="C16126" t="inlineStr">
        <is>
          <t>1442/02/23</t>
        </is>
      </c>
    </row>
    <row r="16127">
      <c r="A16127" t="n">
        <v>14420224</v>
      </c>
      <c r="B16127" t="n">
        <v>59670</v>
      </c>
      <c r="C16127" t="inlineStr">
        <is>
          <t>1442/02/24</t>
        </is>
      </c>
    </row>
    <row r="16128">
      <c r="A16128" t="n">
        <v>14420225</v>
      </c>
      <c r="B16128" t="n">
        <v>59671</v>
      </c>
      <c r="C16128" t="inlineStr">
        <is>
          <t>1442/02/25</t>
        </is>
      </c>
    </row>
    <row r="16129">
      <c r="A16129" t="n">
        <v>14420226</v>
      </c>
      <c r="B16129" t="n">
        <v>59672</v>
      </c>
      <c r="C16129" t="inlineStr">
        <is>
          <t>1442/02/26</t>
        </is>
      </c>
    </row>
    <row r="16130">
      <c r="A16130" t="n">
        <v>14420227</v>
      </c>
      <c r="B16130" t="n">
        <v>59673</v>
      </c>
      <c r="C16130" t="inlineStr">
        <is>
          <t>1442/02/27</t>
        </is>
      </c>
    </row>
    <row r="16131">
      <c r="A16131" t="n">
        <v>14420228</v>
      </c>
      <c r="B16131" t="n">
        <v>59674</v>
      </c>
      <c r="C16131" t="inlineStr">
        <is>
          <t>1442/02/28</t>
        </is>
      </c>
    </row>
    <row r="16132">
      <c r="A16132" t="n">
        <v>14420229</v>
      </c>
      <c r="B16132" t="n">
        <v>59675</v>
      </c>
      <c r="C16132" t="inlineStr">
        <is>
          <t>1442/02/29</t>
        </is>
      </c>
    </row>
    <row r="16133">
      <c r="A16133" t="n">
        <v>14420230</v>
      </c>
      <c r="B16133" t="n">
        <v>59676</v>
      </c>
      <c r="C16133" t="inlineStr">
        <is>
          <t>1442/02/30</t>
        </is>
      </c>
    </row>
    <row r="16134">
      <c r="A16134" t="n">
        <v>14420231</v>
      </c>
      <c r="B16134" t="n">
        <v>59677</v>
      </c>
      <c r="C16134" t="inlineStr">
        <is>
          <t>1442/02/31</t>
        </is>
      </c>
    </row>
    <row r="16135">
      <c r="A16135" t="n">
        <v>14420301</v>
      </c>
      <c r="B16135" t="n">
        <v>59678</v>
      </c>
      <c r="C16135" t="inlineStr">
        <is>
          <t>1442/03/01</t>
        </is>
      </c>
    </row>
    <row r="16136">
      <c r="A16136" t="n">
        <v>14420302</v>
      </c>
      <c r="B16136" t="n">
        <v>59679</v>
      </c>
      <c r="C16136" t="inlineStr">
        <is>
          <t>1442/03/02</t>
        </is>
      </c>
    </row>
    <row r="16137">
      <c r="A16137" t="n">
        <v>14420303</v>
      </c>
      <c r="B16137" t="n">
        <v>59680</v>
      </c>
      <c r="C16137" t="inlineStr">
        <is>
          <t>1442/03/03</t>
        </is>
      </c>
    </row>
    <row r="16138">
      <c r="A16138" t="n">
        <v>14420304</v>
      </c>
      <c r="B16138" t="n">
        <v>59681</v>
      </c>
      <c r="C16138" t="inlineStr">
        <is>
          <t>1442/03/04</t>
        </is>
      </c>
    </row>
    <row r="16139">
      <c r="A16139" t="n">
        <v>14420305</v>
      </c>
      <c r="B16139" t="n">
        <v>59682</v>
      </c>
      <c r="C16139" t="inlineStr">
        <is>
          <t>1442/03/05</t>
        </is>
      </c>
    </row>
    <row r="16140">
      <c r="A16140" t="n">
        <v>14420306</v>
      </c>
      <c r="B16140" t="n">
        <v>59683</v>
      </c>
      <c r="C16140" t="inlineStr">
        <is>
          <t>1442/03/06</t>
        </is>
      </c>
    </row>
    <row r="16141">
      <c r="A16141" t="n">
        <v>14420307</v>
      </c>
      <c r="B16141" t="n">
        <v>59684</v>
      </c>
      <c r="C16141" t="inlineStr">
        <is>
          <t>1442/03/07</t>
        </is>
      </c>
    </row>
    <row r="16142">
      <c r="A16142" t="n">
        <v>14420308</v>
      </c>
      <c r="B16142" t="n">
        <v>59685</v>
      </c>
      <c r="C16142" t="inlineStr">
        <is>
          <t>1442/03/08</t>
        </is>
      </c>
    </row>
    <row r="16143">
      <c r="A16143" t="n">
        <v>14420309</v>
      </c>
      <c r="B16143" t="n">
        <v>59686</v>
      </c>
      <c r="C16143" t="inlineStr">
        <is>
          <t>1442/03/09</t>
        </is>
      </c>
    </row>
    <row r="16144">
      <c r="A16144" t="n">
        <v>14420310</v>
      </c>
      <c r="B16144" t="n">
        <v>59687</v>
      </c>
      <c r="C16144" t="inlineStr">
        <is>
          <t>1442/03/10</t>
        </is>
      </c>
    </row>
    <row r="16145">
      <c r="A16145" t="n">
        <v>14420311</v>
      </c>
      <c r="B16145" t="n">
        <v>59688</v>
      </c>
      <c r="C16145" t="inlineStr">
        <is>
          <t>1442/03/11</t>
        </is>
      </c>
    </row>
    <row r="16146">
      <c r="A16146" t="n">
        <v>14420312</v>
      </c>
      <c r="B16146" t="n">
        <v>59689</v>
      </c>
      <c r="C16146" t="inlineStr">
        <is>
          <t>1442/03/12</t>
        </is>
      </c>
    </row>
    <row r="16147">
      <c r="A16147" t="n">
        <v>14420313</v>
      </c>
      <c r="B16147" t="n">
        <v>59690</v>
      </c>
      <c r="C16147" t="inlineStr">
        <is>
          <t>1442/03/13</t>
        </is>
      </c>
    </row>
    <row r="16148">
      <c r="A16148" t="n">
        <v>14420314</v>
      </c>
      <c r="B16148" t="n">
        <v>59691</v>
      </c>
      <c r="C16148" t="inlineStr">
        <is>
          <t>1442/03/14</t>
        </is>
      </c>
    </row>
    <row r="16149">
      <c r="A16149" t="n">
        <v>14420315</v>
      </c>
      <c r="B16149" t="n">
        <v>59692</v>
      </c>
      <c r="C16149" t="inlineStr">
        <is>
          <t>1442/03/15</t>
        </is>
      </c>
    </row>
    <row r="16150">
      <c r="A16150" t="n">
        <v>14420316</v>
      </c>
      <c r="B16150" t="n">
        <v>59693</v>
      </c>
      <c r="C16150" t="inlineStr">
        <is>
          <t>1442/03/16</t>
        </is>
      </c>
    </row>
    <row r="16151">
      <c r="A16151" t="n">
        <v>14420317</v>
      </c>
      <c r="B16151" t="n">
        <v>59694</v>
      </c>
      <c r="C16151" t="inlineStr">
        <is>
          <t>1442/03/17</t>
        </is>
      </c>
    </row>
    <row r="16152">
      <c r="A16152" t="n">
        <v>14420318</v>
      </c>
      <c r="B16152" t="n">
        <v>59695</v>
      </c>
      <c r="C16152" t="inlineStr">
        <is>
          <t>1442/03/18</t>
        </is>
      </c>
    </row>
    <row r="16153">
      <c r="A16153" t="n">
        <v>14420319</v>
      </c>
      <c r="B16153" t="n">
        <v>59696</v>
      </c>
      <c r="C16153" t="inlineStr">
        <is>
          <t>1442/03/19</t>
        </is>
      </c>
    </row>
    <row r="16154">
      <c r="A16154" t="n">
        <v>14420320</v>
      </c>
      <c r="B16154" t="n">
        <v>59697</v>
      </c>
      <c r="C16154" t="inlineStr">
        <is>
          <t>1442/03/20</t>
        </is>
      </c>
    </row>
    <row r="16155">
      <c r="A16155" t="n">
        <v>14420321</v>
      </c>
      <c r="B16155" t="n">
        <v>59698</v>
      </c>
      <c r="C16155" t="inlineStr">
        <is>
          <t>1442/03/21</t>
        </is>
      </c>
    </row>
    <row r="16156">
      <c r="A16156" t="n">
        <v>14420322</v>
      </c>
      <c r="B16156" t="n">
        <v>59699</v>
      </c>
      <c r="C16156" t="inlineStr">
        <is>
          <t>1442/03/22</t>
        </is>
      </c>
    </row>
    <row r="16157">
      <c r="A16157" t="n">
        <v>14420323</v>
      </c>
      <c r="B16157" t="n">
        <v>59700</v>
      </c>
      <c r="C16157" t="inlineStr">
        <is>
          <t>1442/03/23</t>
        </is>
      </c>
    </row>
    <row r="16158">
      <c r="A16158" t="n">
        <v>14420324</v>
      </c>
      <c r="B16158" t="n">
        <v>59701</v>
      </c>
      <c r="C16158" t="inlineStr">
        <is>
          <t>1442/03/24</t>
        </is>
      </c>
    </row>
    <row r="16159">
      <c r="A16159" t="n">
        <v>14420325</v>
      </c>
      <c r="B16159" t="n">
        <v>59702</v>
      </c>
      <c r="C16159" t="inlineStr">
        <is>
          <t>1442/03/25</t>
        </is>
      </c>
    </row>
    <row r="16160">
      <c r="A16160" t="n">
        <v>14420326</v>
      </c>
      <c r="B16160" t="n">
        <v>59703</v>
      </c>
      <c r="C16160" t="inlineStr">
        <is>
          <t>1442/03/26</t>
        </is>
      </c>
    </row>
    <row r="16161">
      <c r="A16161" t="n">
        <v>14420327</v>
      </c>
      <c r="B16161" t="n">
        <v>59704</v>
      </c>
      <c r="C16161" t="inlineStr">
        <is>
          <t>1442/03/27</t>
        </is>
      </c>
    </row>
    <row r="16162">
      <c r="A16162" t="n">
        <v>14420328</v>
      </c>
      <c r="B16162" t="n">
        <v>59705</v>
      </c>
      <c r="C16162" t="inlineStr">
        <is>
          <t>1442/03/28</t>
        </is>
      </c>
    </row>
    <row r="16163">
      <c r="A16163" t="n">
        <v>14420329</v>
      </c>
      <c r="B16163" t="n">
        <v>59706</v>
      </c>
      <c r="C16163" t="inlineStr">
        <is>
          <t>1442/03/29</t>
        </is>
      </c>
    </row>
    <row r="16164">
      <c r="A16164" t="n">
        <v>14420330</v>
      </c>
      <c r="B16164" t="n">
        <v>59707</v>
      </c>
      <c r="C16164" t="inlineStr">
        <is>
          <t>1442/03/30</t>
        </is>
      </c>
    </row>
    <row r="16165">
      <c r="A16165" t="n">
        <v>14420331</v>
      </c>
      <c r="B16165" t="n">
        <v>59708</v>
      </c>
      <c r="C16165" t="inlineStr">
        <is>
          <t>1442/03/31</t>
        </is>
      </c>
    </row>
    <row r="16166">
      <c r="A16166" t="n">
        <v>14420401</v>
      </c>
      <c r="B16166" t="n">
        <v>59709</v>
      </c>
      <c r="C16166" t="inlineStr">
        <is>
          <t>1442/04/01</t>
        </is>
      </c>
    </row>
    <row r="16167">
      <c r="A16167" t="n">
        <v>14420402</v>
      </c>
      <c r="B16167" t="n">
        <v>59710</v>
      </c>
      <c r="C16167" t="inlineStr">
        <is>
          <t>1442/04/02</t>
        </is>
      </c>
    </row>
    <row r="16168">
      <c r="A16168" t="n">
        <v>14420403</v>
      </c>
      <c r="B16168" t="n">
        <v>59711</v>
      </c>
      <c r="C16168" t="inlineStr">
        <is>
          <t>1442/04/03</t>
        </is>
      </c>
    </row>
    <row r="16169">
      <c r="A16169" t="n">
        <v>14420404</v>
      </c>
      <c r="B16169" t="n">
        <v>59712</v>
      </c>
      <c r="C16169" t="inlineStr">
        <is>
          <t>1442/04/04</t>
        </is>
      </c>
    </row>
    <row r="16170">
      <c r="A16170" t="n">
        <v>14420405</v>
      </c>
      <c r="B16170" t="n">
        <v>59713</v>
      </c>
      <c r="C16170" t="inlineStr">
        <is>
          <t>1442/04/05</t>
        </is>
      </c>
    </row>
    <row r="16171">
      <c r="A16171" t="n">
        <v>14420406</v>
      </c>
      <c r="B16171" t="n">
        <v>59714</v>
      </c>
      <c r="C16171" t="inlineStr">
        <is>
          <t>1442/04/06</t>
        </is>
      </c>
    </row>
    <row r="16172">
      <c r="A16172" t="n">
        <v>14420407</v>
      </c>
      <c r="B16172" t="n">
        <v>59715</v>
      </c>
      <c r="C16172" t="inlineStr">
        <is>
          <t>1442/04/07</t>
        </is>
      </c>
    </row>
    <row r="16173">
      <c r="A16173" t="n">
        <v>14420408</v>
      </c>
      <c r="B16173" t="n">
        <v>59716</v>
      </c>
      <c r="C16173" t="inlineStr">
        <is>
          <t>1442/04/08</t>
        </is>
      </c>
    </row>
    <row r="16174">
      <c r="A16174" t="n">
        <v>14420409</v>
      </c>
      <c r="B16174" t="n">
        <v>59717</v>
      </c>
      <c r="C16174" t="inlineStr">
        <is>
          <t>1442/04/09</t>
        </is>
      </c>
    </row>
    <row r="16175">
      <c r="A16175" t="n">
        <v>14420410</v>
      </c>
      <c r="B16175" t="n">
        <v>59718</v>
      </c>
      <c r="C16175" t="inlineStr">
        <is>
          <t>1442/04/10</t>
        </is>
      </c>
    </row>
    <row r="16176">
      <c r="A16176" t="n">
        <v>14420411</v>
      </c>
      <c r="B16176" t="n">
        <v>59719</v>
      </c>
      <c r="C16176" t="inlineStr">
        <is>
          <t>1442/04/11</t>
        </is>
      </c>
    </row>
    <row r="16177">
      <c r="A16177" t="n">
        <v>14420412</v>
      </c>
      <c r="B16177" t="n">
        <v>59720</v>
      </c>
      <c r="C16177" t="inlineStr">
        <is>
          <t>1442/04/12</t>
        </is>
      </c>
    </row>
    <row r="16178">
      <c r="A16178" t="n">
        <v>14420413</v>
      </c>
      <c r="B16178" t="n">
        <v>59721</v>
      </c>
      <c r="C16178" t="inlineStr">
        <is>
          <t>1442/04/13</t>
        </is>
      </c>
    </row>
    <row r="16179">
      <c r="A16179" t="n">
        <v>14420414</v>
      </c>
      <c r="B16179" t="n">
        <v>59722</v>
      </c>
      <c r="C16179" t="inlineStr">
        <is>
          <t>1442/04/14</t>
        </is>
      </c>
    </row>
    <row r="16180">
      <c r="A16180" t="n">
        <v>14420415</v>
      </c>
      <c r="B16180" t="n">
        <v>59723</v>
      </c>
      <c r="C16180" t="inlineStr">
        <is>
          <t>1442/04/15</t>
        </is>
      </c>
    </row>
    <row r="16181">
      <c r="A16181" t="n">
        <v>14420416</v>
      </c>
      <c r="B16181" t="n">
        <v>59724</v>
      </c>
      <c r="C16181" t="inlineStr">
        <is>
          <t>1442/04/16</t>
        </is>
      </c>
    </row>
    <row r="16182">
      <c r="A16182" t="n">
        <v>14420417</v>
      </c>
      <c r="B16182" t="n">
        <v>59725</v>
      </c>
      <c r="C16182" t="inlineStr">
        <is>
          <t>1442/04/17</t>
        </is>
      </c>
    </row>
    <row r="16183">
      <c r="A16183" t="n">
        <v>14420418</v>
      </c>
      <c r="B16183" t="n">
        <v>59726</v>
      </c>
      <c r="C16183" t="inlineStr">
        <is>
          <t>1442/04/18</t>
        </is>
      </c>
    </row>
    <row r="16184">
      <c r="A16184" t="n">
        <v>14420419</v>
      </c>
      <c r="B16184" t="n">
        <v>59727</v>
      </c>
      <c r="C16184" t="inlineStr">
        <is>
          <t>1442/04/19</t>
        </is>
      </c>
    </row>
    <row r="16185">
      <c r="A16185" t="n">
        <v>14420420</v>
      </c>
      <c r="B16185" t="n">
        <v>59728</v>
      </c>
      <c r="C16185" t="inlineStr">
        <is>
          <t>1442/04/20</t>
        </is>
      </c>
    </row>
    <row r="16186">
      <c r="A16186" t="n">
        <v>14420421</v>
      </c>
      <c r="B16186" t="n">
        <v>59729</v>
      </c>
      <c r="C16186" t="inlineStr">
        <is>
          <t>1442/04/21</t>
        </is>
      </c>
    </row>
    <row r="16187">
      <c r="A16187" t="n">
        <v>14420422</v>
      </c>
      <c r="B16187" t="n">
        <v>59730</v>
      </c>
      <c r="C16187" t="inlineStr">
        <is>
          <t>1442/04/22</t>
        </is>
      </c>
    </row>
    <row r="16188">
      <c r="A16188" t="n">
        <v>14420423</v>
      </c>
      <c r="B16188" t="n">
        <v>59731</v>
      </c>
      <c r="C16188" t="inlineStr">
        <is>
          <t>1442/04/23</t>
        </is>
      </c>
    </row>
    <row r="16189">
      <c r="A16189" t="n">
        <v>14420424</v>
      </c>
      <c r="B16189" t="n">
        <v>59732</v>
      </c>
      <c r="C16189" t="inlineStr">
        <is>
          <t>1442/04/24</t>
        </is>
      </c>
    </row>
    <row r="16190">
      <c r="A16190" t="n">
        <v>14420425</v>
      </c>
      <c r="B16190" t="n">
        <v>59733</v>
      </c>
      <c r="C16190" t="inlineStr">
        <is>
          <t>1442/04/25</t>
        </is>
      </c>
    </row>
    <row r="16191">
      <c r="A16191" t="n">
        <v>14420426</v>
      </c>
      <c r="B16191" t="n">
        <v>59734</v>
      </c>
      <c r="C16191" t="inlineStr">
        <is>
          <t>1442/04/26</t>
        </is>
      </c>
    </row>
    <row r="16192">
      <c r="A16192" t="n">
        <v>14420427</v>
      </c>
      <c r="B16192" t="n">
        <v>59735</v>
      </c>
      <c r="C16192" t="inlineStr">
        <is>
          <t>1442/04/27</t>
        </is>
      </c>
    </row>
    <row r="16193">
      <c r="A16193" t="n">
        <v>14420428</v>
      </c>
      <c r="B16193" t="n">
        <v>59736</v>
      </c>
      <c r="C16193" t="inlineStr">
        <is>
          <t>1442/04/28</t>
        </is>
      </c>
    </row>
    <row r="16194">
      <c r="A16194" t="n">
        <v>14420429</v>
      </c>
      <c r="B16194" t="n">
        <v>59737</v>
      </c>
      <c r="C16194" t="inlineStr">
        <is>
          <t>1442/04/29</t>
        </is>
      </c>
    </row>
    <row r="16195">
      <c r="A16195" t="n">
        <v>14420430</v>
      </c>
      <c r="B16195" t="n">
        <v>59738</v>
      </c>
      <c r="C16195" t="inlineStr">
        <is>
          <t>1442/04/30</t>
        </is>
      </c>
    </row>
    <row r="16196">
      <c r="A16196" t="n">
        <v>14420431</v>
      </c>
      <c r="B16196" t="n">
        <v>59739</v>
      </c>
      <c r="C16196" t="inlineStr">
        <is>
          <t>1442/04/31</t>
        </is>
      </c>
    </row>
    <row r="16197">
      <c r="A16197" t="n">
        <v>14420501</v>
      </c>
      <c r="B16197" t="n">
        <v>59740</v>
      </c>
      <c r="C16197" t="inlineStr">
        <is>
          <t>1442/05/01</t>
        </is>
      </c>
    </row>
    <row r="16198">
      <c r="A16198" t="n">
        <v>14420502</v>
      </c>
      <c r="B16198" t="n">
        <v>59741</v>
      </c>
      <c r="C16198" t="inlineStr">
        <is>
          <t>1442/05/02</t>
        </is>
      </c>
    </row>
    <row r="16199">
      <c r="A16199" t="n">
        <v>14420503</v>
      </c>
      <c r="B16199" t="n">
        <v>59742</v>
      </c>
      <c r="C16199" t="inlineStr">
        <is>
          <t>1442/05/03</t>
        </is>
      </c>
    </row>
    <row r="16200">
      <c r="A16200" t="n">
        <v>14420504</v>
      </c>
      <c r="B16200" t="n">
        <v>59743</v>
      </c>
      <c r="C16200" t="inlineStr">
        <is>
          <t>1442/05/04</t>
        </is>
      </c>
    </row>
    <row r="16201">
      <c r="A16201" t="n">
        <v>14420505</v>
      </c>
      <c r="B16201" t="n">
        <v>59744</v>
      </c>
      <c r="C16201" t="inlineStr">
        <is>
          <t>1442/05/05</t>
        </is>
      </c>
    </row>
    <row r="16202">
      <c r="A16202" t="n">
        <v>14420506</v>
      </c>
      <c r="B16202" t="n">
        <v>59745</v>
      </c>
      <c r="C16202" t="inlineStr">
        <is>
          <t>1442/05/06</t>
        </is>
      </c>
    </row>
    <row r="16203">
      <c r="A16203" t="n">
        <v>14420507</v>
      </c>
      <c r="B16203" t="n">
        <v>59746</v>
      </c>
      <c r="C16203" t="inlineStr">
        <is>
          <t>1442/05/07</t>
        </is>
      </c>
    </row>
    <row r="16204">
      <c r="A16204" t="n">
        <v>14420508</v>
      </c>
      <c r="B16204" t="n">
        <v>59747</v>
      </c>
      <c r="C16204" t="inlineStr">
        <is>
          <t>1442/05/08</t>
        </is>
      </c>
    </row>
    <row r="16205">
      <c r="A16205" t="n">
        <v>14420509</v>
      </c>
      <c r="B16205" t="n">
        <v>59748</v>
      </c>
      <c r="C16205" t="inlineStr">
        <is>
          <t>1442/05/09</t>
        </is>
      </c>
    </row>
    <row r="16206">
      <c r="A16206" t="n">
        <v>14420510</v>
      </c>
      <c r="B16206" t="n">
        <v>59749</v>
      </c>
      <c r="C16206" t="inlineStr">
        <is>
          <t>1442/05/10</t>
        </is>
      </c>
    </row>
    <row r="16207">
      <c r="A16207" t="n">
        <v>14420511</v>
      </c>
      <c r="B16207" t="n">
        <v>59750</v>
      </c>
      <c r="C16207" t="inlineStr">
        <is>
          <t>1442/05/11</t>
        </is>
      </c>
    </row>
    <row r="16208">
      <c r="A16208" t="n">
        <v>14420512</v>
      </c>
      <c r="B16208" t="n">
        <v>59751</v>
      </c>
      <c r="C16208" t="inlineStr">
        <is>
          <t>1442/05/12</t>
        </is>
      </c>
    </row>
    <row r="16209">
      <c r="A16209" t="n">
        <v>14420513</v>
      </c>
      <c r="B16209" t="n">
        <v>59752</v>
      </c>
      <c r="C16209" t="inlineStr">
        <is>
          <t>1442/05/13</t>
        </is>
      </c>
    </row>
    <row r="16210">
      <c r="A16210" t="n">
        <v>14420514</v>
      </c>
      <c r="B16210" t="n">
        <v>59753</v>
      </c>
      <c r="C16210" t="inlineStr">
        <is>
          <t>1442/05/14</t>
        </is>
      </c>
    </row>
    <row r="16211">
      <c r="A16211" t="n">
        <v>14420515</v>
      </c>
      <c r="B16211" t="n">
        <v>59754</v>
      </c>
      <c r="C16211" t="inlineStr">
        <is>
          <t>1442/05/15</t>
        </is>
      </c>
    </row>
    <row r="16212">
      <c r="A16212" t="n">
        <v>14420516</v>
      </c>
      <c r="B16212" t="n">
        <v>59755</v>
      </c>
      <c r="C16212" t="inlineStr">
        <is>
          <t>1442/05/16</t>
        </is>
      </c>
    </row>
    <row r="16213">
      <c r="A16213" t="n">
        <v>14420517</v>
      </c>
      <c r="B16213" t="n">
        <v>59756</v>
      </c>
      <c r="C16213" t="inlineStr">
        <is>
          <t>1442/05/17</t>
        </is>
      </c>
    </row>
    <row r="16214">
      <c r="A16214" t="n">
        <v>14420518</v>
      </c>
      <c r="B16214" t="n">
        <v>59757</v>
      </c>
      <c r="C16214" t="inlineStr">
        <is>
          <t>1442/05/18</t>
        </is>
      </c>
    </row>
    <row r="16215">
      <c r="A16215" t="n">
        <v>14420519</v>
      </c>
      <c r="B16215" t="n">
        <v>59758</v>
      </c>
      <c r="C16215" t="inlineStr">
        <is>
          <t>1442/05/19</t>
        </is>
      </c>
    </row>
    <row r="16216">
      <c r="A16216" t="n">
        <v>14420520</v>
      </c>
      <c r="B16216" t="n">
        <v>59759</v>
      </c>
      <c r="C16216" t="inlineStr">
        <is>
          <t>1442/05/20</t>
        </is>
      </c>
    </row>
    <row r="16217">
      <c r="A16217" t="n">
        <v>14420521</v>
      </c>
      <c r="B16217" t="n">
        <v>59760</v>
      </c>
      <c r="C16217" t="inlineStr">
        <is>
          <t>1442/05/21</t>
        </is>
      </c>
    </row>
    <row r="16218">
      <c r="A16218" t="n">
        <v>14420522</v>
      </c>
      <c r="B16218" t="n">
        <v>59761</v>
      </c>
      <c r="C16218" t="inlineStr">
        <is>
          <t>1442/05/22</t>
        </is>
      </c>
    </row>
    <row r="16219">
      <c r="A16219" t="n">
        <v>14420523</v>
      </c>
      <c r="B16219" t="n">
        <v>59762</v>
      </c>
      <c r="C16219" t="inlineStr">
        <is>
          <t>1442/05/23</t>
        </is>
      </c>
    </row>
    <row r="16220">
      <c r="A16220" t="n">
        <v>14420524</v>
      </c>
      <c r="B16220" t="n">
        <v>59763</v>
      </c>
      <c r="C16220" t="inlineStr">
        <is>
          <t>1442/05/24</t>
        </is>
      </c>
    </row>
    <row r="16221">
      <c r="A16221" t="n">
        <v>14420525</v>
      </c>
      <c r="B16221" t="n">
        <v>59764</v>
      </c>
      <c r="C16221" t="inlineStr">
        <is>
          <t>1442/05/25</t>
        </is>
      </c>
    </row>
    <row r="16222">
      <c r="A16222" t="n">
        <v>14420526</v>
      </c>
      <c r="B16222" t="n">
        <v>59765</v>
      </c>
      <c r="C16222" t="inlineStr">
        <is>
          <t>1442/05/26</t>
        </is>
      </c>
    </row>
    <row r="16223">
      <c r="A16223" t="n">
        <v>14420527</v>
      </c>
      <c r="B16223" t="n">
        <v>59766</v>
      </c>
      <c r="C16223" t="inlineStr">
        <is>
          <t>1442/05/27</t>
        </is>
      </c>
    </row>
    <row r="16224">
      <c r="A16224" t="n">
        <v>14420528</v>
      </c>
      <c r="B16224" t="n">
        <v>59767</v>
      </c>
      <c r="C16224" t="inlineStr">
        <is>
          <t>1442/05/28</t>
        </is>
      </c>
    </row>
    <row r="16225">
      <c r="A16225" t="n">
        <v>14420529</v>
      </c>
      <c r="B16225" t="n">
        <v>59768</v>
      </c>
      <c r="C16225" t="inlineStr">
        <is>
          <t>1442/05/29</t>
        </is>
      </c>
    </row>
    <row r="16226">
      <c r="A16226" t="n">
        <v>14420530</v>
      </c>
      <c r="B16226" t="n">
        <v>59769</v>
      </c>
      <c r="C16226" t="inlineStr">
        <is>
          <t>1442/05/30</t>
        </is>
      </c>
    </row>
    <row r="16227">
      <c r="A16227" t="n">
        <v>14420531</v>
      </c>
      <c r="B16227" t="n">
        <v>59770</v>
      </c>
      <c r="C16227" t="inlineStr">
        <is>
          <t>1442/05/31</t>
        </is>
      </c>
    </row>
    <row r="16228">
      <c r="A16228" t="n">
        <v>14420601</v>
      </c>
      <c r="B16228" t="n">
        <v>59771</v>
      </c>
      <c r="C16228" t="inlineStr">
        <is>
          <t>1442/06/01</t>
        </is>
      </c>
    </row>
    <row r="16229">
      <c r="A16229" t="n">
        <v>14420602</v>
      </c>
      <c r="B16229" t="n">
        <v>59772</v>
      </c>
      <c r="C16229" t="inlineStr">
        <is>
          <t>1442/06/02</t>
        </is>
      </c>
    </row>
    <row r="16230">
      <c r="A16230" t="n">
        <v>14420603</v>
      </c>
      <c r="B16230" t="n">
        <v>59773</v>
      </c>
      <c r="C16230" t="inlineStr">
        <is>
          <t>1442/06/03</t>
        </is>
      </c>
    </row>
    <row r="16231">
      <c r="A16231" t="n">
        <v>14420604</v>
      </c>
      <c r="B16231" t="n">
        <v>59774</v>
      </c>
      <c r="C16231" t="inlineStr">
        <is>
          <t>1442/06/04</t>
        </is>
      </c>
    </row>
    <row r="16232">
      <c r="A16232" t="n">
        <v>14420605</v>
      </c>
      <c r="B16232" t="n">
        <v>59775</v>
      </c>
      <c r="C16232" t="inlineStr">
        <is>
          <t>1442/06/05</t>
        </is>
      </c>
    </row>
    <row r="16233">
      <c r="A16233" t="n">
        <v>14420606</v>
      </c>
      <c r="B16233" t="n">
        <v>59776</v>
      </c>
      <c r="C16233" t="inlineStr">
        <is>
          <t>1442/06/06</t>
        </is>
      </c>
    </row>
    <row r="16234">
      <c r="A16234" t="n">
        <v>14420607</v>
      </c>
      <c r="B16234" t="n">
        <v>59777</v>
      </c>
      <c r="C16234" t="inlineStr">
        <is>
          <t>1442/06/07</t>
        </is>
      </c>
    </row>
    <row r="16235">
      <c r="A16235" t="n">
        <v>14420608</v>
      </c>
      <c r="B16235" t="n">
        <v>59778</v>
      </c>
      <c r="C16235" t="inlineStr">
        <is>
          <t>1442/06/08</t>
        </is>
      </c>
    </row>
    <row r="16236">
      <c r="A16236" t="n">
        <v>14420609</v>
      </c>
      <c r="B16236" t="n">
        <v>59779</v>
      </c>
      <c r="C16236" t="inlineStr">
        <is>
          <t>1442/06/09</t>
        </is>
      </c>
    </row>
    <row r="16237">
      <c r="A16237" t="n">
        <v>14420610</v>
      </c>
      <c r="B16237" t="n">
        <v>59780</v>
      </c>
      <c r="C16237" t="inlineStr">
        <is>
          <t>1442/06/10</t>
        </is>
      </c>
    </row>
    <row r="16238">
      <c r="A16238" t="n">
        <v>14420611</v>
      </c>
      <c r="B16238" t="n">
        <v>59781</v>
      </c>
      <c r="C16238" t="inlineStr">
        <is>
          <t>1442/06/11</t>
        </is>
      </c>
    </row>
    <row r="16239">
      <c r="A16239" t="n">
        <v>14420612</v>
      </c>
      <c r="B16239" t="n">
        <v>59782</v>
      </c>
      <c r="C16239" t="inlineStr">
        <is>
          <t>1442/06/12</t>
        </is>
      </c>
    </row>
    <row r="16240">
      <c r="A16240" t="n">
        <v>14420613</v>
      </c>
      <c r="B16240" t="n">
        <v>59783</v>
      </c>
      <c r="C16240" t="inlineStr">
        <is>
          <t>1442/06/13</t>
        </is>
      </c>
    </row>
    <row r="16241">
      <c r="A16241" t="n">
        <v>14420614</v>
      </c>
      <c r="B16241" t="n">
        <v>59784</v>
      </c>
      <c r="C16241" t="inlineStr">
        <is>
          <t>1442/06/14</t>
        </is>
      </c>
    </row>
    <row r="16242">
      <c r="A16242" t="n">
        <v>14420615</v>
      </c>
      <c r="B16242" t="n">
        <v>59785</v>
      </c>
      <c r="C16242" t="inlineStr">
        <is>
          <t>1442/06/15</t>
        </is>
      </c>
    </row>
    <row r="16243">
      <c r="A16243" t="n">
        <v>14420616</v>
      </c>
      <c r="B16243" t="n">
        <v>59786</v>
      </c>
      <c r="C16243" t="inlineStr">
        <is>
          <t>1442/06/16</t>
        </is>
      </c>
    </row>
    <row r="16244">
      <c r="A16244" t="n">
        <v>14420617</v>
      </c>
      <c r="B16244" t="n">
        <v>59787</v>
      </c>
      <c r="C16244" t="inlineStr">
        <is>
          <t>1442/06/17</t>
        </is>
      </c>
    </row>
    <row r="16245">
      <c r="A16245" t="n">
        <v>14420618</v>
      </c>
      <c r="B16245" t="n">
        <v>59788</v>
      </c>
      <c r="C16245" t="inlineStr">
        <is>
          <t>1442/06/18</t>
        </is>
      </c>
    </row>
    <row r="16246">
      <c r="A16246" t="n">
        <v>14420619</v>
      </c>
      <c r="B16246" t="n">
        <v>59789</v>
      </c>
      <c r="C16246" t="inlineStr">
        <is>
          <t>1442/06/19</t>
        </is>
      </c>
    </row>
    <row r="16247">
      <c r="A16247" t="n">
        <v>14420620</v>
      </c>
      <c r="B16247" t="n">
        <v>59790</v>
      </c>
      <c r="C16247" t="inlineStr">
        <is>
          <t>1442/06/20</t>
        </is>
      </c>
    </row>
    <row r="16248">
      <c r="A16248" t="n">
        <v>14420621</v>
      </c>
      <c r="B16248" t="n">
        <v>59791</v>
      </c>
      <c r="C16248" t="inlineStr">
        <is>
          <t>1442/06/21</t>
        </is>
      </c>
    </row>
    <row r="16249">
      <c r="A16249" t="n">
        <v>14420622</v>
      </c>
      <c r="B16249" t="n">
        <v>59792</v>
      </c>
      <c r="C16249" t="inlineStr">
        <is>
          <t>1442/06/22</t>
        </is>
      </c>
    </row>
    <row r="16250">
      <c r="A16250" t="n">
        <v>14420623</v>
      </c>
      <c r="B16250" t="n">
        <v>59793</v>
      </c>
      <c r="C16250" t="inlineStr">
        <is>
          <t>1442/06/23</t>
        </is>
      </c>
    </row>
    <row r="16251">
      <c r="A16251" t="n">
        <v>14420624</v>
      </c>
      <c r="B16251" t="n">
        <v>59794</v>
      </c>
      <c r="C16251" t="inlineStr">
        <is>
          <t>1442/06/24</t>
        </is>
      </c>
    </row>
    <row r="16252">
      <c r="A16252" t="n">
        <v>14420625</v>
      </c>
      <c r="B16252" t="n">
        <v>59795</v>
      </c>
      <c r="C16252" t="inlineStr">
        <is>
          <t>1442/06/25</t>
        </is>
      </c>
    </row>
    <row r="16253">
      <c r="A16253" t="n">
        <v>14420626</v>
      </c>
      <c r="B16253" t="n">
        <v>59796</v>
      </c>
      <c r="C16253" t="inlineStr">
        <is>
          <t>1442/06/26</t>
        </is>
      </c>
    </row>
    <row r="16254">
      <c r="A16254" t="n">
        <v>14420627</v>
      </c>
      <c r="B16254" t="n">
        <v>59797</v>
      </c>
      <c r="C16254" t="inlineStr">
        <is>
          <t>1442/06/27</t>
        </is>
      </c>
    </row>
    <row r="16255">
      <c r="A16255" t="n">
        <v>14420628</v>
      </c>
      <c r="B16255" t="n">
        <v>59798</v>
      </c>
      <c r="C16255" t="inlineStr">
        <is>
          <t>1442/06/28</t>
        </is>
      </c>
    </row>
    <row r="16256">
      <c r="A16256" t="n">
        <v>14420629</v>
      </c>
      <c r="B16256" t="n">
        <v>59799</v>
      </c>
      <c r="C16256" t="inlineStr">
        <is>
          <t>1442/06/29</t>
        </is>
      </c>
    </row>
    <row r="16257">
      <c r="A16257" t="n">
        <v>14420630</v>
      </c>
      <c r="B16257" t="n">
        <v>59800</v>
      </c>
      <c r="C16257" t="inlineStr">
        <is>
          <t>1442/06/30</t>
        </is>
      </c>
    </row>
    <row r="16258">
      <c r="A16258" t="n">
        <v>14420631</v>
      </c>
      <c r="B16258" t="n">
        <v>59801</v>
      </c>
      <c r="C16258" t="inlineStr">
        <is>
          <t>1442/06/31</t>
        </is>
      </c>
    </row>
    <row r="16259">
      <c r="A16259" t="n">
        <v>14420701</v>
      </c>
      <c r="B16259" t="n">
        <v>59802</v>
      </c>
      <c r="C16259" t="inlineStr">
        <is>
          <t>1442/07/01</t>
        </is>
      </c>
    </row>
    <row r="16260">
      <c r="A16260" t="n">
        <v>14420702</v>
      </c>
      <c r="B16260" t="n">
        <v>59803</v>
      </c>
      <c r="C16260" t="inlineStr">
        <is>
          <t>1442/07/02</t>
        </is>
      </c>
    </row>
    <row r="16261">
      <c r="A16261" t="n">
        <v>14420703</v>
      </c>
      <c r="B16261" t="n">
        <v>59804</v>
      </c>
      <c r="C16261" t="inlineStr">
        <is>
          <t>1442/07/03</t>
        </is>
      </c>
    </row>
    <row r="16262">
      <c r="A16262" t="n">
        <v>14420704</v>
      </c>
      <c r="B16262" t="n">
        <v>59805</v>
      </c>
      <c r="C16262" t="inlineStr">
        <is>
          <t>1442/07/04</t>
        </is>
      </c>
    </row>
    <row r="16263">
      <c r="A16263" t="n">
        <v>14420705</v>
      </c>
      <c r="B16263" t="n">
        <v>59806</v>
      </c>
      <c r="C16263" t="inlineStr">
        <is>
          <t>1442/07/05</t>
        </is>
      </c>
    </row>
    <row r="16264">
      <c r="A16264" t="n">
        <v>14420706</v>
      </c>
      <c r="B16264" t="n">
        <v>59807</v>
      </c>
      <c r="C16264" t="inlineStr">
        <is>
          <t>1442/07/06</t>
        </is>
      </c>
    </row>
    <row r="16265">
      <c r="A16265" t="n">
        <v>14420707</v>
      </c>
      <c r="B16265" t="n">
        <v>59808</v>
      </c>
      <c r="C16265" t="inlineStr">
        <is>
          <t>1442/07/07</t>
        </is>
      </c>
    </row>
    <row r="16266">
      <c r="A16266" t="n">
        <v>14420708</v>
      </c>
      <c r="B16266" t="n">
        <v>59809</v>
      </c>
      <c r="C16266" t="inlineStr">
        <is>
          <t>1442/07/08</t>
        </is>
      </c>
    </row>
    <row r="16267">
      <c r="A16267" t="n">
        <v>14420709</v>
      </c>
      <c r="B16267" t="n">
        <v>59810</v>
      </c>
      <c r="C16267" t="inlineStr">
        <is>
          <t>1442/07/09</t>
        </is>
      </c>
    </row>
    <row r="16268">
      <c r="A16268" t="n">
        <v>14420710</v>
      </c>
      <c r="B16268" t="n">
        <v>59811</v>
      </c>
      <c r="C16268" t="inlineStr">
        <is>
          <t>1442/07/10</t>
        </is>
      </c>
    </row>
    <row r="16269">
      <c r="A16269" t="n">
        <v>14420711</v>
      </c>
      <c r="B16269" t="n">
        <v>59812</v>
      </c>
      <c r="C16269" t="inlineStr">
        <is>
          <t>1442/07/11</t>
        </is>
      </c>
    </row>
    <row r="16270">
      <c r="A16270" t="n">
        <v>14420712</v>
      </c>
      <c r="B16270" t="n">
        <v>59813</v>
      </c>
      <c r="C16270" t="inlineStr">
        <is>
          <t>1442/07/12</t>
        </is>
      </c>
    </row>
    <row r="16271">
      <c r="A16271" t="n">
        <v>14420713</v>
      </c>
      <c r="B16271" t="n">
        <v>59814</v>
      </c>
      <c r="C16271" t="inlineStr">
        <is>
          <t>1442/07/13</t>
        </is>
      </c>
    </row>
    <row r="16272">
      <c r="A16272" t="n">
        <v>14420714</v>
      </c>
      <c r="B16272" t="n">
        <v>59815</v>
      </c>
      <c r="C16272" t="inlineStr">
        <is>
          <t>1442/07/14</t>
        </is>
      </c>
    </row>
    <row r="16273">
      <c r="A16273" t="n">
        <v>14420715</v>
      </c>
      <c r="B16273" t="n">
        <v>59816</v>
      </c>
      <c r="C16273" t="inlineStr">
        <is>
          <t>1442/07/15</t>
        </is>
      </c>
    </row>
    <row r="16274">
      <c r="A16274" t="n">
        <v>14420716</v>
      </c>
      <c r="B16274" t="n">
        <v>59817</v>
      </c>
      <c r="C16274" t="inlineStr">
        <is>
          <t>1442/07/16</t>
        </is>
      </c>
    </row>
    <row r="16275">
      <c r="A16275" t="n">
        <v>14420717</v>
      </c>
      <c r="B16275" t="n">
        <v>59818</v>
      </c>
      <c r="C16275" t="inlineStr">
        <is>
          <t>1442/07/17</t>
        </is>
      </c>
    </row>
    <row r="16276">
      <c r="A16276" t="n">
        <v>14420718</v>
      </c>
      <c r="B16276" t="n">
        <v>59819</v>
      </c>
      <c r="C16276" t="inlineStr">
        <is>
          <t>1442/07/18</t>
        </is>
      </c>
    </row>
    <row r="16277">
      <c r="A16277" t="n">
        <v>14420719</v>
      </c>
      <c r="B16277" t="n">
        <v>59820</v>
      </c>
      <c r="C16277" t="inlineStr">
        <is>
          <t>1442/07/19</t>
        </is>
      </c>
    </row>
    <row r="16278">
      <c r="A16278" t="n">
        <v>14420720</v>
      </c>
      <c r="B16278" t="n">
        <v>59821</v>
      </c>
      <c r="C16278" t="inlineStr">
        <is>
          <t>1442/07/20</t>
        </is>
      </c>
    </row>
    <row r="16279">
      <c r="A16279" t="n">
        <v>14420721</v>
      </c>
      <c r="B16279" t="n">
        <v>59822</v>
      </c>
      <c r="C16279" t="inlineStr">
        <is>
          <t>1442/07/21</t>
        </is>
      </c>
    </row>
    <row r="16280">
      <c r="A16280" t="n">
        <v>14420722</v>
      </c>
      <c r="B16280" t="n">
        <v>59823</v>
      </c>
      <c r="C16280" t="inlineStr">
        <is>
          <t>1442/07/22</t>
        </is>
      </c>
    </row>
    <row r="16281">
      <c r="A16281" t="n">
        <v>14420723</v>
      </c>
      <c r="B16281" t="n">
        <v>59824</v>
      </c>
      <c r="C16281" t="inlineStr">
        <is>
          <t>1442/07/23</t>
        </is>
      </c>
    </row>
    <row r="16282">
      <c r="A16282" t="n">
        <v>14420724</v>
      </c>
      <c r="B16282" t="n">
        <v>59825</v>
      </c>
      <c r="C16282" t="inlineStr">
        <is>
          <t>1442/07/24</t>
        </is>
      </c>
    </row>
    <row r="16283">
      <c r="A16283" t="n">
        <v>14420725</v>
      </c>
      <c r="B16283" t="n">
        <v>59826</v>
      </c>
      <c r="C16283" t="inlineStr">
        <is>
          <t>1442/07/25</t>
        </is>
      </c>
    </row>
    <row r="16284">
      <c r="A16284" t="n">
        <v>14420726</v>
      </c>
      <c r="B16284" t="n">
        <v>59827</v>
      </c>
      <c r="C16284" t="inlineStr">
        <is>
          <t>1442/07/26</t>
        </is>
      </c>
    </row>
    <row r="16285">
      <c r="A16285" t="n">
        <v>14420727</v>
      </c>
      <c r="B16285" t="n">
        <v>59828</v>
      </c>
      <c r="C16285" t="inlineStr">
        <is>
          <t>1442/07/27</t>
        </is>
      </c>
    </row>
    <row r="16286">
      <c r="A16286" t="n">
        <v>14420728</v>
      </c>
      <c r="B16286" t="n">
        <v>59829</v>
      </c>
      <c r="C16286" t="inlineStr">
        <is>
          <t>1442/07/28</t>
        </is>
      </c>
    </row>
    <row r="16287">
      <c r="A16287" t="n">
        <v>14420729</v>
      </c>
      <c r="B16287" t="n">
        <v>59830</v>
      </c>
      <c r="C16287" t="inlineStr">
        <is>
          <t>1442/07/29</t>
        </is>
      </c>
    </row>
    <row r="16288">
      <c r="A16288" t="n">
        <v>14420730</v>
      </c>
      <c r="B16288" t="n">
        <v>59831</v>
      </c>
      <c r="C16288" t="inlineStr">
        <is>
          <t>1442/07/30</t>
        </is>
      </c>
    </row>
    <row r="16289">
      <c r="A16289" t="n">
        <v>14420801</v>
      </c>
      <c r="B16289" t="n">
        <v>59832</v>
      </c>
      <c r="C16289" t="inlineStr">
        <is>
          <t>1442/08/01</t>
        </is>
      </c>
    </row>
    <row r="16290">
      <c r="A16290" t="n">
        <v>14420802</v>
      </c>
      <c r="B16290" t="n">
        <v>59833</v>
      </c>
      <c r="C16290" t="inlineStr">
        <is>
          <t>1442/08/02</t>
        </is>
      </c>
    </row>
    <row r="16291">
      <c r="A16291" t="n">
        <v>14420803</v>
      </c>
      <c r="B16291" t="n">
        <v>59834</v>
      </c>
      <c r="C16291" t="inlineStr">
        <is>
          <t>1442/08/03</t>
        </is>
      </c>
    </row>
    <row r="16292">
      <c r="A16292" t="n">
        <v>14420804</v>
      </c>
      <c r="B16292" t="n">
        <v>59835</v>
      </c>
      <c r="C16292" t="inlineStr">
        <is>
          <t>1442/08/04</t>
        </is>
      </c>
    </row>
    <row r="16293">
      <c r="A16293" t="n">
        <v>14420805</v>
      </c>
      <c r="B16293" t="n">
        <v>59836</v>
      </c>
      <c r="C16293" t="inlineStr">
        <is>
          <t>1442/08/05</t>
        </is>
      </c>
    </row>
    <row r="16294">
      <c r="A16294" t="n">
        <v>14420806</v>
      </c>
      <c r="B16294" t="n">
        <v>59837</v>
      </c>
      <c r="C16294" t="inlineStr">
        <is>
          <t>1442/08/06</t>
        </is>
      </c>
    </row>
    <row r="16295">
      <c r="A16295" t="n">
        <v>14420807</v>
      </c>
      <c r="B16295" t="n">
        <v>59838</v>
      </c>
      <c r="C16295" t="inlineStr">
        <is>
          <t>1442/08/07</t>
        </is>
      </c>
    </row>
    <row r="16296">
      <c r="A16296" t="n">
        <v>14420808</v>
      </c>
      <c r="B16296" t="n">
        <v>59839</v>
      </c>
      <c r="C16296" t="inlineStr">
        <is>
          <t>1442/08/08</t>
        </is>
      </c>
    </row>
    <row r="16297">
      <c r="A16297" t="n">
        <v>14420809</v>
      </c>
      <c r="B16297" t="n">
        <v>59840</v>
      </c>
      <c r="C16297" t="inlineStr">
        <is>
          <t>1442/08/09</t>
        </is>
      </c>
    </row>
    <row r="16298">
      <c r="A16298" t="n">
        <v>14420810</v>
      </c>
      <c r="B16298" t="n">
        <v>59841</v>
      </c>
      <c r="C16298" t="inlineStr">
        <is>
          <t>1442/08/10</t>
        </is>
      </c>
    </row>
    <row r="16299">
      <c r="A16299" t="n">
        <v>14420811</v>
      </c>
      <c r="B16299" t="n">
        <v>59842</v>
      </c>
      <c r="C16299" t="inlineStr">
        <is>
          <t>1442/08/11</t>
        </is>
      </c>
    </row>
    <row r="16300">
      <c r="A16300" t="n">
        <v>14420812</v>
      </c>
      <c r="B16300" t="n">
        <v>59843</v>
      </c>
      <c r="C16300" t="inlineStr">
        <is>
          <t>1442/08/12</t>
        </is>
      </c>
    </row>
    <row r="16301">
      <c r="A16301" t="n">
        <v>14420813</v>
      </c>
      <c r="B16301" t="n">
        <v>59844</v>
      </c>
      <c r="C16301" t="inlineStr">
        <is>
          <t>1442/08/13</t>
        </is>
      </c>
    </row>
    <row r="16302">
      <c r="A16302" t="n">
        <v>14420814</v>
      </c>
      <c r="B16302" t="n">
        <v>59845</v>
      </c>
      <c r="C16302" t="inlineStr">
        <is>
          <t>1442/08/14</t>
        </is>
      </c>
    </row>
    <row r="16303">
      <c r="A16303" t="n">
        <v>14420815</v>
      </c>
      <c r="B16303" t="n">
        <v>59846</v>
      </c>
      <c r="C16303" t="inlineStr">
        <is>
          <t>1442/08/15</t>
        </is>
      </c>
    </row>
    <row r="16304">
      <c r="A16304" t="n">
        <v>14420816</v>
      </c>
      <c r="B16304" t="n">
        <v>59847</v>
      </c>
      <c r="C16304" t="inlineStr">
        <is>
          <t>1442/08/16</t>
        </is>
      </c>
    </row>
    <row r="16305">
      <c r="A16305" t="n">
        <v>14420817</v>
      </c>
      <c r="B16305" t="n">
        <v>59848</v>
      </c>
      <c r="C16305" t="inlineStr">
        <is>
          <t>1442/08/17</t>
        </is>
      </c>
    </row>
    <row r="16306">
      <c r="A16306" t="n">
        <v>14420818</v>
      </c>
      <c r="B16306" t="n">
        <v>59849</v>
      </c>
      <c r="C16306" t="inlineStr">
        <is>
          <t>1442/08/18</t>
        </is>
      </c>
    </row>
    <row r="16307">
      <c r="A16307" t="n">
        <v>14420819</v>
      </c>
      <c r="B16307" t="n">
        <v>59850</v>
      </c>
      <c r="C16307" t="inlineStr">
        <is>
          <t>1442/08/19</t>
        </is>
      </c>
    </row>
    <row r="16308">
      <c r="A16308" t="n">
        <v>14420820</v>
      </c>
      <c r="B16308" t="n">
        <v>59851</v>
      </c>
      <c r="C16308" t="inlineStr">
        <is>
          <t>1442/08/20</t>
        </is>
      </c>
    </row>
    <row r="16309">
      <c r="A16309" t="n">
        <v>14420821</v>
      </c>
      <c r="B16309" t="n">
        <v>59852</v>
      </c>
      <c r="C16309" t="inlineStr">
        <is>
          <t>1442/08/21</t>
        </is>
      </c>
    </row>
    <row r="16310">
      <c r="A16310" t="n">
        <v>14420822</v>
      </c>
      <c r="B16310" t="n">
        <v>59853</v>
      </c>
      <c r="C16310" t="inlineStr">
        <is>
          <t>1442/08/22</t>
        </is>
      </c>
    </row>
    <row r="16311">
      <c r="A16311" t="n">
        <v>14420823</v>
      </c>
      <c r="B16311" t="n">
        <v>59854</v>
      </c>
      <c r="C16311" t="inlineStr">
        <is>
          <t>1442/08/23</t>
        </is>
      </c>
    </row>
    <row r="16312">
      <c r="A16312" t="n">
        <v>14420824</v>
      </c>
      <c r="B16312" t="n">
        <v>59855</v>
      </c>
      <c r="C16312" t="inlineStr">
        <is>
          <t>1442/08/24</t>
        </is>
      </c>
    </row>
    <row r="16313">
      <c r="A16313" t="n">
        <v>14420825</v>
      </c>
      <c r="B16313" t="n">
        <v>59856</v>
      </c>
      <c r="C16313" t="inlineStr">
        <is>
          <t>1442/08/25</t>
        </is>
      </c>
    </row>
    <row r="16314">
      <c r="A16314" t="n">
        <v>14420826</v>
      </c>
      <c r="B16314" t="n">
        <v>59857</v>
      </c>
      <c r="C16314" t="inlineStr">
        <is>
          <t>1442/08/26</t>
        </is>
      </c>
    </row>
    <row r="16315">
      <c r="A16315" t="n">
        <v>14420827</v>
      </c>
      <c r="B16315" t="n">
        <v>59858</v>
      </c>
      <c r="C16315" t="inlineStr">
        <is>
          <t>1442/08/27</t>
        </is>
      </c>
    </row>
    <row r="16316">
      <c r="A16316" t="n">
        <v>14420828</v>
      </c>
      <c r="B16316" t="n">
        <v>59859</v>
      </c>
      <c r="C16316" t="inlineStr">
        <is>
          <t>1442/08/28</t>
        </is>
      </c>
    </row>
    <row r="16317">
      <c r="A16317" t="n">
        <v>14420829</v>
      </c>
      <c r="B16317" t="n">
        <v>59860</v>
      </c>
      <c r="C16317" t="inlineStr">
        <is>
          <t>1442/08/29</t>
        </is>
      </c>
    </row>
    <row r="16318">
      <c r="A16318" t="n">
        <v>14420830</v>
      </c>
      <c r="B16318" t="n">
        <v>59861</v>
      </c>
      <c r="C16318" t="inlineStr">
        <is>
          <t>1442/08/30</t>
        </is>
      </c>
    </row>
    <row r="16319">
      <c r="A16319" t="n">
        <v>14420901</v>
      </c>
      <c r="B16319" t="n">
        <v>59862</v>
      </c>
      <c r="C16319" t="inlineStr">
        <is>
          <t>1442/09/01</t>
        </is>
      </c>
    </row>
    <row r="16320">
      <c r="A16320" t="n">
        <v>14420902</v>
      </c>
      <c r="B16320" t="n">
        <v>59863</v>
      </c>
      <c r="C16320" t="inlineStr">
        <is>
          <t>1442/09/02</t>
        </is>
      </c>
    </row>
    <row r="16321">
      <c r="A16321" t="n">
        <v>14420903</v>
      </c>
      <c r="B16321" t="n">
        <v>59864</v>
      </c>
      <c r="C16321" t="inlineStr">
        <is>
          <t>1442/09/03</t>
        </is>
      </c>
    </row>
    <row r="16322">
      <c r="A16322" t="n">
        <v>14420904</v>
      </c>
      <c r="B16322" t="n">
        <v>59865</v>
      </c>
      <c r="C16322" t="inlineStr">
        <is>
          <t>1442/09/04</t>
        </is>
      </c>
    </row>
    <row r="16323">
      <c r="A16323" t="n">
        <v>14420905</v>
      </c>
      <c r="B16323" t="n">
        <v>59866</v>
      </c>
      <c r="C16323" t="inlineStr">
        <is>
          <t>1442/09/05</t>
        </is>
      </c>
    </row>
    <row r="16324">
      <c r="A16324" t="n">
        <v>14420906</v>
      </c>
      <c r="B16324" t="n">
        <v>59867</v>
      </c>
      <c r="C16324" t="inlineStr">
        <is>
          <t>1442/09/06</t>
        </is>
      </c>
    </row>
    <row r="16325">
      <c r="A16325" t="n">
        <v>14420907</v>
      </c>
      <c r="B16325" t="n">
        <v>59868</v>
      </c>
      <c r="C16325" t="inlineStr">
        <is>
          <t>1442/09/07</t>
        </is>
      </c>
    </row>
    <row r="16326">
      <c r="A16326" t="n">
        <v>14420908</v>
      </c>
      <c r="B16326" t="n">
        <v>59869</v>
      </c>
      <c r="C16326" t="inlineStr">
        <is>
          <t>1442/09/08</t>
        </is>
      </c>
    </row>
    <row r="16327">
      <c r="A16327" t="n">
        <v>14420909</v>
      </c>
      <c r="B16327" t="n">
        <v>59870</v>
      </c>
      <c r="C16327" t="inlineStr">
        <is>
          <t>1442/09/09</t>
        </is>
      </c>
    </row>
    <row r="16328">
      <c r="A16328" t="n">
        <v>14420910</v>
      </c>
      <c r="B16328" t="n">
        <v>59871</v>
      </c>
      <c r="C16328" t="inlineStr">
        <is>
          <t>1442/09/10</t>
        </is>
      </c>
    </row>
    <row r="16329">
      <c r="A16329" t="n">
        <v>14420911</v>
      </c>
      <c r="B16329" t="n">
        <v>59872</v>
      </c>
      <c r="C16329" t="inlineStr">
        <is>
          <t>1442/09/11</t>
        </is>
      </c>
    </row>
    <row r="16330">
      <c r="A16330" t="n">
        <v>14420912</v>
      </c>
      <c r="B16330" t="n">
        <v>59873</v>
      </c>
      <c r="C16330" t="inlineStr">
        <is>
          <t>1442/09/12</t>
        </is>
      </c>
    </row>
    <row r="16331">
      <c r="A16331" t="n">
        <v>14420913</v>
      </c>
      <c r="B16331" t="n">
        <v>59874</v>
      </c>
      <c r="C16331" t="inlineStr">
        <is>
          <t>1442/09/13</t>
        </is>
      </c>
    </row>
    <row r="16332">
      <c r="A16332" t="n">
        <v>14420914</v>
      </c>
      <c r="B16332" t="n">
        <v>59875</v>
      </c>
      <c r="C16332" t="inlineStr">
        <is>
          <t>1442/09/14</t>
        </is>
      </c>
    </row>
    <row r="16333">
      <c r="A16333" t="n">
        <v>14420915</v>
      </c>
      <c r="B16333" t="n">
        <v>59876</v>
      </c>
      <c r="C16333" t="inlineStr">
        <is>
          <t>1442/09/15</t>
        </is>
      </c>
    </row>
    <row r="16334">
      <c r="A16334" t="n">
        <v>14420916</v>
      </c>
      <c r="B16334" t="n">
        <v>59877</v>
      </c>
      <c r="C16334" t="inlineStr">
        <is>
          <t>1442/09/16</t>
        </is>
      </c>
    </row>
    <row r="16335">
      <c r="A16335" t="n">
        <v>14420917</v>
      </c>
      <c r="B16335" t="n">
        <v>59878</v>
      </c>
      <c r="C16335" t="inlineStr">
        <is>
          <t>1442/09/17</t>
        </is>
      </c>
    </row>
    <row r="16336">
      <c r="A16336" t="n">
        <v>14420918</v>
      </c>
      <c r="B16336" t="n">
        <v>59879</v>
      </c>
      <c r="C16336" t="inlineStr">
        <is>
          <t>1442/09/18</t>
        </is>
      </c>
    </row>
    <row r="16337">
      <c r="A16337" t="n">
        <v>14420919</v>
      </c>
      <c r="B16337" t="n">
        <v>59880</v>
      </c>
      <c r="C16337" t="inlineStr">
        <is>
          <t>1442/09/19</t>
        </is>
      </c>
    </row>
    <row r="16338">
      <c r="A16338" t="n">
        <v>14420920</v>
      </c>
      <c r="B16338" t="n">
        <v>59881</v>
      </c>
      <c r="C16338" t="inlineStr">
        <is>
          <t>1442/09/20</t>
        </is>
      </c>
    </row>
    <row r="16339">
      <c r="A16339" t="n">
        <v>14420921</v>
      </c>
      <c r="B16339" t="n">
        <v>59882</v>
      </c>
      <c r="C16339" t="inlineStr">
        <is>
          <t>1442/09/21</t>
        </is>
      </c>
    </row>
    <row r="16340">
      <c r="A16340" t="n">
        <v>14420922</v>
      </c>
      <c r="B16340" t="n">
        <v>59883</v>
      </c>
      <c r="C16340" t="inlineStr">
        <is>
          <t>1442/09/22</t>
        </is>
      </c>
    </row>
    <row r="16341">
      <c r="A16341" t="n">
        <v>14420923</v>
      </c>
      <c r="B16341" t="n">
        <v>59884</v>
      </c>
      <c r="C16341" t="inlineStr">
        <is>
          <t>1442/09/23</t>
        </is>
      </c>
    </row>
    <row r="16342">
      <c r="A16342" t="n">
        <v>14420924</v>
      </c>
      <c r="B16342" t="n">
        <v>59885</v>
      </c>
      <c r="C16342" t="inlineStr">
        <is>
          <t>1442/09/24</t>
        </is>
      </c>
    </row>
    <row r="16343">
      <c r="A16343" t="n">
        <v>14420925</v>
      </c>
      <c r="B16343" t="n">
        <v>59886</v>
      </c>
      <c r="C16343" t="inlineStr">
        <is>
          <t>1442/09/25</t>
        </is>
      </c>
    </row>
    <row r="16344">
      <c r="A16344" t="n">
        <v>14420926</v>
      </c>
      <c r="B16344" t="n">
        <v>59887</v>
      </c>
      <c r="C16344" t="inlineStr">
        <is>
          <t>1442/09/26</t>
        </is>
      </c>
    </row>
    <row r="16345">
      <c r="A16345" t="n">
        <v>14420927</v>
      </c>
      <c r="B16345" t="n">
        <v>59888</v>
      </c>
      <c r="C16345" t="inlineStr">
        <is>
          <t>1442/09/27</t>
        </is>
      </c>
    </row>
    <row r="16346">
      <c r="A16346" t="n">
        <v>14420928</v>
      </c>
      <c r="B16346" t="n">
        <v>59889</v>
      </c>
      <c r="C16346" t="inlineStr">
        <is>
          <t>1442/09/28</t>
        </is>
      </c>
    </row>
    <row r="16347">
      <c r="A16347" t="n">
        <v>14420929</v>
      </c>
      <c r="B16347" t="n">
        <v>59890</v>
      </c>
      <c r="C16347" t="inlineStr">
        <is>
          <t>1442/09/29</t>
        </is>
      </c>
    </row>
    <row r="16348">
      <c r="A16348" t="n">
        <v>14420930</v>
      </c>
      <c r="B16348" t="n">
        <v>59891</v>
      </c>
      <c r="C16348" t="inlineStr">
        <is>
          <t>1442/09/30</t>
        </is>
      </c>
    </row>
    <row r="16349">
      <c r="A16349" t="n">
        <v>14421001</v>
      </c>
      <c r="B16349" t="n">
        <v>59892</v>
      </c>
      <c r="C16349" t="inlineStr">
        <is>
          <t>1442/10/01</t>
        </is>
      </c>
    </row>
    <row r="16350">
      <c r="A16350" t="n">
        <v>14421002</v>
      </c>
      <c r="B16350" t="n">
        <v>59893</v>
      </c>
      <c r="C16350" t="inlineStr">
        <is>
          <t>1442/10/02</t>
        </is>
      </c>
    </row>
    <row r="16351">
      <c r="A16351" t="n">
        <v>14421003</v>
      </c>
      <c r="B16351" t="n">
        <v>59894</v>
      </c>
      <c r="C16351" t="inlineStr">
        <is>
          <t>1442/10/03</t>
        </is>
      </c>
    </row>
    <row r="16352">
      <c r="A16352" t="n">
        <v>14421004</v>
      </c>
      <c r="B16352" t="n">
        <v>59895</v>
      </c>
      <c r="C16352" t="inlineStr">
        <is>
          <t>1442/10/04</t>
        </is>
      </c>
    </row>
    <row r="16353">
      <c r="A16353" t="n">
        <v>14421005</v>
      </c>
      <c r="B16353" t="n">
        <v>59896</v>
      </c>
      <c r="C16353" t="inlineStr">
        <is>
          <t>1442/10/05</t>
        </is>
      </c>
    </row>
    <row r="16354">
      <c r="A16354" t="n">
        <v>14421006</v>
      </c>
      <c r="B16354" t="n">
        <v>59897</v>
      </c>
      <c r="C16354" t="inlineStr">
        <is>
          <t>1442/10/06</t>
        </is>
      </c>
    </row>
    <row r="16355">
      <c r="A16355" t="n">
        <v>14421007</v>
      </c>
      <c r="B16355" t="n">
        <v>59898</v>
      </c>
      <c r="C16355" t="inlineStr">
        <is>
          <t>1442/10/07</t>
        </is>
      </c>
    </row>
    <row r="16356">
      <c r="A16356" t="n">
        <v>14421008</v>
      </c>
      <c r="B16356" t="n">
        <v>59899</v>
      </c>
      <c r="C16356" t="inlineStr">
        <is>
          <t>1442/10/08</t>
        </is>
      </c>
    </row>
    <row r="16357">
      <c r="A16357" t="n">
        <v>14421009</v>
      </c>
      <c r="B16357" t="n">
        <v>59900</v>
      </c>
      <c r="C16357" t="inlineStr">
        <is>
          <t>1442/10/09</t>
        </is>
      </c>
    </row>
    <row r="16358">
      <c r="A16358" t="n">
        <v>14421010</v>
      </c>
      <c r="B16358" t="n">
        <v>59901</v>
      </c>
      <c r="C16358" t="inlineStr">
        <is>
          <t>1442/10/10</t>
        </is>
      </c>
    </row>
    <row r="16359">
      <c r="A16359" t="n">
        <v>14421011</v>
      </c>
      <c r="B16359" t="n">
        <v>59902</v>
      </c>
      <c r="C16359" t="inlineStr">
        <is>
          <t>1442/10/11</t>
        </is>
      </c>
    </row>
    <row r="16360">
      <c r="A16360" t="n">
        <v>14421012</v>
      </c>
      <c r="B16360" t="n">
        <v>59903</v>
      </c>
      <c r="C16360" t="inlineStr">
        <is>
          <t>1442/10/12</t>
        </is>
      </c>
    </row>
    <row r="16361">
      <c r="A16361" t="n">
        <v>14421013</v>
      </c>
      <c r="B16361" t="n">
        <v>59904</v>
      </c>
      <c r="C16361" t="inlineStr">
        <is>
          <t>1442/10/13</t>
        </is>
      </c>
    </row>
    <row r="16362">
      <c r="A16362" t="n">
        <v>14421014</v>
      </c>
      <c r="B16362" t="n">
        <v>59905</v>
      </c>
      <c r="C16362" t="inlineStr">
        <is>
          <t>1442/10/14</t>
        </is>
      </c>
    </row>
    <row r="16363">
      <c r="A16363" t="n">
        <v>14421015</v>
      </c>
      <c r="B16363" t="n">
        <v>59906</v>
      </c>
      <c r="C16363" t="inlineStr">
        <is>
          <t>1442/10/15</t>
        </is>
      </c>
    </row>
    <row r="16364">
      <c r="A16364" t="n">
        <v>14421016</v>
      </c>
      <c r="B16364" t="n">
        <v>59907</v>
      </c>
      <c r="C16364" t="inlineStr">
        <is>
          <t>1442/10/16</t>
        </is>
      </c>
    </row>
    <row r="16365">
      <c r="A16365" t="n">
        <v>14421017</v>
      </c>
      <c r="B16365" t="n">
        <v>59908</v>
      </c>
      <c r="C16365" t="inlineStr">
        <is>
          <t>1442/10/17</t>
        </is>
      </c>
    </row>
    <row r="16366">
      <c r="A16366" t="n">
        <v>14421018</v>
      </c>
      <c r="B16366" t="n">
        <v>59909</v>
      </c>
      <c r="C16366" t="inlineStr">
        <is>
          <t>1442/10/18</t>
        </is>
      </c>
    </row>
    <row r="16367">
      <c r="A16367" t="n">
        <v>14421019</v>
      </c>
      <c r="B16367" t="n">
        <v>59910</v>
      </c>
      <c r="C16367" t="inlineStr">
        <is>
          <t>1442/10/19</t>
        </is>
      </c>
    </row>
    <row r="16368">
      <c r="A16368" t="n">
        <v>14421020</v>
      </c>
      <c r="B16368" t="n">
        <v>59911</v>
      </c>
      <c r="C16368" t="inlineStr">
        <is>
          <t>1442/10/20</t>
        </is>
      </c>
    </row>
    <row r="16369">
      <c r="A16369" t="n">
        <v>14421021</v>
      </c>
      <c r="B16369" t="n">
        <v>59912</v>
      </c>
      <c r="C16369" t="inlineStr">
        <is>
          <t>1442/10/21</t>
        </is>
      </c>
    </row>
    <row r="16370">
      <c r="A16370" t="n">
        <v>14421022</v>
      </c>
      <c r="B16370" t="n">
        <v>59913</v>
      </c>
      <c r="C16370" t="inlineStr">
        <is>
          <t>1442/10/22</t>
        </is>
      </c>
    </row>
    <row r="16371">
      <c r="A16371" t="n">
        <v>14421023</v>
      </c>
      <c r="B16371" t="n">
        <v>59914</v>
      </c>
      <c r="C16371" t="inlineStr">
        <is>
          <t>1442/10/23</t>
        </is>
      </c>
    </row>
    <row r="16372">
      <c r="A16372" t="n">
        <v>14421024</v>
      </c>
      <c r="B16372" t="n">
        <v>59915</v>
      </c>
      <c r="C16372" t="inlineStr">
        <is>
          <t>1442/10/24</t>
        </is>
      </c>
    </row>
    <row r="16373">
      <c r="A16373" t="n">
        <v>14421025</v>
      </c>
      <c r="B16373" t="n">
        <v>59916</v>
      </c>
      <c r="C16373" t="inlineStr">
        <is>
          <t>1442/10/25</t>
        </is>
      </c>
    </row>
    <row r="16374">
      <c r="A16374" t="n">
        <v>14421026</v>
      </c>
      <c r="B16374" t="n">
        <v>59917</v>
      </c>
      <c r="C16374" t="inlineStr">
        <is>
          <t>1442/10/26</t>
        </is>
      </c>
    </row>
    <row r="16375">
      <c r="A16375" t="n">
        <v>14421027</v>
      </c>
      <c r="B16375" t="n">
        <v>59918</v>
      </c>
      <c r="C16375" t="inlineStr">
        <is>
          <t>1442/10/27</t>
        </is>
      </c>
    </row>
    <row r="16376">
      <c r="A16376" t="n">
        <v>14421028</v>
      </c>
      <c r="B16376" t="n">
        <v>59919</v>
      </c>
      <c r="C16376" t="inlineStr">
        <is>
          <t>1442/10/28</t>
        </is>
      </c>
    </row>
    <row r="16377">
      <c r="A16377" t="n">
        <v>14421029</v>
      </c>
      <c r="B16377" t="n">
        <v>59920</v>
      </c>
      <c r="C16377" t="inlineStr">
        <is>
          <t>1442/10/29</t>
        </is>
      </c>
    </row>
    <row r="16378">
      <c r="A16378" t="n">
        <v>14421030</v>
      </c>
      <c r="B16378" t="n">
        <v>59921</v>
      </c>
      <c r="C16378" t="inlineStr">
        <is>
          <t>1442/10/30</t>
        </is>
      </c>
    </row>
    <row r="16379">
      <c r="A16379" t="n">
        <v>14421101</v>
      </c>
      <c r="B16379" t="n">
        <v>59922</v>
      </c>
      <c r="C16379" t="inlineStr">
        <is>
          <t>1442/11/01</t>
        </is>
      </c>
    </row>
    <row r="16380">
      <c r="A16380" t="n">
        <v>14421102</v>
      </c>
      <c r="B16380" t="n">
        <v>59923</v>
      </c>
      <c r="C16380" t="inlineStr">
        <is>
          <t>1442/11/02</t>
        </is>
      </c>
    </row>
    <row r="16381">
      <c r="A16381" t="n">
        <v>14421103</v>
      </c>
      <c r="B16381" t="n">
        <v>59924</v>
      </c>
      <c r="C16381" t="inlineStr">
        <is>
          <t>1442/11/03</t>
        </is>
      </c>
    </row>
    <row r="16382">
      <c r="A16382" t="n">
        <v>14421104</v>
      </c>
      <c r="B16382" t="n">
        <v>59925</v>
      </c>
      <c r="C16382" t="inlineStr">
        <is>
          <t>1442/11/04</t>
        </is>
      </c>
    </row>
    <row r="16383">
      <c r="A16383" t="n">
        <v>14421105</v>
      </c>
      <c r="B16383" t="n">
        <v>59926</v>
      </c>
      <c r="C16383" t="inlineStr">
        <is>
          <t>1442/11/05</t>
        </is>
      </c>
    </row>
    <row r="16384">
      <c r="A16384" t="n">
        <v>14421106</v>
      </c>
      <c r="B16384" t="n">
        <v>59927</v>
      </c>
      <c r="C16384" t="inlineStr">
        <is>
          <t>1442/11/06</t>
        </is>
      </c>
    </row>
    <row r="16385">
      <c r="A16385" t="n">
        <v>14421107</v>
      </c>
      <c r="B16385" t="n">
        <v>59928</v>
      </c>
      <c r="C16385" t="inlineStr">
        <is>
          <t>1442/11/07</t>
        </is>
      </c>
    </row>
    <row r="16386">
      <c r="A16386" t="n">
        <v>14421108</v>
      </c>
      <c r="B16386" t="n">
        <v>59929</v>
      </c>
      <c r="C16386" t="inlineStr">
        <is>
          <t>1442/11/08</t>
        </is>
      </c>
    </row>
    <row r="16387">
      <c r="A16387" t="n">
        <v>14421109</v>
      </c>
      <c r="B16387" t="n">
        <v>59930</v>
      </c>
      <c r="C16387" t="inlineStr">
        <is>
          <t>1442/11/09</t>
        </is>
      </c>
    </row>
    <row r="16388">
      <c r="A16388" t="n">
        <v>14421110</v>
      </c>
      <c r="B16388" t="n">
        <v>59931</v>
      </c>
      <c r="C16388" t="inlineStr">
        <is>
          <t>1442/11/10</t>
        </is>
      </c>
    </row>
    <row r="16389">
      <c r="A16389" t="n">
        <v>14421111</v>
      </c>
      <c r="B16389" t="n">
        <v>59932</v>
      </c>
      <c r="C16389" t="inlineStr">
        <is>
          <t>1442/11/11</t>
        </is>
      </c>
    </row>
    <row r="16390">
      <c r="A16390" t="n">
        <v>14421112</v>
      </c>
      <c r="B16390" t="n">
        <v>59933</v>
      </c>
      <c r="C16390" t="inlineStr">
        <is>
          <t>1442/11/12</t>
        </is>
      </c>
    </row>
    <row r="16391">
      <c r="A16391" t="n">
        <v>14421113</v>
      </c>
      <c r="B16391" t="n">
        <v>59934</v>
      </c>
      <c r="C16391" t="inlineStr">
        <is>
          <t>1442/11/13</t>
        </is>
      </c>
    </row>
    <row r="16392">
      <c r="A16392" t="n">
        <v>14421114</v>
      </c>
      <c r="B16392" t="n">
        <v>59935</v>
      </c>
      <c r="C16392" t="inlineStr">
        <is>
          <t>1442/11/14</t>
        </is>
      </c>
    </row>
    <row r="16393">
      <c r="A16393" t="n">
        <v>14421115</v>
      </c>
      <c r="B16393" t="n">
        <v>59936</v>
      </c>
      <c r="C16393" t="inlineStr">
        <is>
          <t>1442/11/15</t>
        </is>
      </c>
    </row>
    <row r="16394">
      <c r="A16394" t="n">
        <v>14421116</v>
      </c>
      <c r="B16394" t="n">
        <v>59937</v>
      </c>
      <c r="C16394" t="inlineStr">
        <is>
          <t>1442/11/16</t>
        </is>
      </c>
    </row>
    <row r="16395">
      <c r="A16395" t="n">
        <v>14421117</v>
      </c>
      <c r="B16395" t="n">
        <v>59938</v>
      </c>
      <c r="C16395" t="inlineStr">
        <is>
          <t>1442/11/17</t>
        </is>
      </c>
    </row>
    <row r="16396">
      <c r="A16396" t="n">
        <v>14421118</v>
      </c>
      <c r="B16396" t="n">
        <v>59939</v>
      </c>
      <c r="C16396" t="inlineStr">
        <is>
          <t>1442/11/18</t>
        </is>
      </c>
    </row>
    <row r="16397">
      <c r="A16397" t="n">
        <v>14421119</v>
      </c>
      <c r="B16397" t="n">
        <v>59940</v>
      </c>
      <c r="C16397" t="inlineStr">
        <is>
          <t>1442/11/19</t>
        </is>
      </c>
    </row>
    <row r="16398">
      <c r="A16398" t="n">
        <v>14421120</v>
      </c>
      <c r="B16398" t="n">
        <v>59941</v>
      </c>
      <c r="C16398" t="inlineStr">
        <is>
          <t>1442/11/20</t>
        </is>
      </c>
    </row>
    <row r="16399">
      <c r="A16399" t="n">
        <v>14421121</v>
      </c>
      <c r="B16399" t="n">
        <v>59942</v>
      </c>
      <c r="C16399" t="inlineStr">
        <is>
          <t>1442/11/21</t>
        </is>
      </c>
    </row>
    <row r="16400">
      <c r="A16400" t="n">
        <v>14421122</v>
      </c>
      <c r="B16400" t="n">
        <v>59943</v>
      </c>
      <c r="C16400" t="inlineStr">
        <is>
          <t>1442/11/22</t>
        </is>
      </c>
    </row>
    <row r="16401">
      <c r="A16401" t="n">
        <v>14421123</v>
      </c>
      <c r="B16401" t="n">
        <v>59944</v>
      </c>
      <c r="C16401" t="inlineStr">
        <is>
          <t>1442/11/23</t>
        </is>
      </c>
    </row>
    <row r="16402">
      <c r="A16402" t="n">
        <v>14421124</v>
      </c>
      <c r="B16402" t="n">
        <v>59945</v>
      </c>
      <c r="C16402" t="inlineStr">
        <is>
          <t>1442/11/24</t>
        </is>
      </c>
    </row>
    <row r="16403">
      <c r="A16403" t="n">
        <v>14421125</v>
      </c>
      <c r="B16403" t="n">
        <v>59946</v>
      </c>
      <c r="C16403" t="inlineStr">
        <is>
          <t>1442/11/25</t>
        </is>
      </c>
    </row>
    <row r="16404">
      <c r="A16404" t="n">
        <v>14421126</v>
      </c>
      <c r="B16404" t="n">
        <v>59947</v>
      </c>
      <c r="C16404" t="inlineStr">
        <is>
          <t>1442/11/26</t>
        </is>
      </c>
    </row>
    <row r="16405">
      <c r="A16405" t="n">
        <v>14421127</v>
      </c>
      <c r="B16405" t="n">
        <v>59948</v>
      </c>
      <c r="C16405" t="inlineStr">
        <is>
          <t>1442/11/27</t>
        </is>
      </c>
    </row>
    <row r="16406">
      <c r="A16406" t="n">
        <v>14421128</v>
      </c>
      <c r="B16406" t="n">
        <v>59949</v>
      </c>
      <c r="C16406" t="inlineStr">
        <is>
          <t>1442/11/28</t>
        </is>
      </c>
    </row>
    <row r="16407">
      <c r="A16407" t="n">
        <v>14421129</v>
      </c>
      <c r="B16407" t="n">
        <v>59950</v>
      </c>
      <c r="C16407" t="inlineStr">
        <is>
          <t>1442/11/29</t>
        </is>
      </c>
    </row>
    <row r="16408">
      <c r="A16408" t="n">
        <v>14421130</v>
      </c>
      <c r="B16408" t="n">
        <v>59951</v>
      </c>
      <c r="C16408" t="inlineStr">
        <is>
          <t>1442/11/30</t>
        </is>
      </c>
    </row>
    <row r="16409">
      <c r="A16409" t="n">
        <v>14421201</v>
      </c>
      <c r="B16409" t="n">
        <v>59952</v>
      </c>
      <c r="C16409" t="inlineStr">
        <is>
          <t>1442/12/01</t>
        </is>
      </c>
    </row>
    <row r="16410">
      <c r="A16410" t="n">
        <v>14421202</v>
      </c>
      <c r="B16410" t="n">
        <v>59953</v>
      </c>
      <c r="C16410" t="inlineStr">
        <is>
          <t>1442/12/02</t>
        </is>
      </c>
    </row>
    <row r="16411">
      <c r="A16411" t="n">
        <v>14421203</v>
      </c>
      <c r="B16411" t="n">
        <v>59954</v>
      </c>
      <c r="C16411" t="inlineStr">
        <is>
          <t>1442/12/03</t>
        </is>
      </c>
    </row>
    <row r="16412">
      <c r="A16412" t="n">
        <v>14421204</v>
      </c>
      <c r="B16412" t="n">
        <v>59955</v>
      </c>
      <c r="C16412" t="inlineStr">
        <is>
          <t>1442/12/04</t>
        </is>
      </c>
    </row>
    <row r="16413">
      <c r="A16413" t="n">
        <v>14421205</v>
      </c>
      <c r="B16413" t="n">
        <v>59956</v>
      </c>
      <c r="C16413" t="inlineStr">
        <is>
          <t>1442/12/05</t>
        </is>
      </c>
    </row>
    <row r="16414">
      <c r="A16414" t="n">
        <v>14421206</v>
      </c>
      <c r="B16414" t="n">
        <v>59957</v>
      </c>
      <c r="C16414" t="inlineStr">
        <is>
          <t>1442/12/06</t>
        </is>
      </c>
    </row>
    <row r="16415">
      <c r="A16415" t="n">
        <v>14421207</v>
      </c>
      <c r="B16415" t="n">
        <v>59958</v>
      </c>
      <c r="C16415" t="inlineStr">
        <is>
          <t>1442/12/07</t>
        </is>
      </c>
    </row>
    <row r="16416">
      <c r="A16416" t="n">
        <v>14421208</v>
      </c>
      <c r="B16416" t="n">
        <v>59959</v>
      </c>
      <c r="C16416" t="inlineStr">
        <is>
          <t>1442/12/08</t>
        </is>
      </c>
    </row>
    <row r="16417">
      <c r="A16417" t="n">
        <v>14421209</v>
      </c>
      <c r="B16417" t="n">
        <v>59960</v>
      </c>
      <c r="C16417" t="inlineStr">
        <is>
          <t>1442/12/09</t>
        </is>
      </c>
    </row>
    <row r="16418">
      <c r="A16418" t="n">
        <v>14421210</v>
      </c>
      <c r="B16418" t="n">
        <v>59961</v>
      </c>
      <c r="C16418" t="inlineStr">
        <is>
          <t>1442/12/10</t>
        </is>
      </c>
    </row>
    <row r="16419">
      <c r="A16419" t="n">
        <v>14421211</v>
      </c>
      <c r="B16419" t="n">
        <v>59962</v>
      </c>
      <c r="C16419" t="inlineStr">
        <is>
          <t>1442/12/11</t>
        </is>
      </c>
    </row>
    <row r="16420">
      <c r="A16420" t="n">
        <v>14421212</v>
      </c>
      <c r="B16420" t="n">
        <v>59963</v>
      </c>
      <c r="C16420" t="inlineStr">
        <is>
          <t>1442/12/12</t>
        </is>
      </c>
    </row>
    <row r="16421">
      <c r="A16421" t="n">
        <v>14421213</v>
      </c>
      <c r="B16421" t="n">
        <v>59964</v>
      </c>
      <c r="C16421" t="inlineStr">
        <is>
          <t>1442/12/13</t>
        </is>
      </c>
    </row>
    <row r="16422">
      <c r="A16422" t="n">
        <v>14421214</v>
      </c>
      <c r="B16422" t="n">
        <v>59965</v>
      </c>
      <c r="C16422" t="inlineStr">
        <is>
          <t>1442/12/14</t>
        </is>
      </c>
    </row>
    <row r="16423">
      <c r="A16423" t="n">
        <v>14421215</v>
      </c>
      <c r="B16423" t="n">
        <v>59966</v>
      </c>
      <c r="C16423" t="inlineStr">
        <is>
          <t>1442/12/15</t>
        </is>
      </c>
    </row>
    <row r="16424">
      <c r="A16424" t="n">
        <v>14421216</v>
      </c>
      <c r="B16424" t="n">
        <v>59967</v>
      </c>
      <c r="C16424" t="inlineStr">
        <is>
          <t>1442/12/16</t>
        </is>
      </c>
    </row>
    <row r="16425">
      <c r="A16425" t="n">
        <v>14421217</v>
      </c>
      <c r="B16425" t="n">
        <v>59968</v>
      </c>
      <c r="C16425" t="inlineStr">
        <is>
          <t>1442/12/17</t>
        </is>
      </c>
    </row>
    <row r="16426">
      <c r="A16426" t="n">
        <v>14421218</v>
      </c>
      <c r="B16426" t="n">
        <v>59969</v>
      </c>
      <c r="C16426" t="inlineStr">
        <is>
          <t>1442/12/18</t>
        </is>
      </c>
    </row>
    <row r="16427">
      <c r="A16427" t="n">
        <v>14421219</v>
      </c>
      <c r="B16427" t="n">
        <v>59970</v>
      </c>
      <c r="C16427" t="inlineStr">
        <is>
          <t>1442/12/19</t>
        </is>
      </c>
    </row>
    <row r="16428">
      <c r="A16428" t="n">
        <v>14421220</v>
      </c>
      <c r="B16428" t="n">
        <v>59971</v>
      </c>
      <c r="C16428" t="inlineStr">
        <is>
          <t>1442/12/20</t>
        </is>
      </c>
    </row>
    <row r="16429">
      <c r="A16429" t="n">
        <v>14421221</v>
      </c>
      <c r="B16429" t="n">
        <v>59972</v>
      </c>
      <c r="C16429" t="inlineStr">
        <is>
          <t>1442/12/21</t>
        </is>
      </c>
    </row>
    <row r="16430">
      <c r="A16430" t="n">
        <v>14421222</v>
      </c>
      <c r="B16430" t="n">
        <v>59973</v>
      </c>
      <c r="C16430" t="inlineStr">
        <is>
          <t>1442/12/22</t>
        </is>
      </c>
    </row>
    <row r="16431">
      <c r="A16431" t="n">
        <v>14421223</v>
      </c>
      <c r="B16431" t="n">
        <v>59974</v>
      </c>
      <c r="C16431" t="inlineStr">
        <is>
          <t>1442/12/23</t>
        </is>
      </c>
    </row>
    <row r="16432">
      <c r="A16432" t="n">
        <v>14421224</v>
      </c>
      <c r="B16432" t="n">
        <v>59975</v>
      </c>
      <c r="C16432" t="inlineStr">
        <is>
          <t>1442/12/24</t>
        </is>
      </c>
    </row>
    <row r="16433">
      <c r="A16433" t="n">
        <v>14421225</v>
      </c>
      <c r="B16433" t="n">
        <v>59976</v>
      </c>
      <c r="C16433" t="inlineStr">
        <is>
          <t>1442/12/25</t>
        </is>
      </c>
    </row>
    <row r="16434">
      <c r="A16434" t="n">
        <v>14421226</v>
      </c>
      <c r="B16434" t="n">
        <v>59977</v>
      </c>
      <c r="C16434" t="inlineStr">
        <is>
          <t>1442/12/26</t>
        </is>
      </c>
    </row>
    <row r="16435">
      <c r="A16435" t="n">
        <v>14421227</v>
      </c>
      <c r="B16435" t="n">
        <v>59978</v>
      </c>
      <c r="C16435" t="inlineStr">
        <is>
          <t>1442/12/27</t>
        </is>
      </c>
    </row>
    <row r="16436">
      <c r="A16436" t="n">
        <v>14421228</v>
      </c>
      <c r="B16436" t="n">
        <v>59979</v>
      </c>
      <c r="C16436" t="inlineStr">
        <is>
          <t>1442/12/28</t>
        </is>
      </c>
    </row>
    <row r="16437">
      <c r="A16437" t="n">
        <v>14421229</v>
      </c>
      <c r="B16437" t="n">
        <v>59980</v>
      </c>
      <c r="C16437" t="inlineStr">
        <is>
          <t>1442/12/29</t>
        </is>
      </c>
    </row>
    <row r="16438">
      <c r="A16438" t="n">
        <v>14430101</v>
      </c>
      <c r="B16438" t="n">
        <v>59981</v>
      </c>
      <c r="C16438" t="inlineStr">
        <is>
          <t>1443/01/01</t>
        </is>
      </c>
    </row>
    <row r="16439">
      <c r="A16439" t="n">
        <v>14430102</v>
      </c>
      <c r="B16439" t="n">
        <v>59982</v>
      </c>
      <c r="C16439" t="inlineStr">
        <is>
          <t>1443/01/02</t>
        </is>
      </c>
    </row>
    <row r="16440">
      <c r="A16440" t="n">
        <v>14430103</v>
      </c>
      <c r="B16440" t="n">
        <v>59983</v>
      </c>
      <c r="C16440" t="inlineStr">
        <is>
          <t>1443/01/03</t>
        </is>
      </c>
    </row>
    <row r="16441">
      <c r="A16441" t="n">
        <v>14430104</v>
      </c>
      <c r="B16441" t="n">
        <v>59984</v>
      </c>
      <c r="C16441" t="inlineStr">
        <is>
          <t>1443/01/04</t>
        </is>
      </c>
    </row>
    <row r="16442">
      <c r="A16442" t="n">
        <v>14430105</v>
      </c>
      <c r="B16442" t="n">
        <v>59985</v>
      </c>
      <c r="C16442" t="inlineStr">
        <is>
          <t>1443/01/05</t>
        </is>
      </c>
    </row>
    <row r="16443">
      <c r="A16443" t="n">
        <v>14430106</v>
      </c>
      <c r="B16443" t="n">
        <v>59986</v>
      </c>
      <c r="C16443" t="inlineStr">
        <is>
          <t>1443/01/06</t>
        </is>
      </c>
    </row>
    <row r="16444">
      <c r="A16444" t="n">
        <v>14430107</v>
      </c>
      <c r="B16444" t="n">
        <v>59987</v>
      </c>
      <c r="C16444" t="inlineStr">
        <is>
          <t>1443/01/07</t>
        </is>
      </c>
    </row>
    <row r="16445">
      <c r="A16445" t="n">
        <v>14430108</v>
      </c>
      <c r="B16445" t="n">
        <v>59988</v>
      </c>
      <c r="C16445" t="inlineStr">
        <is>
          <t>1443/01/08</t>
        </is>
      </c>
    </row>
    <row r="16446">
      <c r="A16446" t="n">
        <v>14430109</v>
      </c>
      <c r="B16446" t="n">
        <v>59989</v>
      </c>
      <c r="C16446" t="inlineStr">
        <is>
          <t>1443/01/09</t>
        </is>
      </c>
    </row>
    <row r="16447">
      <c r="A16447" t="n">
        <v>14430110</v>
      </c>
      <c r="B16447" t="n">
        <v>59990</v>
      </c>
      <c r="C16447" t="inlineStr">
        <is>
          <t>1443/01/10</t>
        </is>
      </c>
    </row>
    <row r="16448">
      <c r="A16448" t="n">
        <v>14430111</v>
      </c>
      <c r="B16448" t="n">
        <v>59991</v>
      </c>
      <c r="C16448" t="inlineStr">
        <is>
          <t>1443/01/11</t>
        </is>
      </c>
    </row>
    <row r="16449">
      <c r="A16449" t="n">
        <v>14430112</v>
      </c>
      <c r="B16449" t="n">
        <v>59992</v>
      </c>
      <c r="C16449" t="inlineStr">
        <is>
          <t>1443/01/12</t>
        </is>
      </c>
    </row>
    <row r="16450">
      <c r="A16450" t="n">
        <v>14430113</v>
      </c>
      <c r="B16450" t="n">
        <v>59993</v>
      </c>
      <c r="C16450" t="inlineStr">
        <is>
          <t>1443/01/13</t>
        </is>
      </c>
    </row>
    <row r="16451">
      <c r="A16451" t="n">
        <v>14430114</v>
      </c>
      <c r="B16451" t="n">
        <v>59994</v>
      </c>
      <c r="C16451" t="inlineStr">
        <is>
          <t>1443/01/14</t>
        </is>
      </c>
    </row>
    <row r="16452">
      <c r="A16452" t="n">
        <v>14430115</v>
      </c>
      <c r="B16452" t="n">
        <v>59995</v>
      </c>
      <c r="C16452" t="inlineStr">
        <is>
          <t>1443/01/15</t>
        </is>
      </c>
    </row>
    <row r="16453">
      <c r="A16453" t="n">
        <v>14430116</v>
      </c>
      <c r="B16453" t="n">
        <v>59996</v>
      </c>
      <c r="C16453" t="inlineStr">
        <is>
          <t>1443/01/16</t>
        </is>
      </c>
    </row>
    <row r="16454">
      <c r="A16454" t="n">
        <v>14430117</v>
      </c>
      <c r="B16454" t="n">
        <v>59997</v>
      </c>
      <c r="C16454" t="inlineStr">
        <is>
          <t>1443/01/17</t>
        </is>
      </c>
    </row>
    <row r="16455">
      <c r="A16455" t="n">
        <v>14430118</v>
      </c>
      <c r="B16455" t="n">
        <v>59998</v>
      </c>
      <c r="C16455" t="inlineStr">
        <is>
          <t>1443/01/18</t>
        </is>
      </c>
    </row>
    <row r="16456">
      <c r="A16456" t="n">
        <v>14430119</v>
      </c>
      <c r="B16456" t="n">
        <v>59999</v>
      </c>
      <c r="C16456" t="inlineStr">
        <is>
          <t>1443/01/19</t>
        </is>
      </c>
    </row>
    <row r="16457">
      <c r="A16457" t="n">
        <v>14430120</v>
      </c>
      <c r="B16457" t="n">
        <v>60000</v>
      </c>
      <c r="C16457" t="inlineStr">
        <is>
          <t>1443/01/20</t>
        </is>
      </c>
    </row>
    <row r="16458">
      <c r="A16458" t="n">
        <v>14430121</v>
      </c>
      <c r="B16458" t="n">
        <v>60001</v>
      </c>
      <c r="C16458" t="inlineStr">
        <is>
          <t>1443/01/21</t>
        </is>
      </c>
    </row>
    <row r="16459">
      <c r="A16459" t="n">
        <v>14430122</v>
      </c>
      <c r="B16459" t="n">
        <v>60002</v>
      </c>
      <c r="C16459" t="inlineStr">
        <is>
          <t>1443/01/22</t>
        </is>
      </c>
    </row>
    <row r="16460">
      <c r="A16460" t="n">
        <v>14430123</v>
      </c>
      <c r="B16460" t="n">
        <v>60003</v>
      </c>
      <c r="C16460" t="inlineStr">
        <is>
          <t>1443/01/23</t>
        </is>
      </c>
    </row>
    <row r="16461">
      <c r="A16461" t="n">
        <v>14430124</v>
      </c>
      <c r="B16461" t="n">
        <v>60004</v>
      </c>
      <c r="C16461" t="inlineStr">
        <is>
          <t>1443/01/24</t>
        </is>
      </c>
    </row>
    <row r="16462">
      <c r="A16462" t="n">
        <v>14430125</v>
      </c>
      <c r="B16462" t="n">
        <v>60005</v>
      </c>
      <c r="C16462" t="inlineStr">
        <is>
          <t>1443/01/25</t>
        </is>
      </c>
    </row>
    <row r="16463">
      <c r="A16463" t="n">
        <v>14430126</v>
      </c>
      <c r="B16463" t="n">
        <v>60006</v>
      </c>
      <c r="C16463" t="inlineStr">
        <is>
          <t>1443/01/26</t>
        </is>
      </c>
    </row>
    <row r="16464">
      <c r="A16464" t="n">
        <v>14430127</v>
      </c>
      <c r="B16464" t="n">
        <v>60007</v>
      </c>
      <c r="C16464" t="inlineStr">
        <is>
          <t>1443/01/27</t>
        </is>
      </c>
    </row>
    <row r="16465">
      <c r="A16465" t="n">
        <v>14430128</v>
      </c>
      <c r="B16465" t="n">
        <v>60008</v>
      </c>
      <c r="C16465" t="inlineStr">
        <is>
          <t>1443/01/28</t>
        </is>
      </c>
    </row>
    <row r="16466">
      <c r="A16466" t="n">
        <v>14430129</v>
      </c>
      <c r="B16466" t="n">
        <v>60009</v>
      </c>
      <c r="C16466" t="inlineStr">
        <is>
          <t>1443/01/29</t>
        </is>
      </c>
    </row>
    <row r="16467">
      <c r="A16467" t="n">
        <v>14430130</v>
      </c>
      <c r="B16467" t="n">
        <v>60010</v>
      </c>
      <c r="C16467" t="inlineStr">
        <is>
          <t>1443/01/30</t>
        </is>
      </c>
    </row>
    <row r="16468">
      <c r="A16468" t="n">
        <v>14430131</v>
      </c>
      <c r="B16468" t="n">
        <v>60011</v>
      </c>
      <c r="C16468" t="inlineStr">
        <is>
          <t>1443/01/31</t>
        </is>
      </c>
    </row>
    <row r="16469">
      <c r="A16469" t="n">
        <v>14430201</v>
      </c>
      <c r="B16469" t="n">
        <v>60012</v>
      </c>
      <c r="C16469" t="inlineStr">
        <is>
          <t>1443/02/01</t>
        </is>
      </c>
    </row>
    <row r="16470">
      <c r="A16470" t="n">
        <v>14430202</v>
      </c>
      <c r="B16470" t="n">
        <v>60013</v>
      </c>
      <c r="C16470" t="inlineStr">
        <is>
          <t>1443/02/02</t>
        </is>
      </c>
    </row>
    <row r="16471">
      <c r="A16471" t="n">
        <v>14430203</v>
      </c>
      <c r="B16471" t="n">
        <v>60014</v>
      </c>
      <c r="C16471" t="inlineStr">
        <is>
          <t>1443/02/03</t>
        </is>
      </c>
    </row>
    <row r="16472">
      <c r="A16472" t="n">
        <v>14430204</v>
      </c>
      <c r="B16472" t="n">
        <v>60015</v>
      </c>
      <c r="C16472" t="inlineStr">
        <is>
          <t>1443/02/04</t>
        </is>
      </c>
    </row>
    <row r="16473">
      <c r="A16473" t="n">
        <v>14430205</v>
      </c>
      <c r="B16473" t="n">
        <v>60016</v>
      </c>
      <c r="C16473" t="inlineStr">
        <is>
          <t>1443/02/05</t>
        </is>
      </c>
    </row>
    <row r="16474">
      <c r="A16474" t="n">
        <v>14430206</v>
      </c>
      <c r="B16474" t="n">
        <v>60017</v>
      </c>
      <c r="C16474" t="inlineStr">
        <is>
          <t>1443/02/06</t>
        </is>
      </c>
    </row>
    <row r="16475">
      <c r="A16475" t="n">
        <v>14430207</v>
      </c>
      <c r="B16475" t="n">
        <v>60018</v>
      </c>
      <c r="C16475" t="inlineStr">
        <is>
          <t>1443/02/07</t>
        </is>
      </c>
    </row>
    <row r="16476">
      <c r="A16476" t="n">
        <v>14430208</v>
      </c>
      <c r="B16476" t="n">
        <v>60019</v>
      </c>
      <c r="C16476" t="inlineStr">
        <is>
          <t>1443/02/08</t>
        </is>
      </c>
    </row>
    <row r="16477">
      <c r="A16477" t="n">
        <v>14430209</v>
      </c>
      <c r="B16477" t="n">
        <v>60020</v>
      </c>
      <c r="C16477" t="inlineStr">
        <is>
          <t>1443/02/09</t>
        </is>
      </c>
    </row>
    <row r="16478">
      <c r="A16478" t="n">
        <v>14430210</v>
      </c>
      <c r="B16478" t="n">
        <v>60021</v>
      </c>
      <c r="C16478" t="inlineStr">
        <is>
          <t>1443/02/10</t>
        </is>
      </c>
    </row>
    <row r="16479">
      <c r="A16479" t="n">
        <v>14430211</v>
      </c>
      <c r="B16479" t="n">
        <v>60022</v>
      </c>
      <c r="C16479" t="inlineStr">
        <is>
          <t>1443/02/11</t>
        </is>
      </c>
    </row>
    <row r="16480">
      <c r="A16480" t="n">
        <v>14430212</v>
      </c>
      <c r="B16480" t="n">
        <v>60023</v>
      </c>
      <c r="C16480" t="inlineStr">
        <is>
          <t>1443/02/12</t>
        </is>
      </c>
    </row>
    <row r="16481">
      <c r="A16481" t="n">
        <v>14430213</v>
      </c>
      <c r="B16481" t="n">
        <v>60024</v>
      </c>
      <c r="C16481" t="inlineStr">
        <is>
          <t>1443/02/13</t>
        </is>
      </c>
    </row>
    <row r="16482">
      <c r="A16482" t="n">
        <v>14430214</v>
      </c>
      <c r="B16482" t="n">
        <v>60025</v>
      </c>
      <c r="C16482" t="inlineStr">
        <is>
          <t>1443/02/14</t>
        </is>
      </c>
    </row>
    <row r="16483">
      <c r="A16483" t="n">
        <v>14430215</v>
      </c>
      <c r="B16483" t="n">
        <v>60026</v>
      </c>
      <c r="C16483" t="inlineStr">
        <is>
          <t>1443/02/15</t>
        </is>
      </c>
    </row>
    <row r="16484">
      <c r="A16484" t="n">
        <v>14430216</v>
      </c>
      <c r="B16484" t="n">
        <v>60027</v>
      </c>
      <c r="C16484" t="inlineStr">
        <is>
          <t>1443/02/16</t>
        </is>
      </c>
    </row>
    <row r="16485">
      <c r="A16485" t="n">
        <v>14430217</v>
      </c>
      <c r="B16485" t="n">
        <v>60028</v>
      </c>
      <c r="C16485" t="inlineStr">
        <is>
          <t>1443/02/17</t>
        </is>
      </c>
    </row>
    <row r="16486">
      <c r="A16486" t="n">
        <v>14430218</v>
      </c>
      <c r="B16486" t="n">
        <v>60029</v>
      </c>
      <c r="C16486" t="inlineStr">
        <is>
          <t>1443/02/18</t>
        </is>
      </c>
    </row>
    <row r="16487">
      <c r="A16487" t="n">
        <v>14430219</v>
      </c>
      <c r="B16487" t="n">
        <v>60030</v>
      </c>
      <c r="C16487" t="inlineStr">
        <is>
          <t>1443/02/19</t>
        </is>
      </c>
    </row>
    <row r="16488">
      <c r="A16488" t="n">
        <v>14430220</v>
      </c>
      <c r="B16488" t="n">
        <v>60031</v>
      </c>
      <c r="C16488" t="inlineStr">
        <is>
          <t>1443/02/20</t>
        </is>
      </c>
    </row>
    <row r="16489">
      <c r="A16489" t="n">
        <v>14430221</v>
      </c>
      <c r="B16489" t="n">
        <v>60032</v>
      </c>
      <c r="C16489" t="inlineStr">
        <is>
          <t>1443/02/21</t>
        </is>
      </c>
    </row>
    <row r="16490">
      <c r="A16490" t="n">
        <v>14430222</v>
      </c>
      <c r="B16490" t="n">
        <v>60033</v>
      </c>
      <c r="C16490" t="inlineStr">
        <is>
          <t>1443/02/22</t>
        </is>
      </c>
    </row>
    <row r="16491">
      <c r="A16491" t="n">
        <v>14430223</v>
      </c>
      <c r="B16491" t="n">
        <v>60034</v>
      </c>
      <c r="C16491" t="inlineStr">
        <is>
          <t>1443/02/23</t>
        </is>
      </c>
    </row>
    <row r="16492">
      <c r="A16492" t="n">
        <v>14430224</v>
      </c>
      <c r="B16492" t="n">
        <v>60035</v>
      </c>
      <c r="C16492" t="inlineStr">
        <is>
          <t>1443/02/24</t>
        </is>
      </c>
    </row>
    <row r="16493">
      <c r="A16493" t="n">
        <v>14430225</v>
      </c>
      <c r="B16493" t="n">
        <v>60036</v>
      </c>
      <c r="C16493" t="inlineStr">
        <is>
          <t>1443/02/25</t>
        </is>
      </c>
    </row>
    <row r="16494">
      <c r="A16494" t="n">
        <v>14430226</v>
      </c>
      <c r="B16494" t="n">
        <v>60037</v>
      </c>
      <c r="C16494" t="inlineStr">
        <is>
          <t>1443/02/26</t>
        </is>
      </c>
    </row>
    <row r="16495">
      <c r="A16495" t="n">
        <v>14430227</v>
      </c>
      <c r="B16495" t="n">
        <v>60038</v>
      </c>
      <c r="C16495" t="inlineStr">
        <is>
          <t>1443/02/27</t>
        </is>
      </c>
    </row>
    <row r="16496">
      <c r="A16496" t="n">
        <v>14430228</v>
      </c>
      <c r="B16496" t="n">
        <v>60039</v>
      </c>
      <c r="C16496" t="inlineStr">
        <is>
          <t>1443/02/28</t>
        </is>
      </c>
    </row>
    <row r="16497">
      <c r="A16497" t="n">
        <v>14430229</v>
      </c>
      <c r="B16497" t="n">
        <v>60040</v>
      </c>
      <c r="C16497" t="inlineStr">
        <is>
          <t>1443/02/29</t>
        </is>
      </c>
    </row>
    <row r="16498">
      <c r="A16498" t="n">
        <v>14430230</v>
      </c>
      <c r="B16498" t="n">
        <v>60041</v>
      </c>
      <c r="C16498" t="inlineStr">
        <is>
          <t>1443/02/30</t>
        </is>
      </c>
    </row>
    <row r="16499">
      <c r="A16499" t="n">
        <v>14430231</v>
      </c>
      <c r="B16499" t="n">
        <v>60042</v>
      </c>
      <c r="C16499" t="inlineStr">
        <is>
          <t>1443/02/31</t>
        </is>
      </c>
    </row>
    <row r="16500">
      <c r="A16500" t="n">
        <v>14430301</v>
      </c>
      <c r="B16500" t="n">
        <v>60043</v>
      </c>
      <c r="C16500" t="inlineStr">
        <is>
          <t>1443/03/01</t>
        </is>
      </c>
    </row>
    <row r="16501">
      <c r="A16501" t="n">
        <v>14430302</v>
      </c>
      <c r="B16501" t="n">
        <v>60044</v>
      </c>
      <c r="C16501" t="inlineStr">
        <is>
          <t>1443/03/02</t>
        </is>
      </c>
    </row>
    <row r="16502">
      <c r="A16502" t="n">
        <v>14430303</v>
      </c>
      <c r="B16502" t="n">
        <v>60045</v>
      </c>
      <c r="C16502" t="inlineStr">
        <is>
          <t>1443/03/03</t>
        </is>
      </c>
    </row>
    <row r="16503">
      <c r="A16503" t="n">
        <v>14430304</v>
      </c>
      <c r="B16503" t="n">
        <v>60046</v>
      </c>
      <c r="C16503" t="inlineStr">
        <is>
          <t>1443/03/04</t>
        </is>
      </c>
    </row>
    <row r="16504">
      <c r="A16504" t="n">
        <v>14430305</v>
      </c>
      <c r="B16504" t="n">
        <v>60047</v>
      </c>
      <c r="C16504" t="inlineStr">
        <is>
          <t>1443/03/05</t>
        </is>
      </c>
    </row>
    <row r="16505">
      <c r="A16505" t="n">
        <v>14430306</v>
      </c>
      <c r="B16505" t="n">
        <v>60048</v>
      </c>
      <c r="C16505" t="inlineStr">
        <is>
          <t>1443/03/06</t>
        </is>
      </c>
    </row>
    <row r="16506">
      <c r="A16506" t="n">
        <v>14430307</v>
      </c>
      <c r="B16506" t="n">
        <v>60049</v>
      </c>
      <c r="C16506" t="inlineStr">
        <is>
          <t>1443/03/07</t>
        </is>
      </c>
    </row>
    <row r="16507">
      <c r="A16507" t="n">
        <v>14430308</v>
      </c>
      <c r="B16507" t="n">
        <v>60050</v>
      </c>
      <c r="C16507" t="inlineStr">
        <is>
          <t>1443/03/08</t>
        </is>
      </c>
    </row>
    <row r="16508">
      <c r="A16508" t="n">
        <v>14430309</v>
      </c>
      <c r="B16508" t="n">
        <v>60051</v>
      </c>
      <c r="C16508" t="inlineStr">
        <is>
          <t>1443/03/09</t>
        </is>
      </c>
    </row>
    <row r="16509">
      <c r="A16509" t="n">
        <v>14430310</v>
      </c>
      <c r="B16509" t="n">
        <v>60052</v>
      </c>
      <c r="C16509" t="inlineStr">
        <is>
          <t>1443/03/10</t>
        </is>
      </c>
    </row>
    <row r="16510">
      <c r="A16510" t="n">
        <v>14430311</v>
      </c>
      <c r="B16510" t="n">
        <v>60053</v>
      </c>
      <c r="C16510" t="inlineStr">
        <is>
          <t>1443/03/11</t>
        </is>
      </c>
    </row>
    <row r="16511">
      <c r="A16511" t="n">
        <v>14430312</v>
      </c>
      <c r="B16511" t="n">
        <v>60054</v>
      </c>
      <c r="C16511" t="inlineStr">
        <is>
          <t>1443/03/12</t>
        </is>
      </c>
    </row>
    <row r="16512">
      <c r="A16512" t="n">
        <v>14430313</v>
      </c>
      <c r="B16512" t="n">
        <v>60055</v>
      </c>
      <c r="C16512" t="inlineStr">
        <is>
          <t>1443/03/13</t>
        </is>
      </c>
    </row>
    <row r="16513">
      <c r="A16513" t="n">
        <v>14430314</v>
      </c>
      <c r="B16513" t="n">
        <v>60056</v>
      </c>
      <c r="C16513" t="inlineStr">
        <is>
          <t>1443/03/14</t>
        </is>
      </c>
    </row>
    <row r="16514">
      <c r="A16514" t="n">
        <v>14430315</v>
      </c>
      <c r="B16514" t="n">
        <v>60057</v>
      </c>
      <c r="C16514" t="inlineStr">
        <is>
          <t>1443/03/15</t>
        </is>
      </c>
    </row>
    <row r="16515">
      <c r="A16515" t="n">
        <v>14430316</v>
      </c>
      <c r="B16515" t="n">
        <v>60058</v>
      </c>
      <c r="C16515" t="inlineStr">
        <is>
          <t>1443/03/16</t>
        </is>
      </c>
    </row>
    <row r="16516">
      <c r="A16516" t="n">
        <v>14430317</v>
      </c>
      <c r="B16516" t="n">
        <v>60059</v>
      </c>
      <c r="C16516" t="inlineStr">
        <is>
          <t>1443/03/17</t>
        </is>
      </c>
    </row>
    <row r="16517">
      <c r="A16517" t="n">
        <v>14430318</v>
      </c>
      <c r="B16517" t="n">
        <v>60060</v>
      </c>
      <c r="C16517" t="inlineStr">
        <is>
          <t>1443/03/18</t>
        </is>
      </c>
    </row>
    <row r="16518">
      <c r="A16518" t="n">
        <v>14430319</v>
      </c>
      <c r="B16518" t="n">
        <v>60061</v>
      </c>
      <c r="C16518" t="inlineStr">
        <is>
          <t>1443/03/19</t>
        </is>
      </c>
    </row>
    <row r="16519">
      <c r="A16519" t="n">
        <v>14430320</v>
      </c>
      <c r="B16519" t="n">
        <v>60062</v>
      </c>
      <c r="C16519" t="inlineStr">
        <is>
          <t>1443/03/20</t>
        </is>
      </c>
    </row>
    <row r="16520">
      <c r="A16520" t="n">
        <v>14430321</v>
      </c>
      <c r="B16520" t="n">
        <v>60063</v>
      </c>
      <c r="C16520" t="inlineStr">
        <is>
          <t>1443/03/21</t>
        </is>
      </c>
    </row>
    <row r="16521">
      <c r="A16521" t="n">
        <v>14430322</v>
      </c>
      <c r="B16521" t="n">
        <v>60064</v>
      </c>
      <c r="C16521" t="inlineStr">
        <is>
          <t>1443/03/22</t>
        </is>
      </c>
    </row>
    <row r="16522">
      <c r="A16522" t="n">
        <v>14430323</v>
      </c>
      <c r="B16522" t="n">
        <v>60065</v>
      </c>
      <c r="C16522" t="inlineStr">
        <is>
          <t>1443/03/23</t>
        </is>
      </c>
    </row>
    <row r="16523">
      <c r="A16523" t="n">
        <v>14430324</v>
      </c>
      <c r="B16523" t="n">
        <v>60066</v>
      </c>
      <c r="C16523" t="inlineStr">
        <is>
          <t>1443/03/24</t>
        </is>
      </c>
    </row>
    <row r="16524">
      <c r="A16524" t="n">
        <v>14430325</v>
      </c>
      <c r="B16524" t="n">
        <v>60067</v>
      </c>
      <c r="C16524" t="inlineStr">
        <is>
          <t>1443/03/25</t>
        </is>
      </c>
    </row>
    <row r="16525">
      <c r="A16525" t="n">
        <v>14430326</v>
      </c>
      <c r="B16525" t="n">
        <v>60068</v>
      </c>
      <c r="C16525" t="inlineStr">
        <is>
          <t>1443/03/26</t>
        </is>
      </c>
    </row>
    <row r="16526">
      <c r="A16526" t="n">
        <v>14430327</v>
      </c>
      <c r="B16526" t="n">
        <v>60069</v>
      </c>
      <c r="C16526" t="inlineStr">
        <is>
          <t>1443/03/27</t>
        </is>
      </c>
    </row>
    <row r="16527">
      <c r="A16527" t="n">
        <v>14430328</v>
      </c>
      <c r="B16527" t="n">
        <v>60070</v>
      </c>
      <c r="C16527" t="inlineStr">
        <is>
          <t>1443/03/28</t>
        </is>
      </c>
    </row>
    <row r="16528">
      <c r="A16528" t="n">
        <v>14430329</v>
      </c>
      <c r="B16528" t="n">
        <v>60071</v>
      </c>
      <c r="C16528" t="inlineStr">
        <is>
          <t>1443/03/29</t>
        </is>
      </c>
    </row>
    <row r="16529">
      <c r="A16529" t="n">
        <v>14430330</v>
      </c>
      <c r="B16529" t="n">
        <v>60072</v>
      </c>
      <c r="C16529" t="inlineStr">
        <is>
          <t>1443/03/30</t>
        </is>
      </c>
    </row>
    <row r="16530">
      <c r="A16530" t="n">
        <v>14430331</v>
      </c>
      <c r="B16530" t="n">
        <v>60073</v>
      </c>
      <c r="C16530" t="inlineStr">
        <is>
          <t>1443/03/31</t>
        </is>
      </c>
    </row>
    <row r="16531">
      <c r="A16531" t="n">
        <v>14430401</v>
      </c>
      <c r="B16531" t="n">
        <v>60074</v>
      </c>
      <c r="C16531" t="inlineStr">
        <is>
          <t>1443/04/01</t>
        </is>
      </c>
    </row>
    <row r="16532">
      <c r="A16532" t="n">
        <v>14430402</v>
      </c>
      <c r="B16532" t="n">
        <v>60075</v>
      </c>
      <c r="C16532" t="inlineStr">
        <is>
          <t>1443/04/02</t>
        </is>
      </c>
    </row>
    <row r="16533">
      <c r="A16533" t="n">
        <v>14430403</v>
      </c>
      <c r="B16533" t="n">
        <v>60076</v>
      </c>
      <c r="C16533" t="inlineStr">
        <is>
          <t>1443/04/03</t>
        </is>
      </c>
    </row>
    <row r="16534">
      <c r="A16534" t="n">
        <v>14430404</v>
      </c>
      <c r="B16534" t="n">
        <v>60077</v>
      </c>
      <c r="C16534" t="inlineStr">
        <is>
          <t>1443/04/04</t>
        </is>
      </c>
    </row>
    <row r="16535">
      <c r="A16535" t="n">
        <v>14430405</v>
      </c>
      <c r="B16535" t="n">
        <v>60078</v>
      </c>
      <c r="C16535" t="inlineStr">
        <is>
          <t>1443/04/05</t>
        </is>
      </c>
    </row>
    <row r="16536">
      <c r="A16536" t="n">
        <v>14430406</v>
      </c>
      <c r="B16536" t="n">
        <v>60079</v>
      </c>
      <c r="C16536" t="inlineStr">
        <is>
          <t>1443/04/06</t>
        </is>
      </c>
    </row>
    <row r="16537">
      <c r="A16537" t="n">
        <v>14430407</v>
      </c>
      <c r="B16537" t="n">
        <v>60080</v>
      </c>
      <c r="C16537" t="inlineStr">
        <is>
          <t>1443/04/07</t>
        </is>
      </c>
    </row>
    <row r="16538">
      <c r="A16538" t="n">
        <v>14430408</v>
      </c>
      <c r="B16538" t="n">
        <v>60081</v>
      </c>
      <c r="C16538" t="inlineStr">
        <is>
          <t>1443/04/08</t>
        </is>
      </c>
    </row>
    <row r="16539">
      <c r="A16539" t="n">
        <v>14430409</v>
      </c>
      <c r="B16539" t="n">
        <v>60082</v>
      </c>
      <c r="C16539" t="inlineStr">
        <is>
          <t>1443/04/09</t>
        </is>
      </c>
    </row>
    <row r="16540">
      <c r="A16540" t="n">
        <v>14430410</v>
      </c>
      <c r="B16540" t="n">
        <v>60083</v>
      </c>
      <c r="C16540" t="inlineStr">
        <is>
          <t>1443/04/10</t>
        </is>
      </c>
    </row>
    <row r="16541">
      <c r="A16541" t="n">
        <v>14430411</v>
      </c>
      <c r="B16541" t="n">
        <v>60084</v>
      </c>
      <c r="C16541" t="inlineStr">
        <is>
          <t>1443/04/11</t>
        </is>
      </c>
    </row>
    <row r="16542">
      <c r="A16542" t="n">
        <v>14430412</v>
      </c>
      <c r="B16542" t="n">
        <v>60085</v>
      </c>
      <c r="C16542" t="inlineStr">
        <is>
          <t>1443/04/12</t>
        </is>
      </c>
    </row>
    <row r="16543">
      <c r="A16543" t="n">
        <v>14430413</v>
      </c>
      <c r="B16543" t="n">
        <v>60086</v>
      </c>
      <c r="C16543" t="inlineStr">
        <is>
          <t>1443/04/13</t>
        </is>
      </c>
    </row>
    <row r="16544">
      <c r="A16544" t="n">
        <v>14430414</v>
      </c>
      <c r="B16544" t="n">
        <v>60087</v>
      </c>
      <c r="C16544" t="inlineStr">
        <is>
          <t>1443/04/14</t>
        </is>
      </c>
    </row>
    <row r="16545">
      <c r="A16545" t="n">
        <v>14430415</v>
      </c>
      <c r="B16545" t="n">
        <v>60088</v>
      </c>
      <c r="C16545" t="inlineStr">
        <is>
          <t>1443/04/15</t>
        </is>
      </c>
    </row>
    <row r="16546">
      <c r="A16546" t="n">
        <v>14430416</v>
      </c>
      <c r="B16546" t="n">
        <v>60089</v>
      </c>
      <c r="C16546" t="inlineStr">
        <is>
          <t>1443/04/16</t>
        </is>
      </c>
    </row>
    <row r="16547">
      <c r="A16547" t="n">
        <v>14430417</v>
      </c>
      <c r="B16547" t="n">
        <v>60090</v>
      </c>
      <c r="C16547" t="inlineStr">
        <is>
          <t>1443/04/17</t>
        </is>
      </c>
    </row>
    <row r="16548">
      <c r="A16548" t="n">
        <v>14430418</v>
      </c>
      <c r="B16548" t="n">
        <v>60091</v>
      </c>
      <c r="C16548" t="inlineStr">
        <is>
          <t>1443/04/18</t>
        </is>
      </c>
    </row>
    <row r="16549">
      <c r="A16549" t="n">
        <v>14430419</v>
      </c>
      <c r="B16549" t="n">
        <v>60092</v>
      </c>
      <c r="C16549" t="inlineStr">
        <is>
          <t>1443/04/19</t>
        </is>
      </c>
    </row>
    <row r="16550">
      <c r="A16550" t="n">
        <v>14430420</v>
      </c>
      <c r="B16550" t="n">
        <v>60093</v>
      </c>
      <c r="C16550" t="inlineStr">
        <is>
          <t>1443/04/20</t>
        </is>
      </c>
    </row>
    <row r="16551">
      <c r="A16551" t="n">
        <v>14430421</v>
      </c>
      <c r="B16551" t="n">
        <v>60094</v>
      </c>
      <c r="C16551" t="inlineStr">
        <is>
          <t>1443/04/21</t>
        </is>
      </c>
    </row>
    <row r="16552">
      <c r="A16552" t="n">
        <v>14430422</v>
      </c>
      <c r="B16552" t="n">
        <v>60095</v>
      </c>
      <c r="C16552" t="inlineStr">
        <is>
          <t>1443/04/22</t>
        </is>
      </c>
    </row>
    <row r="16553">
      <c r="A16553" t="n">
        <v>14430423</v>
      </c>
      <c r="B16553" t="n">
        <v>60096</v>
      </c>
      <c r="C16553" t="inlineStr">
        <is>
          <t>1443/04/23</t>
        </is>
      </c>
    </row>
    <row r="16554">
      <c r="A16554" t="n">
        <v>14430424</v>
      </c>
      <c r="B16554" t="n">
        <v>60097</v>
      </c>
      <c r="C16554" t="inlineStr">
        <is>
          <t>1443/04/24</t>
        </is>
      </c>
    </row>
    <row r="16555">
      <c r="A16555" t="n">
        <v>14430425</v>
      </c>
      <c r="B16555" t="n">
        <v>60098</v>
      </c>
      <c r="C16555" t="inlineStr">
        <is>
          <t>1443/04/25</t>
        </is>
      </c>
    </row>
    <row r="16556">
      <c r="A16556" t="n">
        <v>14430426</v>
      </c>
      <c r="B16556" t="n">
        <v>60099</v>
      </c>
      <c r="C16556" t="inlineStr">
        <is>
          <t>1443/04/26</t>
        </is>
      </c>
    </row>
    <row r="16557">
      <c r="A16557" t="n">
        <v>14430427</v>
      </c>
      <c r="B16557" t="n">
        <v>60100</v>
      </c>
      <c r="C16557" t="inlineStr">
        <is>
          <t>1443/04/27</t>
        </is>
      </c>
    </row>
    <row r="16558">
      <c r="A16558" t="n">
        <v>14430428</v>
      </c>
      <c r="B16558" t="n">
        <v>60101</v>
      </c>
      <c r="C16558" t="inlineStr">
        <is>
          <t>1443/04/28</t>
        </is>
      </c>
    </row>
    <row r="16559">
      <c r="A16559" t="n">
        <v>14430429</v>
      </c>
      <c r="B16559" t="n">
        <v>60102</v>
      </c>
      <c r="C16559" t="inlineStr">
        <is>
          <t>1443/04/29</t>
        </is>
      </c>
    </row>
    <row r="16560">
      <c r="A16560" t="n">
        <v>14430430</v>
      </c>
      <c r="B16560" t="n">
        <v>60103</v>
      </c>
      <c r="C16560" t="inlineStr">
        <is>
          <t>1443/04/30</t>
        </is>
      </c>
    </row>
    <row r="16561">
      <c r="A16561" t="n">
        <v>14430431</v>
      </c>
      <c r="B16561" t="n">
        <v>60104</v>
      </c>
      <c r="C16561" t="inlineStr">
        <is>
          <t>1443/04/31</t>
        </is>
      </c>
    </row>
    <row r="16562">
      <c r="A16562" t="n">
        <v>14430501</v>
      </c>
      <c r="B16562" t="n">
        <v>60105</v>
      </c>
      <c r="C16562" t="inlineStr">
        <is>
          <t>1443/05/01</t>
        </is>
      </c>
    </row>
    <row r="16563">
      <c r="A16563" t="n">
        <v>14430502</v>
      </c>
      <c r="B16563" t="n">
        <v>60106</v>
      </c>
      <c r="C16563" t="inlineStr">
        <is>
          <t>1443/05/02</t>
        </is>
      </c>
    </row>
    <row r="16564">
      <c r="A16564" t="n">
        <v>14430503</v>
      </c>
      <c r="B16564" t="n">
        <v>60107</v>
      </c>
      <c r="C16564" t="inlineStr">
        <is>
          <t>1443/05/03</t>
        </is>
      </c>
    </row>
    <row r="16565">
      <c r="A16565" t="n">
        <v>14430504</v>
      </c>
      <c r="B16565" t="n">
        <v>60108</v>
      </c>
      <c r="C16565" t="inlineStr">
        <is>
          <t>1443/05/04</t>
        </is>
      </c>
    </row>
    <row r="16566">
      <c r="A16566" t="n">
        <v>14430505</v>
      </c>
      <c r="B16566" t="n">
        <v>60109</v>
      </c>
      <c r="C16566" t="inlineStr">
        <is>
          <t>1443/05/05</t>
        </is>
      </c>
    </row>
    <row r="16567">
      <c r="A16567" t="n">
        <v>14430506</v>
      </c>
      <c r="B16567" t="n">
        <v>60110</v>
      </c>
      <c r="C16567" t="inlineStr">
        <is>
          <t>1443/05/06</t>
        </is>
      </c>
    </row>
    <row r="16568">
      <c r="A16568" t="n">
        <v>14430507</v>
      </c>
      <c r="B16568" t="n">
        <v>60111</v>
      </c>
      <c r="C16568" t="inlineStr">
        <is>
          <t>1443/05/07</t>
        </is>
      </c>
    </row>
    <row r="16569">
      <c r="A16569" t="n">
        <v>14430508</v>
      </c>
      <c r="B16569" t="n">
        <v>60112</v>
      </c>
      <c r="C16569" t="inlineStr">
        <is>
          <t>1443/05/08</t>
        </is>
      </c>
    </row>
    <row r="16570">
      <c r="A16570" t="n">
        <v>14430509</v>
      </c>
      <c r="B16570" t="n">
        <v>60113</v>
      </c>
      <c r="C16570" t="inlineStr">
        <is>
          <t>1443/05/09</t>
        </is>
      </c>
    </row>
    <row r="16571">
      <c r="A16571" t="n">
        <v>14430510</v>
      </c>
      <c r="B16571" t="n">
        <v>60114</v>
      </c>
      <c r="C16571" t="inlineStr">
        <is>
          <t>1443/05/10</t>
        </is>
      </c>
    </row>
    <row r="16572">
      <c r="A16572" t="n">
        <v>14430511</v>
      </c>
      <c r="B16572" t="n">
        <v>60115</v>
      </c>
      <c r="C16572" t="inlineStr">
        <is>
          <t>1443/05/11</t>
        </is>
      </c>
    </row>
    <row r="16573">
      <c r="A16573" t="n">
        <v>14430512</v>
      </c>
      <c r="B16573" t="n">
        <v>60116</v>
      </c>
      <c r="C16573" t="inlineStr">
        <is>
          <t>1443/05/12</t>
        </is>
      </c>
    </row>
    <row r="16574">
      <c r="A16574" t="n">
        <v>14430513</v>
      </c>
      <c r="B16574" t="n">
        <v>60117</v>
      </c>
      <c r="C16574" t="inlineStr">
        <is>
          <t>1443/05/13</t>
        </is>
      </c>
    </row>
    <row r="16575">
      <c r="A16575" t="n">
        <v>14430514</v>
      </c>
      <c r="B16575" t="n">
        <v>60118</v>
      </c>
      <c r="C16575" t="inlineStr">
        <is>
          <t>1443/05/14</t>
        </is>
      </c>
    </row>
    <row r="16576">
      <c r="A16576" t="n">
        <v>14430515</v>
      </c>
      <c r="B16576" t="n">
        <v>60119</v>
      </c>
      <c r="C16576" t="inlineStr">
        <is>
          <t>1443/05/15</t>
        </is>
      </c>
    </row>
    <row r="16577">
      <c r="A16577" t="n">
        <v>14430516</v>
      </c>
      <c r="B16577" t="n">
        <v>60120</v>
      </c>
      <c r="C16577" t="inlineStr">
        <is>
          <t>1443/05/16</t>
        </is>
      </c>
    </row>
    <row r="16578">
      <c r="A16578" t="n">
        <v>14430517</v>
      </c>
      <c r="B16578" t="n">
        <v>60121</v>
      </c>
      <c r="C16578" t="inlineStr">
        <is>
          <t>1443/05/17</t>
        </is>
      </c>
    </row>
    <row r="16579">
      <c r="A16579" t="n">
        <v>14430518</v>
      </c>
      <c r="B16579" t="n">
        <v>60122</v>
      </c>
      <c r="C16579" t="inlineStr">
        <is>
          <t>1443/05/18</t>
        </is>
      </c>
    </row>
    <row r="16580">
      <c r="A16580" t="n">
        <v>14430519</v>
      </c>
      <c r="B16580" t="n">
        <v>60123</v>
      </c>
      <c r="C16580" t="inlineStr">
        <is>
          <t>1443/05/19</t>
        </is>
      </c>
    </row>
    <row r="16581">
      <c r="A16581" t="n">
        <v>14430520</v>
      </c>
      <c r="B16581" t="n">
        <v>60124</v>
      </c>
      <c r="C16581" t="inlineStr">
        <is>
          <t>1443/05/20</t>
        </is>
      </c>
    </row>
    <row r="16582">
      <c r="A16582" t="n">
        <v>14430521</v>
      </c>
      <c r="B16582" t="n">
        <v>60125</v>
      </c>
      <c r="C16582" t="inlineStr">
        <is>
          <t>1443/05/21</t>
        </is>
      </c>
    </row>
    <row r="16583">
      <c r="A16583" t="n">
        <v>14430522</v>
      </c>
      <c r="B16583" t="n">
        <v>60126</v>
      </c>
      <c r="C16583" t="inlineStr">
        <is>
          <t>1443/05/22</t>
        </is>
      </c>
    </row>
    <row r="16584">
      <c r="A16584" t="n">
        <v>14430523</v>
      </c>
      <c r="B16584" t="n">
        <v>60127</v>
      </c>
      <c r="C16584" t="inlineStr">
        <is>
          <t>1443/05/23</t>
        </is>
      </c>
    </row>
    <row r="16585">
      <c r="A16585" t="n">
        <v>14430524</v>
      </c>
      <c r="B16585" t="n">
        <v>60128</v>
      </c>
      <c r="C16585" t="inlineStr">
        <is>
          <t>1443/05/24</t>
        </is>
      </c>
    </row>
    <row r="16586">
      <c r="A16586" t="n">
        <v>14430525</v>
      </c>
      <c r="B16586" t="n">
        <v>60129</v>
      </c>
      <c r="C16586" t="inlineStr">
        <is>
          <t>1443/05/25</t>
        </is>
      </c>
    </row>
    <row r="16587">
      <c r="A16587" t="n">
        <v>14430526</v>
      </c>
      <c r="B16587" t="n">
        <v>60130</v>
      </c>
      <c r="C16587" t="inlineStr">
        <is>
          <t>1443/05/26</t>
        </is>
      </c>
    </row>
    <row r="16588">
      <c r="A16588" t="n">
        <v>14430527</v>
      </c>
      <c r="B16588" t="n">
        <v>60131</v>
      </c>
      <c r="C16588" t="inlineStr">
        <is>
          <t>1443/05/27</t>
        </is>
      </c>
    </row>
    <row r="16589">
      <c r="A16589" t="n">
        <v>14430528</v>
      </c>
      <c r="B16589" t="n">
        <v>60132</v>
      </c>
      <c r="C16589" t="inlineStr">
        <is>
          <t>1443/05/28</t>
        </is>
      </c>
    </row>
    <row r="16590">
      <c r="A16590" t="n">
        <v>14430529</v>
      </c>
      <c r="B16590" t="n">
        <v>60133</v>
      </c>
      <c r="C16590" t="inlineStr">
        <is>
          <t>1443/05/29</t>
        </is>
      </c>
    </row>
    <row r="16591">
      <c r="A16591" t="n">
        <v>14430530</v>
      </c>
      <c r="B16591" t="n">
        <v>60134</v>
      </c>
      <c r="C16591" t="inlineStr">
        <is>
          <t>1443/05/30</t>
        </is>
      </c>
    </row>
    <row r="16592">
      <c r="A16592" t="n">
        <v>14430531</v>
      </c>
      <c r="B16592" t="n">
        <v>60135</v>
      </c>
      <c r="C16592" t="inlineStr">
        <is>
          <t>1443/05/31</t>
        </is>
      </c>
    </row>
    <row r="16593">
      <c r="A16593" t="n">
        <v>14430601</v>
      </c>
      <c r="B16593" t="n">
        <v>60136</v>
      </c>
      <c r="C16593" t="inlineStr">
        <is>
          <t>1443/06/01</t>
        </is>
      </c>
    </row>
    <row r="16594">
      <c r="A16594" t="n">
        <v>14430602</v>
      </c>
      <c r="B16594" t="n">
        <v>60137</v>
      </c>
      <c r="C16594" t="inlineStr">
        <is>
          <t>1443/06/02</t>
        </is>
      </c>
    </row>
    <row r="16595">
      <c r="A16595" t="n">
        <v>14430603</v>
      </c>
      <c r="B16595" t="n">
        <v>60138</v>
      </c>
      <c r="C16595" t="inlineStr">
        <is>
          <t>1443/06/03</t>
        </is>
      </c>
    </row>
    <row r="16596">
      <c r="A16596" t="n">
        <v>14430604</v>
      </c>
      <c r="B16596" t="n">
        <v>60139</v>
      </c>
      <c r="C16596" t="inlineStr">
        <is>
          <t>1443/06/04</t>
        </is>
      </c>
    </row>
    <row r="16597">
      <c r="A16597" t="n">
        <v>14430605</v>
      </c>
      <c r="B16597" t="n">
        <v>60140</v>
      </c>
      <c r="C16597" t="inlineStr">
        <is>
          <t>1443/06/05</t>
        </is>
      </c>
    </row>
    <row r="16598">
      <c r="A16598" t="n">
        <v>14430606</v>
      </c>
      <c r="B16598" t="n">
        <v>60141</v>
      </c>
      <c r="C16598" t="inlineStr">
        <is>
          <t>1443/06/06</t>
        </is>
      </c>
    </row>
    <row r="16599">
      <c r="A16599" t="n">
        <v>14430607</v>
      </c>
      <c r="B16599" t="n">
        <v>60142</v>
      </c>
      <c r="C16599" t="inlineStr">
        <is>
          <t>1443/06/07</t>
        </is>
      </c>
    </row>
    <row r="16600">
      <c r="A16600" t="n">
        <v>14430608</v>
      </c>
      <c r="B16600" t="n">
        <v>60143</v>
      </c>
      <c r="C16600" t="inlineStr">
        <is>
          <t>1443/06/08</t>
        </is>
      </c>
    </row>
    <row r="16601">
      <c r="A16601" t="n">
        <v>14430609</v>
      </c>
      <c r="B16601" t="n">
        <v>60144</v>
      </c>
      <c r="C16601" t="inlineStr">
        <is>
          <t>1443/06/09</t>
        </is>
      </c>
    </row>
    <row r="16602">
      <c r="A16602" t="n">
        <v>14430610</v>
      </c>
      <c r="B16602" t="n">
        <v>60145</v>
      </c>
      <c r="C16602" t="inlineStr">
        <is>
          <t>1443/06/10</t>
        </is>
      </c>
    </row>
    <row r="16603">
      <c r="A16603" t="n">
        <v>14430611</v>
      </c>
      <c r="B16603" t="n">
        <v>60146</v>
      </c>
      <c r="C16603" t="inlineStr">
        <is>
          <t>1443/06/11</t>
        </is>
      </c>
    </row>
    <row r="16604">
      <c r="A16604" t="n">
        <v>14430612</v>
      </c>
      <c r="B16604" t="n">
        <v>60147</v>
      </c>
      <c r="C16604" t="inlineStr">
        <is>
          <t>1443/06/12</t>
        </is>
      </c>
    </row>
    <row r="16605">
      <c r="A16605" t="n">
        <v>14430613</v>
      </c>
      <c r="B16605" t="n">
        <v>60148</v>
      </c>
      <c r="C16605" t="inlineStr">
        <is>
          <t>1443/06/13</t>
        </is>
      </c>
    </row>
    <row r="16606">
      <c r="A16606" t="n">
        <v>14430614</v>
      </c>
      <c r="B16606" t="n">
        <v>60149</v>
      </c>
      <c r="C16606" t="inlineStr">
        <is>
          <t>1443/06/14</t>
        </is>
      </c>
    </row>
    <row r="16607">
      <c r="A16607" t="n">
        <v>14430615</v>
      </c>
      <c r="B16607" t="n">
        <v>60150</v>
      </c>
      <c r="C16607" t="inlineStr">
        <is>
          <t>1443/06/15</t>
        </is>
      </c>
    </row>
    <row r="16608">
      <c r="A16608" t="n">
        <v>14430616</v>
      </c>
      <c r="B16608" t="n">
        <v>60151</v>
      </c>
      <c r="C16608" t="inlineStr">
        <is>
          <t>1443/06/16</t>
        </is>
      </c>
    </row>
    <row r="16609">
      <c r="A16609" t="n">
        <v>14430617</v>
      </c>
      <c r="B16609" t="n">
        <v>60152</v>
      </c>
      <c r="C16609" t="inlineStr">
        <is>
          <t>1443/06/17</t>
        </is>
      </c>
    </row>
    <row r="16610">
      <c r="A16610" t="n">
        <v>14430618</v>
      </c>
      <c r="B16610" t="n">
        <v>60153</v>
      </c>
      <c r="C16610" t="inlineStr">
        <is>
          <t>1443/06/18</t>
        </is>
      </c>
    </row>
    <row r="16611">
      <c r="A16611" t="n">
        <v>14430619</v>
      </c>
      <c r="B16611" t="n">
        <v>60154</v>
      </c>
      <c r="C16611" t="inlineStr">
        <is>
          <t>1443/06/19</t>
        </is>
      </c>
    </row>
    <row r="16612">
      <c r="A16612" t="n">
        <v>14430620</v>
      </c>
      <c r="B16612" t="n">
        <v>60155</v>
      </c>
      <c r="C16612" t="inlineStr">
        <is>
          <t>1443/06/20</t>
        </is>
      </c>
    </row>
    <row r="16613">
      <c r="A16613" t="n">
        <v>14430621</v>
      </c>
      <c r="B16613" t="n">
        <v>60156</v>
      </c>
      <c r="C16613" t="inlineStr">
        <is>
          <t>1443/06/21</t>
        </is>
      </c>
    </row>
    <row r="16614">
      <c r="A16614" t="n">
        <v>14430622</v>
      </c>
      <c r="B16614" t="n">
        <v>60157</v>
      </c>
      <c r="C16614" t="inlineStr">
        <is>
          <t>1443/06/22</t>
        </is>
      </c>
    </row>
    <row r="16615">
      <c r="A16615" t="n">
        <v>14430623</v>
      </c>
      <c r="B16615" t="n">
        <v>60158</v>
      </c>
      <c r="C16615" t="inlineStr">
        <is>
          <t>1443/06/23</t>
        </is>
      </c>
    </row>
    <row r="16616">
      <c r="A16616" t="n">
        <v>14430624</v>
      </c>
      <c r="B16616" t="n">
        <v>60159</v>
      </c>
      <c r="C16616" t="inlineStr">
        <is>
          <t>1443/06/24</t>
        </is>
      </c>
    </row>
    <row r="16617">
      <c r="A16617" t="n">
        <v>14430625</v>
      </c>
      <c r="B16617" t="n">
        <v>60160</v>
      </c>
      <c r="C16617" t="inlineStr">
        <is>
          <t>1443/06/25</t>
        </is>
      </c>
    </row>
    <row r="16618">
      <c r="A16618" t="n">
        <v>14430626</v>
      </c>
      <c r="B16618" t="n">
        <v>60161</v>
      </c>
      <c r="C16618" t="inlineStr">
        <is>
          <t>1443/06/26</t>
        </is>
      </c>
    </row>
    <row r="16619">
      <c r="A16619" t="n">
        <v>14430627</v>
      </c>
      <c r="B16619" t="n">
        <v>60162</v>
      </c>
      <c r="C16619" t="inlineStr">
        <is>
          <t>1443/06/27</t>
        </is>
      </c>
    </row>
    <row r="16620">
      <c r="A16620" t="n">
        <v>14430628</v>
      </c>
      <c r="B16620" t="n">
        <v>60163</v>
      </c>
      <c r="C16620" t="inlineStr">
        <is>
          <t>1443/06/28</t>
        </is>
      </c>
    </row>
    <row r="16621">
      <c r="A16621" t="n">
        <v>14430629</v>
      </c>
      <c r="B16621" t="n">
        <v>60164</v>
      </c>
      <c r="C16621" t="inlineStr">
        <is>
          <t>1443/06/29</t>
        </is>
      </c>
    </row>
    <row r="16622">
      <c r="A16622" t="n">
        <v>14430630</v>
      </c>
      <c r="B16622" t="n">
        <v>60165</v>
      </c>
      <c r="C16622" t="inlineStr">
        <is>
          <t>1443/06/30</t>
        </is>
      </c>
    </row>
    <row r="16623">
      <c r="A16623" t="n">
        <v>14430631</v>
      </c>
      <c r="B16623" t="n">
        <v>60166</v>
      </c>
      <c r="C16623" t="inlineStr">
        <is>
          <t>1443/06/31</t>
        </is>
      </c>
    </row>
    <row r="16624">
      <c r="A16624" t="n">
        <v>14430701</v>
      </c>
      <c r="B16624" t="n">
        <v>60167</v>
      </c>
      <c r="C16624" t="inlineStr">
        <is>
          <t>1443/07/01</t>
        </is>
      </c>
    </row>
    <row r="16625">
      <c r="A16625" t="n">
        <v>14430702</v>
      </c>
      <c r="B16625" t="n">
        <v>60168</v>
      </c>
      <c r="C16625" t="inlineStr">
        <is>
          <t>1443/07/02</t>
        </is>
      </c>
    </row>
    <row r="16626">
      <c r="A16626" t="n">
        <v>14430703</v>
      </c>
      <c r="B16626" t="n">
        <v>60169</v>
      </c>
      <c r="C16626" t="inlineStr">
        <is>
          <t>1443/07/03</t>
        </is>
      </c>
    </row>
    <row r="16627">
      <c r="A16627" t="n">
        <v>14430704</v>
      </c>
      <c r="B16627" t="n">
        <v>60170</v>
      </c>
      <c r="C16627" t="inlineStr">
        <is>
          <t>1443/07/04</t>
        </is>
      </c>
    </row>
    <row r="16628">
      <c r="A16628" t="n">
        <v>14430705</v>
      </c>
      <c r="B16628" t="n">
        <v>60171</v>
      </c>
      <c r="C16628" t="inlineStr">
        <is>
          <t>1443/07/05</t>
        </is>
      </c>
    </row>
    <row r="16629">
      <c r="A16629" t="n">
        <v>14430706</v>
      </c>
      <c r="B16629" t="n">
        <v>60172</v>
      </c>
      <c r="C16629" t="inlineStr">
        <is>
          <t>1443/07/06</t>
        </is>
      </c>
    </row>
    <row r="16630">
      <c r="A16630" t="n">
        <v>14430707</v>
      </c>
      <c r="B16630" t="n">
        <v>60173</v>
      </c>
      <c r="C16630" t="inlineStr">
        <is>
          <t>1443/07/07</t>
        </is>
      </c>
    </row>
    <row r="16631">
      <c r="A16631" t="n">
        <v>14430708</v>
      </c>
      <c r="B16631" t="n">
        <v>60174</v>
      </c>
      <c r="C16631" t="inlineStr">
        <is>
          <t>1443/07/08</t>
        </is>
      </c>
    </row>
    <row r="16632">
      <c r="A16632" t="n">
        <v>14430709</v>
      </c>
      <c r="B16632" t="n">
        <v>60175</v>
      </c>
      <c r="C16632" t="inlineStr">
        <is>
          <t>1443/07/09</t>
        </is>
      </c>
    </row>
    <row r="16633">
      <c r="A16633" t="n">
        <v>14430710</v>
      </c>
      <c r="B16633" t="n">
        <v>60176</v>
      </c>
      <c r="C16633" t="inlineStr">
        <is>
          <t>1443/07/10</t>
        </is>
      </c>
    </row>
    <row r="16634">
      <c r="A16634" t="n">
        <v>14430711</v>
      </c>
      <c r="B16634" t="n">
        <v>60177</v>
      </c>
      <c r="C16634" t="inlineStr">
        <is>
          <t>1443/07/11</t>
        </is>
      </c>
    </row>
    <row r="16635">
      <c r="A16635" t="n">
        <v>14430712</v>
      </c>
      <c r="B16635" t="n">
        <v>60178</v>
      </c>
      <c r="C16635" t="inlineStr">
        <is>
          <t>1443/07/12</t>
        </is>
      </c>
    </row>
    <row r="16636">
      <c r="A16636" t="n">
        <v>14430713</v>
      </c>
      <c r="B16636" t="n">
        <v>60179</v>
      </c>
      <c r="C16636" t="inlineStr">
        <is>
          <t>1443/07/13</t>
        </is>
      </c>
    </row>
    <row r="16637">
      <c r="A16637" t="n">
        <v>14430714</v>
      </c>
      <c r="B16637" t="n">
        <v>60180</v>
      </c>
      <c r="C16637" t="inlineStr">
        <is>
          <t>1443/07/14</t>
        </is>
      </c>
    </row>
    <row r="16638">
      <c r="A16638" t="n">
        <v>14430715</v>
      </c>
      <c r="B16638" t="n">
        <v>60181</v>
      </c>
      <c r="C16638" t="inlineStr">
        <is>
          <t>1443/07/15</t>
        </is>
      </c>
    </row>
    <row r="16639">
      <c r="A16639" t="n">
        <v>14430716</v>
      </c>
      <c r="B16639" t="n">
        <v>60182</v>
      </c>
      <c r="C16639" t="inlineStr">
        <is>
          <t>1443/07/16</t>
        </is>
      </c>
    </row>
    <row r="16640">
      <c r="A16640" t="n">
        <v>14430717</v>
      </c>
      <c r="B16640" t="n">
        <v>60183</v>
      </c>
      <c r="C16640" t="inlineStr">
        <is>
          <t>1443/07/17</t>
        </is>
      </c>
    </row>
    <row r="16641">
      <c r="A16641" t="n">
        <v>14430718</v>
      </c>
      <c r="B16641" t="n">
        <v>60184</v>
      </c>
      <c r="C16641" t="inlineStr">
        <is>
          <t>1443/07/18</t>
        </is>
      </c>
    </row>
    <row r="16642">
      <c r="A16642" t="n">
        <v>14430719</v>
      </c>
      <c r="B16642" t="n">
        <v>60185</v>
      </c>
      <c r="C16642" t="inlineStr">
        <is>
          <t>1443/07/19</t>
        </is>
      </c>
    </row>
    <row r="16643">
      <c r="A16643" t="n">
        <v>14430720</v>
      </c>
      <c r="B16643" t="n">
        <v>60186</v>
      </c>
      <c r="C16643" t="inlineStr">
        <is>
          <t>1443/07/20</t>
        </is>
      </c>
    </row>
    <row r="16644">
      <c r="A16644" t="n">
        <v>14430721</v>
      </c>
      <c r="B16644" t="n">
        <v>60187</v>
      </c>
      <c r="C16644" t="inlineStr">
        <is>
          <t>1443/07/21</t>
        </is>
      </c>
    </row>
    <row r="16645">
      <c r="A16645" t="n">
        <v>14430722</v>
      </c>
      <c r="B16645" t="n">
        <v>60188</v>
      </c>
      <c r="C16645" t="inlineStr">
        <is>
          <t>1443/07/22</t>
        </is>
      </c>
    </row>
    <row r="16646">
      <c r="A16646" t="n">
        <v>14430723</v>
      </c>
      <c r="B16646" t="n">
        <v>60189</v>
      </c>
      <c r="C16646" t="inlineStr">
        <is>
          <t>1443/07/23</t>
        </is>
      </c>
    </row>
    <row r="16647">
      <c r="A16647" t="n">
        <v>14430724</v>
      </c>
      <c r="B16647" t="n">
        <v>60190</v>
      </c>
      <c r="C16647" t="inlineStr">
        <is>
          <t>1443/07/24</t>
        </is>
      </c>
    </row>
    <row r="16648">
      <c r="A16648" t="n">
        <v>14430725</v>
      </c>
      <c r="B16648" t="n">
        <v>60191</v>
      </c>
      <c r="C16648" t="inlineStr">
        <is>
          <t>1443/07/25</t>
        </is>
      </c>
    </row>
    <row r="16649">
      <c r="A16649" t="n">
        <v>14430726</v>
      </c>
      <c r="B16649" t="n">
        <v>60192</v>
      </c>
      <c r="C16649" t="inlineStr">
        <is>
          <t>1443/07/26</t>
        </is>
      </c>
    </row>
    <row r="16650">
      <c r="A16650" t="n">
        <v>14430727</v>
      </c>
      <c r="B16650" t="n">
        <v>60193</v>
      </c>
      <c r="C16650" t="inlineStr">
        <is>
          <t>1443/07/27</t>
        </is>
      </c>
    </row>
    <row r="16651">
      <c r="A16651" t="n">
        <v>14430728</v>
      </c>
      <c r="B16651" t="n">
        <v>60194</v>
      </c>
      <c r="C16651" t="inlineStr">
        <is>
          <t>1443/07/28</t>
        </is>
      </c>
    </row>
    <row r="16652">
      <c r="A16652" t="n">
        <v>14430729</v>
      </c>
      <c r="B16652" t="n">
        <v>60195</v>
      </c>
      <c r="C16652" t="inlineStr">
        <is>
          <t>1443/07/29</t>
        </is>
      </c>
    </row>
    <row r="16653">
      <c r="A16653" t="n">
        <v>14430730</v>
      </c>
      <c r="B16653" t="n">
        <v>60196</v>
      </c>
      <c r="C16653" t="inlineStr">
        <is>
          <t>1443/07/30</t>
        </is>
      </c>
    </row>
    <row r="16654">
      <c r="A16654" t="n">
        <v>14430801</v>
      </c>
      <c r="B16654" t="n">
        <v>60197</v>
      </c>
      <c r="C16654" t="inlineStr">
        <is>
          <t>1443/08/01</t>
        </is>
      </c>
    </row>
    <row r="16655">
      <c r="A16655" t="n">
        <v>14430802</v>
      </c>
      <c r="B16655" t="n">
        <v>60198</v>
      </c>
      <c r="C16655" t="inlineStr">
        <is>
          <t>1443/08/02</t>
        </is>
      </c>
    </row>
    <row r="16656">
      <c r="A16656" t="n">
        <v>14430803</v>
      </c>
      <c r="B16656" t="n">
        <v>60199</v>
      </c>
      <c r="C16656" t="inlineStr">
        <is>
          <t>1443/08/03</t>
        </is>
      </c>
    </row>
    <row r="16657">
      <c r="A16657" t="n">
        <v>14430804</v>
      </c>
      <c r="B16657" t="n">
        <v>60200</v>
      </c>
      <c r="C16657" t="inlineStr">
        <is>
          <t>1443/08/04</t>
        </is>
      </c>
    </row>
    <row r="16658">
      <c r="A16658" t="n">
        <v>14430805</v>
      </c>
      <c r="B16658" t="n">
        <v>60201</v>
      </c>
      <c r="C16658" t="inlineStr">
        <is>
          <t>1443/08/05</t>
        </is>
      </c>
    </row>
    <row r="16659">
      <c r="A16659" t="n">
        <v>14430806</v>
      </c>
      <c r="B16659" t="n">
        <v>60202</v>
      </c>
      <c r="C16659" t="inlineStr">
        <is>
          <t>1443/08/06</t>
        </is>
      </c>
    </row>
    <row r="16660">
      <c r="A16660" t="n">
        <v>14430807</v>
      </c>
      <c r="B16660" t="n">
        <v>60203</v>
      </c>
      <c r="C16660" t="inlineStr">
        <is>
          <t>1443/08/07</t>
        </is>
      </c>
    </row>
    <row r="16661">
      <c r="A16661" t="n">
        <v>14430808</v>
      </c>
      <c r="B16661" t="n">
        <v>60204</v>
      </c>
      <c r="C16661" t="inlineStr">
        <is>
          <t>1443/08/08</t>
        </is>
      </c>
    </row>
    <row r="16662">
      <c r="A16662" t="n">
        <v>14430809</v>
      </c>
      <c r="B16662" t="n">
        <v>60205</v>
      </c>
      <c r="C16662" t="inlineStr">
        <is>
          <t>1443/08/09</t>
        </is>
      </c>
    </row>
    <row r="16663">
      <c r="A16663" t="n">
        <v>14430810</v>
      </c>
      <c r="B16663" t="n">
        <v>60206</v>
      </c>
      <c r="C16663" t="inlineStr">
        <is>
          <t>1443/08/10</t>
        </is>
      </c>
    </row>
    <row r="16664">
      <c r="A16664" t="n">
        <v>14430811</v>
      </c>
      <c r="B16664" t="n">
        <v>60207</v>
      </c>
      <c r="C16664" t="inlineStr">
        <is>
          <t>1443/08/11</t>
        </is>
      </c>
    </row>
    <row r="16665">
      <c r="A16665" t="n">
        <v>14430812</v>
      </c>
      <c r="B16665" t="n">
        <v>60208</v>
      </c>
      <c r="C16665" t="inlineStr">
        <is>
          <t>1443/08/12</t>
        </is>
      </c>
    </row>
    <row r="16666">
      <c r="A16666" t="n">
        <v>14430813</v>
      </c>
      <c r="B16666" t="n">
        <v>60209</v>
      </c>
      <c r="C16666" t="inlineStr">
        <is>
          <t>1443/08/13</t>
        </is>
      </c>
    </row>
    <row r="16667">
      <c r="A16667" t="n">
        <v>14430814</v>
      </c>
      <c r="B16667" t="n">
        <v>60210</v>
      </c>
      <c r="C16667" t="inlineStr">
        <is>
          <t>1443/08/14</t>
        </is>
      </c>
    </row>
    <row r="16668">
      <c r="A16668" t="n">
        <v>14430815</v>
      </c>
      <c r="B16668" t="n">
        <v>60211</v>
      </c>
      <c r="C16668" t="inlineStr">
        <is>
          <t>1443/08/15</t>
        </is>
      </c>
    </row>
    <row r="16669">
      <c r="A16669" t="n">
        <v>14430816</v>
      </c>
      <c r="B16669" t="n">
        <v>60212</v>
      </c>
      <c r="C16669" t="inlineStr">
        <is>
          <t>1443/08/16</t>
        </is>
      </c>
    </row>
    <row r="16670">
      <c r="A16670" t="n">
        <v>14430817</v>
      </c>
      <c r="B16670" t="n">
        <v>60213</v>
      </c>
      <c r="C16670" t="inlineStr">
        <is>
          <t>1443/08/17</t>
        </is>
      </c>
    </row>
    <row r="16671">
      <c r="A16671" t="n">
        <v>14430818</v>
      </c>
      <c r="B16671" t="n">
        <v>60214</v>
      </c>
      <c r="C16671" t="inlineStr">
        <is>
          <t>1443/08/18</t>
        </is>
      </c>
    </row>
    <row r="16672">
      <c r="A16672" t="n">
        <v>14430819</v>
      </c>
      <c r="B16672" t="n">
        <v>60215</v>
      </c>
      <c r="C16672" t="inlineStr">
        <is>
          <t>1443/08/19</t>
        </is>
      </c>
    </row>
    <row r="16673">
      <c r="A16673" t="n">
        <v>14430820</v>
      </c>
      <c r="B16673" t="n">
        <v>60216</v>
      </c>
      <c r="C16673" t="inlineStr">
        <is>
          <t>1443/08/20</t>
        </is>
      </c>
    </row>
    <row r="16674">
      <c r="A16674" t="n">
        <v>14430821</v>
      </c>
      <c r="B16674" t="n">
        <v>60217</v>
      </c>
      <c r="C16674" t="inlineStr">
        <is>
          <t>1443/08/21</t>
        </is>
      </c>
    </row>
    <row r="16675">
      <c r="A16675" t="n">
        <v>14430822</v>
      </c>
      <c r="B16675" t="n">
        <v>60218</v>
      </c>
      <c r="C16675" t="inlineStr">
        <is>
          <t>1443/08/22</t>
        </is>
      </c>
    </row>
    <row r="16676">
      <c r="A16676" t="n">
        <v>14430823</v>
      </c>
      <c r="B16676" t="n">
        <v>60219</v>
      </c>
      <c r="C16676" t="inlineStr">
        <is>
          <t>1443/08/23</t>
        </is>
      </c>
    </row>
    <row r="16677">
      <c r="A16677" t="n">
        <v>14430824</v>
      </c>
      <c r="B16677" t="n">
        <v>60220</v>
      </c>
      <c r="C16677" t="inlineStr">
        <is>
          <t>1443/08/24</t>
        </is>
      </c>
    </row>
    <row r="16678">
      <c r="A16678" t="n">
        <v>14430825</v>
      </c>
      <c r="B16678" t="n">
        <v>60221</v>
      </c>
      <c r="C16678" t="inlineStr">
        <is>
          <t>1443/08/25</t>
        </is>
      </c>
    </row>
    <row r="16679">
      <c r="A16679" t="n">
        <v>14430826</v>
      </c>
      <c r="B16679" t="n">
        <v>60222</v>
      </c>
      <c r="C16679" t="inlineStr">
        <is>
          <t>1443/08/26</t>
        </is>
      </c>
    </row>
    <row r="16680">
      <c r="A16680" t="n">
        <v>14430827</v>
      </c>
      <c r="B16680" t="n">
        <v>60223</v>
      </c>
      <c r="C16680" t="inlineStr">
        <is>
          <t>1443/08/27</t>
        </is>
      </c>
    </row>
    <row r="16681">
      <c r="A16681" t="n">
        <v>14430828</v>
      </c>
      <c r="B16681" t="n">
        <v>60224</v>
      </c>
      <c r="C16681" t="inlineStr">
        <is>
          <t>1443/08/28</t>
        </is>
      </c>
    </row>
    <row r="16682">
      <c r="A16682" t="n">
        <v>14430829</v>
      </c>
      <c r="B16682" t="n">
        <v>60225</v>
      </c>
      <c r="C16682" t="inlineStr">
        <is>
          <t>1443/08/29</t>
        </is>
      </c>
    </row>
    <row r="16683">
      <c r="A16683" t="n">
        <v>14430830</v>
      </c>
      <c r="B16683" t="n">
        <v>60226</v>
      </c>
      <c r="C16683" t="inlineStr">
        <is>
          <t>1443/08/30</t>
        </is>
      </c>
    </row>
    <row r="16684">
      <c r="A16684" t="n">
        <v>14430901</v>
      </c>
      <c r="B16684" t="n">
        <v>60227</v>
      </c>
      <c r="C16684" t="inlineStr">
        <is>
          <t>1443/09/01</t>
        </is>
      </c>
    </row>
    <row r="16685">
      <c r="A16685" t="n">
        <v>14430902</v>
      </c>
      <c r="B16685" t="n">
        <v>60228</v>
      </c>
      <c r="C16685" t="inlineStr">
        <is>
          <t>1443/09/02</t>
        </is>
      </c>
    </row>
    <row r="16686">
      <c r="A16686" t="n">
        <v>14430903</v>
      </c>
      <c r="B16686" t="n">
        <v>60229</v>
      </c>
      <c r="C16686" t="inlineStr">
        <is>
          <t>1443/09/03</t>
        </is>
      </c>
    </row>
    <row r="16687">
      <c r="A16687" t="n">
        <v>14430904</v>
      </c>
      <c r="B16687" t="n">
        <v>60230</v>
      </c>
      <c r="C16687" t="inlineStr">
        <is>
          <t>1443/09/04</t>
        </is>
      </c>
    </row>
    <row r="16688">
      <c r="A16688" t="n">
        <v>14430905</v>
      </c>
      <c r="B16688" t="n">
        <v>60231</v>
      </c>
      <c r="C16688" t="inlineStr">
        <is>
          <t>1443/09/05</t>
        </is>
      </c>
    </row>
    <row r="16689">
      <c r="A16689" t="n">
        <v>14430906</v>
      </c>
      <c r="B16689" t="n">
        <v>60232</v>
      </c>
      <c r="C16689" t="inlineStr">
        <is>
          <t>1443/09/06</t>
        </is>
      </c>
    </row>
    <row r="16690">
      <c r="A16690" t="n">
        <v>14430907</v>
      </c>
      <c r="B16690" t="n">
        <v>60233</v>
      </c>
      <c r="C16690" t="inlineStr">
        <is>
          <t>1443/09/07</t>
        </is>
      </c>
    </row>
    <row r="16691">
      <c r="A16691" t="n">
        <v>14430908</v>
      </c>
      <c r="B16691" t="n">
        <v>60234</v>
      </c>
      <c r="C16691" t="inlineStr">
        <is>
          <t>1443/09/08</t>
        </is>
      </c>
    </row>
    <row r="16692">
      <c r="A16692" t="n">
        <v>14430909</v>
      </c>
      <c r="B16692" t="n">
        <v>60235</v>
      </c>
      <c r="C16692" t="inlineStr">
        <is>
          <t>1443/09/09</t>
        </is>
      </c>
    </row>
    <row r="16693">
      <c r="A16693" t="n">
        <v>14430910</v>
      </c>
      <c r="B16693" t="n">
        <v>60236</v>
      </c>
      <c r="C16693" t="inlineStr">
        <is>
          <t>1443/09/10</t>
        </is>
      </c>
    </row>
    <row r="16694">
      <c r="A16694" t="n">
        <v>14430911</v>
      </c>
      <c r="B16694" t="n">
        <v>60237</v>
      </c>
      <c r="C16694" t="inlineStr">
        <is>
          <t>1443/09/11</t>
        </is>
      </c>
    </row>
    <row r="16695">
      <c r="A16695" t="n">
        <v>14430912</v>
      </c>
      <c r="B16695" t="n">
        <v>60238</v>
      </c>
      <c r="C16695" t="inlineStr">
        <is>
          <t>1443/09/12</t>
        </is>
      </c>
    </row>
    <row r="16696">
      <c r="A16696" t="n">
        <v>14430913</v>
      </c>
      <c r="B16696" t="n">
        <v>60239</v>
      </c>
      <c r="C16696" t="inlineStr">
        <is>
          <t>1443/09/13</t>
        </is>
      </c>
    </row>
    <row r="16697">
      <c r="A16697" t="n">
        <v>14430914</v>
      </c>
      <c r="B16697" t="n">
        <v>60240</v>
      </c>
      <c r="C16697" t="inlineStr">
        <is>
          <t>1443/09/14</t>
        </is>
      </c>
    </row>
    <row r="16698">
      <c r="A16698" t="n">
        <v>14430915</v>
      </c>
      <c r="B16698" t="n">
        <v>60241</v>
      </c>
      <c r="C16698" t="inlineStr">
        <is>
          <t>1443/09/15</t>
        </is>
      </c>
    </row>
    <row r="16699">
      <c r="A16699" t="n">
        <v>14430916</v>
      </c>
      <c r="B16699" t="n">
        <v>60242</v>
      </c>
      <c r="C16699" t="inlineStr">
        <is>
          <t>1443/09/16</t>
        </is>
      </c>
    </row>
    <row r="16700">
      <c r="A16700" t="n">
        <v>14430917</v>
      </c>
      <c r="B16700" t="n">
        <v>60243</v>
      </c>
      <c r="C16700" t="inlineStr">
        <is>
          <t>1443/09/17</t>
        </is>
      </c>
    </row>
    <row r="16701">
      <c r="A16701" t="n">
        <v>14430918</v>
      </c>
      <c r="B16701" t="n">
        <v>60244</v>
      </c>
      <c r="C16701" t="inlineStr">
        <is>
          <t>1443/09/18</t>
        </is>
      </c>
    </row>
    <row r="16702">
      <c r="A16702" t="n">
        <v>14430919</v>
      </c>
      <c r="B16702" t="n">
        <v>60245</v>
      </c>
      <c r="C16702" t="inlineStr">
        <is>
          <t>1443/09/19</t>
        </is>
      </c>
    </row>
    <row r="16703">
      <c r="A16703" t="n">
        <v>14430920</v>
      </c>
      <c r="B16703" t="n">
        <v>60246</v>
      </c>
      <c r="C16703" t="inlineStr">
        <is>
          <t>1443/09/20</t>
        </is>
      </c>
    </row>
    <row r="16704">
      <c r="A16704" t="n">
        <v>14430921</v>
      </c>
      <c r="B16704" t="n">
        <v>60247</v>
      </c>
      <c r="C16704" t="inlineStr">
        <is>
          <t>1443/09/21</t>
        </is>
      </c>
    </row>
    <row r="16705">
      <c r="A16705" t="n">
        <v>14430922</v>
      </c>
      <c r="B16705" t="n">
        <v>60248</v>
      </c>
      <c r="C16705" t="inlineStr">
        <is>
          <t>1443/09/22</t>
        </is>
      </c>
    </row>
    <row r="16706">
      <c r="A16706" t="n">
        <v>14430923</v>
      </c>
      <c r="B16706" t="n">
        <v>60249</v>
      </c>
      <c r="C16706" t="inlineStr">
        <is>
          <t>1443/09/23</t>
        </is>
      </c>
    </row>
    <row r="16707">
      <c r="A16707" t="n">
        <v>14430924</v>
      </c>
      <c r="B16707" t="n">
        <v>60250</v>
      </c>
      <c r="C16707" t="inlineStr">
        <is>
          <t>1443/09/24</t>
        </is>
      </c>
    </row>
    <row r="16708">
      <c r="A16708" t="n">
        <v>14430925</v>
      </c>
      <c r="B16708" t="n">
        <v>60251</v>
      </c>
      <c r="C16708" t="inlineStr">
        <is>
          <t>1443/09/25</t>
        </is>
      </c>
    </row>
    <row r="16709">
      <c r="A16709" t="n">
        <v>14430926</v>
      </c>
      <c r="B16709" t="n">
        <v>60252</v>
      </c>
      <c r="C16709" t="inlineStr">
        <is>
          <t>1443/09/26</t>
        </is>
      </c>
    </row>
    <row r="16710">
      <c r="A16710" t="n">
        <v>14430927</v>
      </c>
      <c r="B16710" t="n">
        <v>60253</v>
      </c>
      <c r="C16710" t="inlineStr">
        <is>
          <t>1443/09/27</t>
        </is>
      </c>
    </row>
    <row r="16711">
      <c r="A16711" t="n">
        <v>14430928</v>
      </c>
      <c r="B16711" t="n">
        <v>60254</v>
      </c>
      <c r="C16711" t="inlineStr">
        <is>
          <t>1443/09/28</t>
        </is>
      </c>
    </row>
    <row r="16712">
      <c r="A16712" t="n">
        <v>14430929</v>
      </c>
      <c r="B16712" t="n">
        <v>60255</v>
      </c>
      <c r="C16712" t="inlineStr">
        <is>
          <t>1443/09/29</t>
        </is>
      </c>
    </row>
    <row r="16713">
      <c r="A16713" t="n">
        <v>14430930</v>
      </c>
      <c r="B16713" t="n">
        <v>60256</v>
      </c>
      <c r="C16713" t="inlineStr">
        <is>
          <t>1443/09/30</t>
        </is>
      </c>
    </row>
    <row r="16714">
      <c r="A16714" t="n">
        <v>14431001</v>
      </c>
      <c r="B16714" t="n">
        <v>60257</v>
      </c>
      <c r="C16714" t="inlineStr">
        <is>
          <t>1443/10/01</t>
        </is>
      </c>
    </row>
    <row r="16715">
      <c r="A16715" t="n">
        <v>14431002</v>
      </c>
      <c r="B16715" t="n">
        <v>60258</v>
      </c>
      <c r="C16715" t="inlineStr">
        <is>
          <t>1443/10/02</t>
        </is>
      </c>
    </row>
    <row r="16716">
      <c r="A16716" t="n">
        <v>14431003</v>
      </c>
      <c r="B16716" t="n">
        <v>60259</v>
      </c>
      <c r="C16716" t="inlineStr">
        <is>
          <t>1443/10/03</t>
        </is>
      </c>
    </row>
    <row r="16717">
      <c r="A16717" t="n">
        <v>14431004</v>
      </c>
      <c r="B16717" t="n">
        <v>60260</v>
      </c>
      <c r="C16717" t="inlineStr">
        <is>
          <t>1443/10/04</t>
        </is>
      </c>
    </row>
    <row r="16718">
      <c r="A16718" t="n">
        <v>14431005</v>
      </c>
      <c r="B16718" t="n">
        <v>60261</v>
      </c>
      <c r="C16718" t="inlineStr">
        <is>
          <t>1443/10/05</t>
        </is>
      </c>
    </row>
    <row r="16719">
      <c r="A16719" t="n">
        <v>14431006</v>
      </c>
      <c r="B16719" t="n">
        <v>60262</v>
      </c>
      <c r="C16719" t="inlineStr">
        <is>
          <t>1443/10/06</t>
        </is>
      </c>
    </row>
    <row r="16720">
      <c r="A16720" t="n">
        <v>14431007</v>
      </c>
      <c r="B16720" t="n">
        <v>60263</v>
      </c>
      <c r="C16720" t="inlineStr">
        <is>
          <t>1443/10/07</t>
        </is>
      </c>
    </row>
    <row r="16721">
      <c r="A16721" t="n">
        <v>14431008</v>
      </c>
      <c r="B16721" t="n">
        <v>60264</v>
      </c>
      <c r="C16721" t="inlineStr">
        <is>
          <t>1443/10/08</t>
        </is>
      </c>
    </row>
    <row r="16722">
      <c r="A16722" t="n">
        <v>14431009</v>
      </c>
      <c r="B16722" t="n">
        <v>60265</v>
      </c>
      <c r="C16722" t="inlineStr">
        <is>
          <t>1443/10/09</t>
        </is>
      </c>
    </row>
    <row r="16723">
      <c r="A16723" t="n">
        <v>14431010</v>
      </c>
      <c r="B16723" t="n">
        <v>60266</v>
      </c>
      <c r="C16723" t="inlineStr">
        <is>
          <t>1443/10/10</t>
        </is>
      </c>
    </row>
    <row r="16724">
      <c r="A16724" t="n">
        <v>14431011</v>
      </c>
      <c r="B16724" t="n">
        <v>60267</v>
      </c>
      <c r="C16724" t="inlineStr">
        <is>
          <t>1443/10/11</t>
        </is>
      </c>
    </row>
    <row r="16725">
      <c r="A16725" t="n">
        <v>14431012</v>
      </c>
      <c r="B16725" t="n">
        <v>60268</v>
      </c>
      <c r="C16725" t="inlineStr">
        <is>
          <t>1443/10/12</t>
        </is>
      </c>
    </row>
    <row r="16726">
      <c r="A16726" t="n">
        <v>14431013</v>
      </c>
      <c r="B16726" t="n">
        <v>60269</v>
      </c>
      <c r="C16726" t="inlineStr">
        <is>
          <t>1443/10/13</t>
        </is>
      </c>
    </row>
    <row r="16727">
      <c r="A16727" t="n">
        <v>14431014</v>
      </c>
      <c r="B16727" t="n">
        <v>60270</v>
      </c>
      <c r="C16727" t="inlineStr">
        <is>
          <t>1443/10/14</t>
        </is>
      </c>
    </row>
    <row r="16728">
      <c r="A16728" t="n">
        <v>14431015</v>
      </c>
      <c r="B16728" t="n">
        <v>60271</v>
      </c>
      <c r="C16728" t="inlineStr">
        <is>
          <t>1443/10/15</t>
        </is>
      </c>
    </row>
    <row r="16729">
      <c r="A16729" t="n">
        <v>14431016</v>
      </c>
      <c r="B16729" t="n">
        <v>60272</v>
      </c>
      <c r="C16729" t="inlineStr">
        <is>
          <t>1443/10/16</t>
        </is>
      </c>
    </row>
    <row r="16730">
      <c r="A16730" t="n">
        <v>14431017</v>
      </c>
      <c r="B16730" t="n">
        <v>60273</v>
      </c>
      <c r="C16730" t="inlineStr">
        <is>
          <t>1443/10/17</t>
        </is>
      </c>
    </row>
    <row r="16731">
      <c r="A16731" t="n">
        <v>14431018</v>
      </c>
      <c r="B16731" t="n">
        <v>60274</v>
      </c>
      <c r="C16731" t="inlineStr">
        <is>
          <t>1443/10/18</t>
        </is>
      </c>
    </row>
    <row r="16732">
      <c r="A16732" t="n">
        <v>14431019</v>
      </c>
      <c r="B16732" t="n">
        <v>60275</v>
      </c>
      <c r="C16732" t="inlineStr">
        <is>
          <t>1443/10/19</t>
        </is>
      </c>
    </row>
    <row r="16733">
      <c r="A16733" t="n">
        <v>14431020</v>
      </c>
      <c r="B16733" t="n">
        <v>60276</v>
      </c>
      <c r="C16733" t="inlineStr">
        <is>
          <t>1443/10/20</t>
        </is>
      </c>
    </row>
    <row r="16734">
      <c r="A16734" t="n">
        <v>14431021</v>
      </c>
      <c r="B16734" t="n">
        <v>60277</v>
      </c>
      <c r="C16734" t="inlineStr">
        <is>
          <t>1443/10/21</t>
        </is>
      </c>
    </row>
    <row r="16735">
      <c r="A16735" t="n">
        <v>14431022</v>
      </c>
      <c r="B16735" t="n">
        <v>60278</v>
      </c>
      <c r="C16735" t="inlineStr">
        <is>
          <t>1443/10/22</t>
        </is>
      </c>
    </row>
    <row r="16736">
      <c r="A16736" t="n">
        <v>14431023</v>
      </c>
      <c r="B16736" t="n">
        <v>60279</v>
      </c>
      <c r="C16736" t="inlineStr">
        <is>
          <t>1443/10/23</t>
        </is>
      </c>
    </row>
    <row r="16737">
      <c r="A16737" t="n">
        <v>14431024</v>
      </c>
      <c r="B16737" t="n">
        <v>60280</v>
      </c>
      <c r="C16737" t="inlineStr">
        <is>
          <t>1443/10/24</t>
        </is>
      </c>
    </row>
    <row r="16738">
      <c r="A16738" t="n">
        <v>14431025</v>
      </c>
      <c r="B16738" t="n">
        <v>60281</v>
      </c>
      <c r="C16738" t="inlineStr">
        <is>
          <t>1443/10/25</t>
        </is>
      </c>
    </row>
    <row r="16739">
      <c r="A16739" t="n">
        <v>14431026</v>
      </c>
      <c r="B16739" t="n">
        <v>60282</v>
      </c>
      <c r="C16739" t="inlineStr">
        <is>
          <t>1443/10/26</t>
        </is>
      </c>
    </row>
    <row r="16740">
      <c r="A16740" t="n">
        <v>14431027</v>
      </c>
      <c r="B16740" t="n">
        <v>60283</v>
      </c>
      <c r="C16740" t="inlineStr">
        <is>
          <t>1443/10/27</t>
        </is>
      </c>
    </row>
    <row r="16741">
      <c r="A16741" t="n">
        <v>14431028</v>
      </c>
      <c r="B16741" t="n">
        <v>60284</v>
      </c>
      <c r="C16741" t="inlineStr">
        <is>
          <t>1443/10/28</t>
        </is>
      </c>
    </row>
    <row r="16742">
      <c r="A16742" t="n">
        <v>14431029</v>
      </c>
      <c r="B16742" t="n">
        <v>60285</v>
      </c>
      <c r="C16742" t="inlineStr">
        <is>
          <t>1443/10/29</t>
        </is>
      </c>
    </row>
    <row r="16743">
      <c r="A16743" t="n">
        <v>14431030</v>
      </c>
      <c r="B16743" t="n">
        <v>60286</v>
      </c>
      <c r="C16743" t="inlineStr">
        <is>
          <t>1443/10/30</t>
        </is>
      </c>
    </row>
    <row r="16744">
      <c r="A16744" t="n">
        <v>14431101</v>
      </c>
      <c r="B16744" t="n">
        <v>60287</v>
      </c>
      <c r="C16744" t="inlineStr">
        <is>
          <t>1443/11/01</t>
        </is>
      </c>
    </row>
    <row r="16745">
      <c r="A16745" t="n">
        <v>14431102</v>
      </c>
      <c r="B16745" t="n">
        <v>60288</v>
      </c>
      <c r="C16745" t="inlineStr">
        <is>
          <t>1443/11/02</t>
        </is>
      </c>
    </row>
    <row r="16746">
      <c r="A16746" t="n">
        <v>14431103</v>
      </c>
      <c r="B16746" t="n">
        <v>60289</v>
      </c>
      <c r="C16746" t="inlineStr">
        <is>
          <t>1443/11/03</t>
        </is>
      </c>
    </row>
    <row r="16747">
      <c r="A16747" t="n">
        <v>14431104</v>
      </c>
      <c r="B16747" t="n">
        <v>60290</v>
      </c>
      <c r="C16747" t="inlineStr">
        <is>
          <t>1443/11/04</t>
        </is>
      </c>
    </row>
    <row r="16748">
      <c r="A16748" t="n">
        <v>14431105</v>
      </c>
      <c r="B16748" t="n">
        <v>60291</v>
      </c>
      <c r="C16748" t="inlineStr">
        <is>
          <t>1443/11/05</t>
        </is>
      </c>
    </row>
    <row r="16749">
      <c r="A16749" t="n">
        <v>14431106</v>
      </c>
      <c r="B16749" t="n">
        <v>60292</v>
      </c>
      <c r="C16749" t="inlineStr">
        <is>
          <t>1443/11/06</t>
        </is>
      </c>
    </row>
    <row r="16750">
      <c r="A16750" t="n">
        <v>14431107</v>
      </c>
      <c r="B16750" t="n">
        <v>60293</v>
      </c>
      <c r="C16750" t="inlineStr">
        <is>
          <t>1443/11/07</t>
        </is>
      </c>
    </row>
    <row r="16751">
      <c r="A16751" t="n">
        <v>14431108</v>
      </c>
      <c r="B16751" t="n">
        <v>60294</v>
      </c>
      <c r="C16751" t="inlineStr">
        <is>
          <t>1443/11/08</t>
        </is>
      </c>
    </row>
    <row r="16752">
      <c r="A16752" t="n">
        <v>14431109</v>
      </c>
      <c r="B16752" t="n">
        <v>60295</v>
      </c>
      <c r="C16752" t="inlineStr">
        <is>
          <t>1443/11/09</t>
        </is>
      </c>
    </row>
    <row r="16753">
      <c r="A16753" t="n">
        <v>14431110</v>
      </c>
      <c r="B16753" t="n">
        <v>60296</v>
      </c>
      <c r="C16753" t="inlineStr">
        <is>
          <t>1443/11/10</t>
        </is>
      </c>
    </row>
    <row r="16754">
      <c r="A16754" t="n">
        <v>14431111</v>
      </c>
      <c r="B16754" t="n">
        <v>60297</v>
      </c>
      <c r="C16754" t="inlineStr">
        <is>
          <t>1443/11/11</t>
        </is>
      </c>
    </row>
    <row r="16755">
      <c r="A16755" t="n">
        <v>14431112</v>
      </c>
      <c r="B16755" t="n">
        <v>60298</v>
      </c>
      <c r="C16755" t="inlineStr">
        <is>
          <t>1443/11/12</t>
        </is>
      </c>
    </row>
    <row r="16756">
      <c r="A16756" t="n">
        <v>14431113</v>
      </c>
      <c r="B16756" t="n">
        <v>60299</v>
      </c>
      <c r="C16756" t="inlineStr">
        <is>
          <t>1443/11/13</t>
        </is>
      </c>
    </row>
    <row r="16757">
      <c r="A16757" t="n">
        <v>14431114</v>
      </c>
      <c r="B16757" t="n">
        <v>60300</v>
      </c>
      <c r="C16757" t="inlineStr">
        <is>
          <t>1443/11/14</t>
        </is>
      </c>
    </row>
    <row r="16758">
      <c r="A16758" t="n">
        <v>14431115</v>
      </c>
      <c r="B16758" t="n">
        <v>60301</v>
      </c>
      <c r="C16758" t="inlineStr">
        <is>
          <t>1443/11/15</t>
        </is>
      </c>
    </row>
    <row r="16759">
      <c r="A16759" t="n">
        <v>14431116</v>
      </c>
      <c r="B16759" t="n">
        <v>60302</v>
      </c>
      <c r="C16759" t="inlineStr">
        <is>
          <t>1443/11/16</t>
        </is>
      </c>
    </row>
    <row r="16760">
      <c r="A16760" t="n">
        <v>14431117</v>
      </c>
      <c r="B16760" t="n">
        <v>60303</v>
      </c>
      <c r="C16760" t="inlineStr">
        <is>
          <t>1443/11/17</t>
        </is>
      </c>
    </row>
    <row r="16761">
      <c r="A16761" t="n">
        <v>14431118</v>
      </c>
      <c r="B16761" t="n">
        <v>60304</v>
      </c>
      <c r="C16761" t="inlineStr">
        <is>
          <t>1443/11/18</t>
        </is>
      </c>
    </row>
    <row r="16762">
      <c r="A16762" t="n">
        <v>14431119</v>
      </c>
      <c r="B16762" t="n">
        <v>60305</v>
      </c>
      <c r="C16762" t="inlineStr">
        <is>
          <t>1443/11/19</t>
        </is>
      </c>
    </row>
    <row r="16763">
      <c r="A16763" t="n">
        <v>14431120</v>
      </c>
      <c r="B16763" t="n">
        <v>60306</v>
      </c>
      <c r="C16763" t="inlineStr">
        <is>
          <t>1443/11/20</t>
        </is>
      </c>
    </row>
    <row r="16764">
      <c r="A16764" t="n">
        <v>14431121</v>
      </c>
      <c r="B16764" t="n">
        <v>60307</v>
      </c>
      <c r="C16764" t="inlineStr">
        <is>
          <t>1443/11/21</t>
        </is>
      </c>
    </row>
    <row r="16765">
      <c r="A16765" t="n">
        <v>14431122</v>
      </c>
      <c r="B16765" t="n">
        <v>60308</v>
      </c>
      <c r="C16765" t="inlineStr">
        <is>
          <t>1443/11/22</t>
        </is>
      </c>
    </row>
    <row r="16766">
      <c r="A16766" t="n">
        <v>14431123</v>
      </c>
      <c r="B16766" t="n">
        <v>60309</v>
      </c>
      <c r="C16766" t="inlineStr">
        <is>
          <t>1443/11/23</t>
        </is>
      </c>
    </row>
    <row r="16767">
      <c r="A16767" t="n">
        <v>14431124</v>
      </c>
      <c r="B16767" t="n">
        <v>60310</v>
      </c>
      <c r="C16767" t="inlineStr">
        <is>
          <t>1443/11/24</t>
        </is>
      </c>
    </row>
    <row r="16768">
      <c r="A16768" t="n">
        <v>14431125</v>
      </c>
      <c r="B16768" t="n">
        <v>60311</v>
      </c>
      <c r="C16768" t="inlineStr">
        <is>
          <t>1443/11/25</t>
        </is>
      </c>
    </row>
    <row r="16769">
      <c r="A16769" t="n">
        <v>14431126</v>
      </c>
      <c r="B16769" t="n">
        <v>60312</v>
      </c>
      <c r="C16769" t="inlineStr">
        <is>
          <t>1443/11/26</t>
        </is>
      </c>
    </row>
    <row r="16770">
      <c r="A16770" t="n">
        <v>14431127</v>
      </c>
      <c r="B16770" t="n">
        <v>60313</v>
      </c>
      <c r="C16770" t="inlineStr">
        <is>
          <t>1443/11/27</t>
        </is>
      </c>
    </row>
    <row r="16771">
      <c r="A16771" t="n">
        <v>14431128</v>
      </c>
      <c r="B16771" t="n">
        <v>60314</v>
      </c>
      <c r="C16771" t="inlineStr">
        <is>
          <t>1443/11/28</t>
        </is>
      </c>
    </row>
    <row r="16772">
      <c r="A16772" t="n">
        <v>14431129</v>
      </c>
      <c r="B16772" t="n">
        <v>60315</v>
      </c>
      <c r="C16772" t="inlineStr">
        <is>
          <t>1443/11/29</t>
        </is>
      </c>
    </row>
    <row r="16773">
      <c r="A16773" t="n">
        <v>14431130</v>
      </c>
      <c r="B16773" t="n">
        <v>60316</v>
      </c>
      <c r="C16773" t="inlineStr">
        <is>
          <t>1443/11/30</t>
        </is>
      </c>
    </row>
    <row r="16774">
      <c r="A16774" t="n">
        <v>14431201</v>
      </c>
      <c r="B16774" t="n">
        <v>60317</v>
      </c>
      <c r="C16774" t="inlineStr">
        <is>
          <t>1443/12/01</t>
        </is>
      </c>
    </row>
    <row r="16775">
      <c r="A16775" t="n">
        <v>14431202</v>
      </c>
      <c r="B16775" t="n">
        <v>60318</v>
      </c>
      <c r="C16775" t="inlineStr">
        <is>
          <t>1443/12/02</t>
        </is>
      </c>
    </row>
    <row r="16776">
      <c r="A16776" t="n">
        <v>14431203</v>
      </c>
      <c r="B16776" t="n">
        <v>60319</v>
      </c>
      <c r="C16776" t="inlineStr">
        <is>
          <t>1443/12/03</t>
        </is>
      </c>
    </row>
    <row r="16777">
      <c r="A16777" t="n">
        <v>14431204</v>
      </c>
      <c r="B16777" t="n">
        <v>60320</v>
      </c>
      <c r="C16777" t="inlineStr">
        <is>
          <t>1443/12/04</t>
        </is>
      </c>
    </row>
    <row r="16778">
      <c r="A16778" t="n">
        <v>14431205</v>
      </c>
      <c r="B16778" t="n">
        <v>60321</v>
      </c>
      <c r="C16778" t="inlineStr">
        <is>
          <t>1443/12/05</t>
        </is>
      </c>
    </row>
    <row r="16779">
      <c r="A16779" t="n">
        <v>14431206</v>
      </c>
      <c r="B16779" t="n">
        <v>60322</v>
      </c>
      <c r="C16779" t="inlineStr">
        <is>
          <t>1443/12/06</t>
        </is>
      </c>
    </row>
    <row r="16780">
      <c r="A16780" t="n">
        <v>14431207</v>
      </c>
      <c r="B16780" t="n">
        <v>60323</v>
      </c>
      <c r="C16780" t="inlineStr">
        <is>
          <t>1443/12/07</t>
        </is>
      </c>
    </row>
    <row r="16781">
      <c r="A16781" t="n">
        <v>14431208</v>
      </c>
      <c r="B16781" t="n">
        <v>60324</v>
      </c>
      <c r="C16781" t="inlineStr">
        <is>
          <t>1443/12/08</t>
        </is>
      </c>
    </row>
    <row r="16782">
      <c r="A16782" t="n">
        <v>14431209</v>
      </c>
      <c r="B16782" t="n">
        <v>60325</v>
      </c>
      <c r="C16782" t="inlineStr">
        <is>
          <t>1443/12/09</t>
        </is>
      </c>
    </row>
    <row r="16783">
      <c r="A16783" t="n">
        <v>14431210</v>
      </c>
      <c r="B16783" t="n">
        <v>60326</v>
      </c>
      <c r="C16783" t="inlineStr">
        <is>
          <t>1443/12/10</t>
        </is>
      </c>
    </row>
    <row r="16784">
      <c r="A16784" t="n">
        <v>14431211</v>
      </c>
      <c r="B16784" t="n">
        <v>60327</v>
      </c>
      <c r="C16784" t="inlineStr">
        <is>
          <t>1443/12/11</t>
        </is>
      </c>
    </row>
    <row r="16785">
      <c r="A16785" t="n">
        <v>14431212</v>
      </c>
      <c r="B16785" t="n">
        <v>60328</v>
      </c>
      <c r="C16785" t="inlineStr">
        <is>
          <t>1443/12/12</t>
        </is>
      </c>
    </row>
    <row r="16786">
      <c r="A16786" t="n">
        <v>14431213</v>
      </c>
      <c r="B16786" t="n">
        <v>60329</v>
      </c>
      <c r="C16786" t="inlineStr">
        <is>
          <t>1443/12/13</t>
        </is>
      </c>
    </row>
    <row r="16787">
      <c r="A16787" t="n">
        <v>14431214</v>
      </c>
      <c r="B16787" t="n">
        <v>60330</v>
      </c>
      <c r="C16787" t="inlineStr">
        <is>
          <t>1443/12/14</t>
        </is>
      </c>
    </row>
    <row r="16788">
      <c r="A16788" t="n">
        <v>14431215</v>
      </c>
      <c r="B16788" t="n">
        <v>60331</v>
      </c>
      <c r="C16788" t="inlineStr">
        <is>
          <t>1443/12/15</t>
        </is>
      </c>
    </row>
    <row r="16789">
      <c r="A16789" t="n">
        <v>14431216</v>
      </c>
      <c r="B16789" t="n">
        <v>60332</v>
      </c>
      <c r="C16789" t="inlineStr">
        <is>
          <t>1443/12/16</t>
        </is>
      </c>
    </row>
    <row r="16790">
      <c r="A16790" t="n">
        <v>14431217</v>
      </c>
      <c r="B16790" t="n">
        <v>60333</v>
      </c>
      <c r="C16790" t="inlineStr">
        <is>
          <t>1443/12/17</t>
        </is>
      </c>
    </row>
    <row r="16791">
      <c r="A16791" t="n">
        <v>14431218</v>
      </c>
      <c r="B16791" t="n">
        <v>60334</v>
      </c>
      <c r="C16791" t="inlineStr">
        <is>
          <t>1443/12/18</t>
        </is>
      </c>
    </row>
    <row r="16792">
      <c r="A16792" t="n">
        <v>14431219</v>
      </c>
      <c r="B16792" t="n">
        <v>60335</v>
      </c>
      <c r="C16792" t="inlineStr">
        <is>
          <t>1443/12/19</t>
        </is>
      </c>
    </row>
    <row r="16793">
      <c r="A16793" t="n">
        <v>14431220</v>
      </c>
      <c r="B16793" t="n">
        <v>60336</v>
      </c>
      <c r="C16793" t="inlineStr">
        <is>
          <t>1443/12/20</t>
        </is>
      </c>
    </row>
    <row r="16794">
      <c r="A16794" t="n">
        <v>14431221</v>
      </c>
      <c r="B16794" t="n">
        <v>60337</v>
      </c>
      <c r="C16794" t="inlineStr">
        <is>
          <t>1443/12/21</t>
        </is>
      </c>
    </row>
    <row r="16795">
      <c r="A16795" t="n">
        <v>14431222</v>
      </c>
      <c r="B16795" t="n">
        <v>60338</v>
      </c>
      <c r="C16795" t="inlineStr">
        <is>
          <t>1443/12/22</t>
        </is>
      </c>
    </row>
    <row r="16796">
      <c r="A16796" t="n">
        <v>14431223</v>
      </c>
      <c r="B16796" t="n">
        <v>60339</v>
      </c>
      <c r="C16796" t="inlineStr">
        <is>
          <t>1443/12/23</t>
        </is>
      </c>
    </row>
    <row r="16797">
      <c r="A16797" t="n">
        <v>14431224</v>
      </c>
      <c r="B16797" t="n">
        <v>60340</v>
      </c>
      <c r="C16797" t="inlineStr">
        <is>
          <t>1443/12/24</t>
        </is>
      </c>
    </row>
    <row r="16798">
      <c r="A16798" t="n">
        <v>14431225</v>
      </c>
      <c r="B16798" t="n">
        <v>60341</v>
      </c>
      <c r="C16798" t="inlineStr">
        <is>
          <t>1443/12/25</t>
        </is>
      </c>
    </row>
    <row r="16799">
      <c r="A16799" t="n">
        <v>14431226</v>
      </c>
      <c r="B16799" t="n">
        <v>60342</v>
      </c>
      <c r="C16799" t="inlineStr">
        <is>
          <t>1443/12/26</t>
        </is>
      </c>
    </row>
    <row r="16800">
      <c r="A16800" t="n">
        <v>14431227</v>
      </c>
      <c r="B16800" t="n">
        <v>60343</v>
      </c>
      <c r="C16800" t="inlineStr">
        <is>
          <t>1443/12/27</t>
        </is>
      </c>
    </row>
    <row r="16801">
      <c r="A16801" t="n">
        <v>14431228</v>
      </c>
      <c r="B16801" t="n">
        <v>60344</v>
      </c>
      <c r="C16801" t="inlineStr">
        <is>
          <t>1443/12/28</t>
        </is>
      </c>
    </row>
    <row r="16802">
      <c r="A16802" t="n">
        <v>14431229</v>
      </c>
      <c r="B16802" t="n">
        <v>60345</v>
      </c>
      <c r="C16802" t="inlineStr">
        <is>
          <t>1443/12/29</t>
        </is>
      </c>
    </row>
    <row r="16803">
      <c r="A16803" t="n">
        <v>14440101</v>
      </c>
      <c r="B16803" t="n">
        <v>60346</v>
      </c>
      <c r="C16803" t="inlineStr">
        <is>
          <t>1444/01/01</t>
        </is>
      </c>
    </row>
    <row r="16804">
      <c r="A16804" t="n">
        <v>14440102</v>
      </c>
      <c r="B16804" t="n">
        <v>60347</v>
      </c>
      <c r="C16804" t="inlineStr">
        <is>
          <t>1444/01/02</t>
        </is>
      </c>
    </row>
    <row r="16805">
      <c r="A16805" t="n">
        <v>14440103</v>
      </c>
      <c r="B16805" t="n">
        <v>60348</v>
      </c>
      <c r="C16805" t="inlineStr">
        <is>
          <t>1444/01/03</t>
        </is>
      </c>
    </row>
    <row r="16806">
      <c r="A16806" t="n">
        <v>14440104</v>
      </c>
      <c r="B16806" t="n">
        <v>60349</v>
      </c>
      <c r="C16806" t="inlineStr">
        <is>
          <t>1444/01/04</t>
        </is>
      </c>
    </row>
    <row r="16807">
      <c r="A16807" t="n">
        <v>14440105</v>
      </c>
      <c r="B16807" t="n">
        <v>60350</v>
      </c>
      <c r="C16807" t="inlineStr">
        <is>
          <t>1444/01/05</t>
        </is>
      </c>
    </row>
    <row r="16808">
      <c r="A16808" t="n">
        <v>14440106</v>
      </c>
      <c r="B16808" t="n">
        <v>60351</v>
      </c>
      <c r="C16808" t="inlineStr">
        <is>
          <t>1444/01/06</t>
        </is>
      </c>
    </row>
    <row r="16809">
      <c r="A16809" t="n">
        <v>14440107</v>
      </c>
      <c r="B16809" t="n">
        <v>60352</v>
      </c>
      <c r="C16809" t="inlineStr">
        <is>
          <t>1444/01/07</t>
        </is>
      </c>
    </row>
    <row r="16810">
      <c r="A16810" t="n">
        <v>14440108</v>
      </c>
      <c r="B16810" t="n">
        <v>60353</v>
      </c>
      <c r="C16810" t="inlineStr">
        <is>
          <t>1444/01/08</t>
        </is>
      </c>
    </row>
    <row r="16811">
      <c r="A16811" t="n">
        <v>14440109</v>
      </c>
      <c r="B16811" t="n">
        <v>60354</v>
      </c>
      <c r="C16811" t="inlineStr">
        <is>
          <t>1444/01/09</t>
        </is>
      </c>
    </row>
    <row r="16812">
      <c r="A16812" t="n">
        <v>14440110</v>
      </c>
      <c r="B16812" t="n">
        <v>60355</v>
      </c>
      <c r="C16812" t="inlineStr">
        <is>
          <t>1444/01/10</t>
        </is>
      </c>
    </row>
    <row r="16813">
      <c r="A16813" t="n">
        <v>14440111</v>
      </c>
      <c r="B16813" t="n">
        <v>60356</v>
      </c>
      <c r="C16813" t="inlineStr">
        <is>
          <t>1444/01/11</t>
        </is>
      </c>
    </row>
    <row r="16814">
      <c r="A16814" t="n">
        <v>14440112</v>
      </c>
      <c r="B16814" t="n">
        <v>60357</v>
      </c>
      <c r="C16814" t="inlineStr">
        <is>
          <t>1444/01/12</t>
        </is>
      </c>
    </row>
    <row r="16815">
      <c r="A16815" t="n">
        <v>14440113</v>
      </c>
      <c r="B16815" t="n">
        <v>60358</v>
      </c>
      <c r="C16815" t="inlineStr">
        <is>
          <t>1444/01/13</t>
        </is>
      </c>
    </row>
    <row r="16816">
      <c r="A16816" t="n">
        <v>14440114</v>
      </c>
      <c r="B16816" t="n">
        <v>60359</v>
      </c>
      <c r="C16816" t="inlineStr">
        <is>
          <t>1444/01/14</t>
        </is>
      </c>
    </row>
    <row r="16817">
      <c r="A16817" t="n">
        <v>14440115</v>
      </c>
      <c r="B16817" t="n">
        <v>60360</v>
      </c>
      <c r="C16817" t="inlineStr">
        <is>
          <t>1444/01/15</t>
        </is>
      </c>
    </row>
    <row r="16818">
      <c r="A16818" t="n">
        <v>14440116</v>
      </c>
      <c r="B16818" t="n">
        <v>60361</v>
      </c>
      <c r="C16818" t="inlineStr">
        <is>
          <t>1444/01/16</t>
        </is>
      </c>
    </row>
    <row r="16819">
      <c r="A16819" t="n">
        <v>14440117</v>
      </c>
      <c r="B16819" t="n">
        <v>60362</v>
      </c>
      <c r="C16819" t="inlineStr">
        <is>
          <t>1444/01/17</t>
        </is>
      </c>
    </row>
    <row r="16820">
      <c r="A16820" t="n">
        <v>14440118</v>
      </c>
      <c r="B16820" t="n">
        <v>60363</v>
      </c>
      <c r="C16820" t="inlineStr">
        <is>
          <t>1444/01/18</t>
        </is>
      </c>
    </row>
    <row r="16821">
      <c r="A16821" t="n">
        <v>14440119</v>
      </c>
      <c r="B16821" t="n">
        <v>60364</v>
      </c>
      <c r="C16821" t="inlineStr">
        <is>
          <t>1444/01/19</t>
        </is>
      </c>
    </row>
    <row r="16822">
      <c r="A16822" t="n">
        <v>14440120</v>
      </c>
      <c r="B16822" t="n">
        <v>60365</v>
      </c>
      <c r="C16822" t="inlineStr">
        <is>
          <t>1444/01/20</t>
        </is>
      </c>
    </row>
    <row r="16823">
      <c r="A16823" t="n">
        <v>14440121</v>
      </c>
      <c r="B16823" t="n">
        <v>60366</v>
      </c>
      <c r="C16823" t="inlineStr">
        <is>
          <t>1444/01/21</t>
        </is>
      </c>
    </row>
    <row r="16824">
      <c r="A16824" t="n">
        <v>14440122</v>
      </c>
      <c r="B16824" t="n">
        <v>60367</v>
      </c>
      <c r="C16824" t="inlineStr">
        <is>
          <t>1444/01/22</t>
        </is>
      </c>
    </row>
    <row r="16825">
      <c r="A16825" t="n">
        <v>14440123</v>
      </c>
      <c r="B16825" t="n">
        <v>60368</v>
      </c>
      <c r="C16825" t="inlineStr">
        <is>
          <t>1444/01/23</t>
        </is>
      </c>
    </row>
    <row r="16826">
      <c r="A16826" t="n">
        <v>14440124</v>
      </c>
      <c r="B16826" t="n">
        <v>60369</v>
      </c>
      <c r="C16826" t="inlineStr">
        <is>
          <t>1444/01/24</t>
        </is>
      </c>
    </row>
    <row r="16827">
      <c r="A16827" t="n">
        <v>14440125</v>
      </c>
      <c r="B16827" t="n">
        <v>60370</v>
      </c>
      <c r="C16827" t="inlineStr">
        <is>
          <t>1444/01/25</t>
        </is>
      </c>
    </row>
    <row r="16828">
      <c r="A16828" t="n">
        <v>14440126</v>
      </c>
      <c r="B16828" t="n">
        <v>60371</v>
      </c>
      <c r="C16828" t="inlineStr">
        <is>
          <t>1444/01/26</t>
        </is>
      </c>
    </row>
    <row r="16829">
      <c r="A16829" t="n">
        <v>14440127</v>
      </c>
      <c r="B16829" t="n">
        <v>60372</v>
      </c>
      <c r="C16829" t="inlineStr">
        <is>
          <t>1444/01/27</t>
        </is>
      </c>
    </row>
    <row r="16830">
      <c r="A16830" t="n">
        <v>14440128</v>
      </c>
      <c r="B16830" t="n">
        <v>60373</v>
      </c>
      <c r="C16830" t="inlineStr">
        <is>
          <t>1444/01/28</t>
        </is>
      </c>
    </row>
    <row r="16831">
      <c r="A16831" t="n">
        <v>14440129</v>
      </c>
      <c r="B16831" t="n">
        <v>60374</v>
      </c>
      <c r="C16831" t="inlineStr">
        <is>
          <t>1444/01/29</t>
        </is>
      </c>
    </row>
    <row r="16832">
      <c r="A16832" t="n">
        <v>14440130</v>
      </c>
      <c r="B16832" t="n">
        <v>60375</v>
      </c>
      <c r="C16832" t="inlineStr">
        <is>
          <t>1444/01/30</t>
        </is>
      </c>
    </row>
    <row r="16833">
      <c r="A16833" t="n">
        <v>14440131</v>
      </c>
      <c r="B16833" t="n">
        <v>60376</v>
      </c>
      <c r="C16833" t="inlineStr">
        <is>
          <t>1444/01/31</t>
        </is>
      </c>
    </row>
    <row r="16834">
      <c r="A16834" t="n">
        <v>14440201</v>
      </c>
      <c r="B16834" t="n">
        <v>60377</v>
      </c>
      <c r="C16834" t="inlineStr">
        <is>
          <t>1444/02/01</t>
        </is>
      </c>
    </row>
    <row r="16835">
      <c r="A16835" t="n">
        <v>14440202</v>
      </c>
      <c r="B16835" t="n">
        <v>60378</v>
      </c>
      <c r="C16835" t="inlineStr">
        <is>
          <t>1444/02/02</t>
        </is>
      </c>
    </row>
    <row r="16836">
      <c r="A16836" t="n">
        <v>14440203</v>
      </c>
      <c r="B16836" t="n">
        <v>60379</v>
      </c>
      <c r="C16836" t="inlineStr">
        <is>
          <t>1444/02/03</t>
        </is>
      </c>
    </row>
    <row r="16837">
      <c r="A16837" t="n">
        <v>14440204</v>
      </c>
      <c r="B16837" t="n">
        <v>60380</v>
      </c>
      <c r="C16837" t="inlineStr">
        <is>
          <t>1444/02/04</t>
        </is>
      </c>
    </row>
    <row r="16838">
      <c r="A16838" t="n">
        <v>14440205</v>
      </c>
      <c r="B16838" t="n">
        <v>60381</v>
      </c>
      <c r="C16838" t="inlineStr">
        <is>
          <t>1444/02/05</t>
        </is>
      </c>
    </row>
    <row r="16839">
      <c r="A16839" t="n">
        <v>14440206</v>
      </c>
      <c r="B16839" t="n">
        <v>60382</v>
      </c>
      <c r="C16839" t="inlineStr">
        <is>
          <t>1444/02/06</t>
        </is>
      </c>
    </row>
    <row r="16840">
      <c r="A16840" t="n">
        <v>14440207</v>
      </c>
      <c r="B16840" t="n">
        <v>60383</v>
      </c>
      <c r="C16840" t="inlineStr">
        <is>
          <t>1444/02/07</t>
        </is>
      </c>
    </row>
    <row r="16841">
      <c r="A16841" t="n">
        <v>14440208</v>
      </c>
      <c r="B16841" t="n">
        <v>60384</v>
      </c>
      <c r="C16841" t="inlineStr">
        <is>
          <t>1444/02/08</t>
        </is>
      </c>
    </row>
    <row r="16842">
      <c r="A16842" t="n">
        <v>14440209</v>
      </c>
      <c r="B16842" t="n">
        <v>60385</v>
      </c>
      <c r="C16842" t="inlineStr">
        <is>
          <t>1444/02/09</t>
        </is>
      </c>
    </row>
    <row r="16843">
      <c r="A16843" t="n">
        <v>14440210</v>
      </c>
      <c r="B16843" t="n">
        <v>60386</v>
      </c>
      <c r="C16843" t="inlineStr">
        <is>
          <t>1444/02/10</t>
        </is>
      </c>
    </row>
    <row r="16844">
      <c r="A16844" t="n">
        <v>14440211</v>
      </c>
      <c r="B16844" t="n">
        <v>60387</v>
      </c>
      <c r="C16844" t="inlineStr">
        <is>
          <t>1444/02/11</t>
        </is>
      </c>
    </row>
    <row r="16845">
      <c r="A16845" t="n">
        <v>14440212</v>
      </c>
      <c r="B16845" t="n">
        <v>60388</v>
      </c>
      <c r="C16845" t="inlineStr">
        <is>
          <t>1444/02/12</t>
        </is>
      </c>
    </row>
    <row r="16846">
      <c r="A16846" t="n">
        <v>14440213</v>
      </c>
      <c r="B16846" t="n">
        <v>60389</v>
      </c>
      <c r="C16846" t="inlineStr">
        <is>
          <t>1444/02/13</t>
        </is>
      </c>
    </row>
    <row r="16847">
      <c r="A16847" t="n">
        <v>14440214</v>
      </c>
      <c r="B16847" t="n">
        <v>60390</v>
      </c>
      <c r="C16847" t="inlineStr">
        <is>
          <t>1444/02/14</t>
        </is>
      </c>
    </row>
    <row r="16848">
      <c r="A16848" t="n">
        <v>14440215</v>
      </c>
      <c r="B16848" t="n">
        <v>60391</v>
      </c>
      <c r="C16848" t="inlineStr">
        <is>
          <t>1444/02/15</t>
        </is>
      </c>
    </row>
    <row r="16849">
      <c r="A16849" t="n">
        <v>14440216</v>
      </c>
      <c r="B16849" t="n">
        <v>60392</v>
      </c>
      <c r="C16849" t="inlineStr">
        <is>
          <t>1444/02/16</t>
        </is>
      </c>
    </row>
    <row r="16850">
      <c r="A16850" t="n">
        <v>14440217</v>
      </c>
      <c r="B16850" t="n">
        <v>60393</v>
      </c>
      <c r="C16850" t="inlineStr">
        <is>
          <t>1444/02/17</t>
        </is>
      </c>
    </row>
    <row r="16851">
      <c r="A16851" t="n">
        <v>14440218</v>
      </c>
      <c r="B16851" t="n">
        <v>60394</v>
      </c>
      <c r="C16851" t="inlineStr">
        <is>
          <t>1444/02/18</t>
        </is>
      </c>
    </row>
    <row r="16852">
      <c r="A16852" t="n">
        <v>14440219</v>
      </c>
      <c r="B16852" t="n">
        <v>60395</v>
      </c>
      <c r="C16852" t="inlineStr">
        <is>
          <t>1444/02/19</t>
        </is>
      </c>
    </row>
    <row r="16853">
      <c r="A16853" t="n">
        <v>14440220</v>
      </c>
      <c r="B16853" t="n">
        <v>60396</v>
      </c>
      <c r="C16853" t="inlineStr">
        <is>
          <t>1444/02/20</t>
        </is>
      </c>
    </row>
    <row r="16854">
      <c r="A16854" t="n">
        <v>14440221</v>
      </c>
      <c r="B16854" t="n">
        <v>60397</v>
      </c>
      <c r="C16854" t="inlineStr">
        <is>
          <t>1444/02/21</t>
        </is>
      </c>
    </row>
    <row r="16855">
      <c r="A16855" t="n">
        <v>14440222</v>
      </c>
      <c r="B16855" t="n">
        <v>60398</v>
      </c>
      <c r="C16855" t="inlineStr">
        <is>
          <t>1444/02/22</t>
        </is>
      </c>
    </row>
    <row r="16856">
      <c r="A16856" t="n">
        <v>14440223</v>
      </c>
      <c r="B16856" t="n">
        <v>60399</v>
      </c>
      <c r="C16856" t="inlineStr">
        <is>
          <t>1444/02/23</t>
        </is>
      </c>
    </row>
    <row r="16857">
      <c r="A16857" t="n">
        <v>14440224</v>
      </c>
      <c r="B16857" t="n">
        <v>60400</v>
      </c>
      <c r="C16857" t="inlineStr">
        <is>
          <t>1444/02/24</t>
        </is>
      </c>
    </row>
    <row r="16858">
      <c r="A16858" t="n">
        <v>14440225</v>
      </c>
      <c r="B16858" t="n">
        <v>60401</v>
      </c>
      <c r="C16858" t="inlineStr">
        <is>
          <t>1444/02/25</t>
        </is>
      </c>
    </row>
    <row r="16859">
      <c r="A16859" t="n">
        <v>14440226</v>
      </c>
      <c r="B16859" t="n">
        <v>60402</v>
      </c>
      <c r="C16859" t="inlineStr">
        <is>
          <t>1444/02/26</t>
        </is>
      </c>
    </row>
    <row r="16860">
      <c r="A16860" t="n">
        <v>14440227</v>
      </c>
      <c r="B16860" t="n">
        <v>60403</v>
      </c>
      <c r="C16860" t="inlineStr">
        <is>
          <t>1444/02/27</t>
        </is>
      </c>
    </row>
    <row r="16861">
      <c r="A16861" t="n">
        <v>14440228</v>
      </c>
      <c r="B16861" t="n">
        <v>60404</v>
      </c>
      <c r="C16861" t="inlineStr">
        <is>
          <t>1444/02/28</t>
        </is>
      </c>
    </row>
    <row r="16862">
      <c r="A16862" t="n">
        <v>14440229</v>
      </c>
      <c r="B16862" t="n">
        <v>60405</v>
      </c>
      <c r="C16862" t="inlineStr">
        <is>
          <t>1444/02/29</t>
        </is>
      </c>
    </row>
    <row r="16863">
      <c r="A16863" t="n">
        <v>14440230</v>
      </c>
      <c r="B16863" t="n">
        <v>60406</v>
      </c>
      <c r="C16863" t="inlineStr">
        <is>
          <t>1444/02/30</t>
        </is>
      </c>
    </row>
    <row r="16864">
      <c r="A16864" t="n">
        <v>14440231</v>
      </c>
      <c r="B16864" t="n">
        <v>60407</v>
      </c>
      <c r="C16864" t="inlineStr">
        <is>
          <t>1444/02/31</t>
        </is>
      </c>
    </row>
    <row r="16865">
      <c r="A16865" t="n">
        <v>14440301</v>
      </c>
      <c r="B16865" t="n">
        <v>60408</v>
      </c>
      <c r="C16865" t="inlineStr">
        <is>
          <t>1444/03/01</t>
        </is>
      </c>
    </row>
    <row r="16866">
      <c r="A16866" t="n">
        <v>14440302</v>
      </c>
      <c r="B16866" t="n">
        <v>60409</v>
      </c>
      <c r="C16866" t="inlineStr">
        <is>
          <t>1444/03/02</t>
        </is>
      </c>
    </row>
    <row r="16867">
      <c r="A16867" t="n">
        <v>14440303</v>
      </c>
      <c r="B16867" t="n">
        <v>60410</v>
      </c>
      <c r="C16867" t="inlineStr">
        <is>
          <t>1444/03/03</t>
        </is>
      </c>
    </row>
    <row r="16868">
      <c r="A16868" t="n">
        <v>14440304</v>
      </c>
      <c r="B16868" t="n">
        <v>60411</v>
      </c>
      <c r="C16868" t="inlineStr">
        <is>
          <t>1444/03/04</t>
        </is>
      </c>
    </row>
    <row r="16869">
      <c r="A16869" t="n">
        <v>14440305</v>
      </c>
      <c r="B16869" t="n">
        <v>60412</v>
      </c>
      <c r="C16869" t="inlineStr">
        <is>
          <t>1444/03/05</t>
        </is>
      </c>
    </row>
    <row r="16870">
      <c r="A16870" t="n">
        <v>14440306</v>
      </c>
      <c r="B16870" t="n">
        <v>60413</v>
      </c>
      <c r="C16870" t="inlineStr">
        <is>
          <t>1444/03/06</t>
        </is>
      </c>
    </row>
    <row r="16871">
      <c r="A16871" t="n">
        <v>14440307</v>
      </c>
      <c r="B16871" t="n">
        <v>60414</v>
      </c>
      <c r="C16871" t="inlineStr">
        <is>
          <t>1444/03/07</t>
        </is>
      </c>
    </row>
    <row r="16872">
      <c r="A16872" t="n">
        <v>14440308</v>
      </c>
      <c r="B16872" t="n">
        <v>60415</v>
      </c>
      <c r="C16872" t="inlineStr">
        <is>
          <t>1444/03/08</t>
        </is>
      </c>
    </row>
    <row r="16873">
      <c r="A16873" t="n">
        <v>14440309</v>
      </c>
      <c r="B16873" t="n">
        <v>60416</v>
      </c>
      <c r="C16873" t="inlineStr">
        <is>
          <t>1444/03/09</t>
        </is>
      </c>
    </row>
    <row r="16874">
      <c r="A16874" t="n">
        <v>14440310</v>
      </c>
      <c r="B16874" t="n">
        <v>60417</v>
      </c>
      <c r="C16874" t="inlineStr">
        <is>
          <t>1444/03/10</t>
        </is>
      </c>
    </row>
    <row r="16875">
      <c r="A16875" t="n">
        <v>14440311</v>
      </c>
      <c r="B16875" t="n">
        <v>60418</v>
      </c>
      <c r="C16875" t="inlineStr">
        <is>
          <t>1444/03/11</t>
        </is>
      </c>
    </row>
    <row r="16876">
      <c r="A16876" t="n">
        <v>14440312</v>
      </c>
      <c r="B16876" t="n">
        <v>60419</v>
      </c>
      <c r="C16876" t="inlineStr">
        <is>
          <t>1444/03/12</t>
        </is>
      </c>
    </row>
    <row r="16877">
      <c r="A16877" t="n">
        <v>14440313</v>
      </c>
      <c r="B16877" t="n">
        <v>60420</v>
      </c>
      <c r="C16877" t="inlineStr">
        <is>
          <t>1444/03/13</t>
        </is>
      </c>
    </row>
    <row r="16878">
      <c r="A16878" t="n">
        <v>14440314</v>
      </c>
      <c r="B16878" t="n">
        <v>60421</v>
      </c>
      <c r="C16878" t="inlineStr">
        <is>
          <t>1444/03/14</t>
        </is>
      </c>
    </row>
    <row r="16879">
      <c r="A16879" t="n">
        <v>14440315</v>
      </c>
      <c r="B16879" t="n">
        <v>60422</v>
      </c>
      <c r="C16879" t="inlineStr">
        <is>
          <t>1444/03/15</t>
        </is>
      </c>
    </row>
    <row r="16880">
      <c r="A16880" t="n">
        <v>14440316</v>
      </c>
      <c r="B16880" t="n">
        <v>60423</v>
      </c>
      <c r="C16880" t="inlineStr">
        <is>
          <t>1444/03/16</t>
        </is>
      </c>
    </row>
    <row r="16881">
      <c r="A16881" t="n">
        <v>14440317</v>
      </c>
      <c r="B16881" t="n">
        <v>60424</v>
      </c>
      <c r="C16881" t="inlineStr">
        <is>
          <t>1444/03/17</t>
        </is>
      </c>
    </row>
    <row r="16882">
      <c r="A16882" t="n">
        <v>14440318</v>
      </c>
      <c r="B16882" t="n">
        <v>60425</v>
      </c>
      <c r="C16882" t="inlineStr">
        <is>
          <t>1444/03/18</t>
        </is>
      </c>
    </row>
    <row r="16883">
      <c r="A16883" t="n">
        <v>14440319</v>
      </c>
      <c r="B16883" t="n">
        <v>60426</v>
      </c>
      <c r="C16883" t="inlineStr">
        <is>
          <t>1444/03/19</t>
        </is>
      </c>
    </row>
    <row r="16884">
      <c r="A16884" t="n">
        <v>14440320</v>
      </c>
      <c r="B16884" t="n">
        <v>60427</v>
      </c>
      <c r="C16884" t="inlineStr">
        <is>
          <t>1444/03/20</t>
        </is>
      </c>
    </row>
    <row r="16885">
      <c r="A16885" t="n">
        <v>14440321</v>
      </c>
      <c r="B16885" t="n">
        <v>60428</v>
      </c>
      <c r="C16885" t="inlineStr">
        <is>
          <t>1444/03/21</t>
        </is>
      </c>
    </row>
    <row r="16886">
      <c r="A16886" t="n">
        <v>14440322</v>
      </c>
      <c r="B16886" t="n">
        <v>60429</v>
      </c>
      <c r="C16886" t="inlineStr">
        <is>
          <t>1444/03/22</t>
        </is>
      </c>
    </row>
    <row r="16887">
      <c r="A16887" t="n">
        <v>14440323</v>
      </c>
      <c r="B16887" t="n">
        <v>60430</v>
      </c>
      <c r="C16887" t="inlineStr">
        <is>
          <t>1444/03/23</t>
        </is>
      </c>
    </row>
    <row r="16888">
      <c r="A16888" t="n">
        <v>14440324</v>
      </c>
      <c r="B16888" t="n">
        <v>60431</v>
      </c>
      <c r="C16888" t="inlineStr">
        <is>
          <t>1444/03/24</t>
        </is>
      </c>
    </row>
    <row r="16889">
      <c r="A16889" t="n">
        <v>14440325</v>
      </c>
      <c r="B16889" t="n">
        <v>60432</v>
      </c>
      <c r="C16889" t="inlineStr">
        <is>
          <t>1444/03/25</t>
        </is>
      </c>
    </row>
    <row r="16890">
      <c r="A16890" t="n">
        <v>14440326</v>
      </c>
      <c r="B16890" t="n">
        <v>60433</v>
      </c>
      <c r="C16890" t="inlineStr">
        <is>
          <t>1444/03/26</t>
        </is>
      </c>
    </row>
    <row r="16891">
      <c r="A16891" t="n">
        <v>14440327</v>
      </c>
      <c r="B16891" t="n">
        <v>60434</v>
      </c>
      <c r="C16891" t="inlineStr">
        <is>
          <t>1444/03/27</t>
        </is>
      </c>
    </row>
    <row r="16892">
      <c r="A16892" t="n">
        <v>14440328</v>
      </c>
      <c r="B16892" t="n">
        <v>60435</v>
      </c>
      <c r="C16892" t="inlineStr">
        <is>
          <t>1444/03/28</t>
        </is>
      </c>
    </row>
    <row r="16893">
      <c r="A16893" t="n">
        <v>14440329</v>
      </c>
      <c r="B16893" t="n">
        <v>60436</v>
      </c>
      <c r="C16893" t="inlineStr">
        <is>
          <t>1444/03/29</t>
        </is>
      </c>
    </row>
    <row r="16894">
      <c r="A16894" t="n">
        <v>14440330</v>
      </c>
      <c r="B16894" t="n">
        <v>60437</v>
      </c>
      <c r="C16894" t="inlineStr">
        <is>
          <t>1444/03/30</t>
        </is>
      </c>
    </row>
    <row r="16895">
      <c r="A16895" t="n">
        <v>14440331</v>
      </c>
      <c r="B16895" t="n">
        <v>60438</v>
      </c>
      <c r="C16895" t="inlineStr">
        <is>
          <t>1444/03/31</t>
        </is>
      </c>
    </row>
    <row r="16896">
      <c r="A16896" t="n">
        <v>14440401</v>
      </c>
      <c r="B16896" t="n">
        <v>60439</v>
      </c>
      <c r="C16896" t="inlineStr">
        <is>
          <t>1444/04/01</t>
        </is>
      </c>
    </row>
    <row r="16897">
      <c r="A16897" t="n">
        <v>14440402</v>
      </c>
      <c r="B16897" t="n">
        <v>60440</v>
      </c>
      <c r="C16897" t="inlineStr">
        <is>
          <t>1444/04/02</t>
        </is>
      </c>
    </row>
    <row r="16898">
      <c r="A16898" t="n">
        <v>14440403</v>
      </c>
      <c r="B16898" t="n">
        <v>60441</v>
      </c>
      <c r="C16898" t="inlineStr">
        <is>
          <t>1444/04/03</t>
        </is>
      </c>
    </row>
    <row r="16899">
      <c r="A16899" t="n">
        <v>14440404</v>
      </c>
      <c r="B16899" t="n">
        <v>60442</v>
      </c>
      <c r="C16899" t="inlineStr">
        <is>
          <t>1444/04/04</t>
        </is>
      </c>
    </row>
    <row r="16900">
      <c r="A16900" t="n">
        <v>14440405</v>
      </c>
      <c r="B16900" t="n">
        <v>60443</v>
      </c>
      <c r="C16900" t="inlineStr">
        <is>
          <t>1444/04/05</t>
        </is>
      </c>
    </row>
    <row r="16901">
      <c r="A16901" t="n">
        <v>14440406</v>
      </c>
      <c r="B16901" t="n">
        <v>60444</v>
      </c>
      <c r="C16901" t="inlineStr">
        <is>
          <t>1444/04/06</t>
        </is>
      </c>
    </row>
    <row r="16902">
      <c r="A16902" t="n">
        <v>14440407</v>
      </c>
      <c r="B16902" t="n">
        <v>60445</v>
      </c>
      <c r="C16902" t="inlineStr">
        <is>
          <t>1444/04/07</t>
        </is>
      </c>
    </row>
    <row r="16903">
      <c r="A16903" t="n">
        <v>14440408</v>
      </c>
      <c r="B16903" t="n">
        <v>60446</v>
      </c>
      <c r="C16903" t="inlineStr">
        <is>
          <t>1444/04/08</t>
        </is>
      </c>
    </row>
    <row r="16904">
      <c r="A16904" t="n">
        <v>14440409</v>
      </c>
      <c r="B16904" t="n">
        <v>60447</v>
      </c>
      <c r="C16904" t="inlineStr">
        <is>
          <t>1444/04/09</t>
        </is>
      </c>
    </row>
    <row r="16905">
      <c r="A16905" t="n">
        <v>14440410</v>
      </c>
      <c r="B16905" t="n">
        <v>60448</v>
      </c>
      <c r="C16905" t="inlineStr">
        <is>
          <t>1444/04/10</t>
        </is>
      </c>
    </row>
    <row r="16906">
      <c r="A16906" t="n">
        <v>14440411</v>
      </c>
      <c r="B16906" t="n">
        <v>60449</v>
      </c>
      <c r="C16906" t="inlineStr">
        <is>
          <t>1444/04/11</t>
        </is>
      </c>
    </row>
    <row r="16907">
      <c r="A16907" t="n">
        <v>14440412</v>
      </c>
      <c r="B16907" t="n">
        <v>60450</v>
      </c>
      <c r="C16907" t="inlineStr">
        <is>
          <t>1444/04/12</t>
        </is>
      </c>
    </row>
    <row r="16908">
      <c r="A16908" t="n">
        <v>14440413</v>
      </c>
      <c r="B16908" t="n">
        <v>60451</v>
      </c>
      <c r="C16908" t="inlineStr">
        <is>
          <t>1444/04/13</t>
        </is>
      </c>
    </row>
    <row r="16909">
      <c r="A16909" t="n">
        <v>14440414</v>
      </c>
      <c r="B16909" t="n">
        <v>60452</v>
      </c>
      <c r="C16909" t="inlineStr">
        <is>
          <t>1444/04/14</t>
        </is>
      </c>
    </row>
    <row r="16910">
      <c r="A16910" t="n">
        <v>14440415</v>
      </c>
      <c r="B16910" t="n">
        <v>60453</v>
      </c>
      <c r="C16910" t="inlineStr">
        <is>
          <t>1444/04/15</t>
        </is>
      </c>
    </row>
    <row r="16911">
      <c r="A16911" t="n">
        <v>14440416</v>
      </c>
      <c r="B16911" t="n">
        <v>60454</v>
      </c>
      <c r="C16911" t="inlineStr">
        <is>
          <t>1444/04/16</t>
        </is>
      </c>
    </row>
    <row r="16912">
      <c r="A16912" t="n">
        <v>14440417</v>
      </c>
      <c r="B16912" t="n">
        <v>60455</v>
      </c>
      <c r="C16912" t="inlineStr">
        <is>
          <t>1444/04/17</t>
        </is>
      </c>
    </row>
    <row r="16913">
      <c r="A16913" t="n">
        <v>14440418</v>
      </c>
      <c r="B16913" t="n">
        <v>60456</v>
      </c>
      <c r="C16913" t="inlineStr">
        <is>
          <t>1444/04/18</t>
        </is>
      </c>
    </row>
    <row r="16914">
      <c r="A16914" t="n">
        <v>14440419</v>
      </c>
      <c r="B16914" t="n">
        <v>60457</v>
      </c>
      <c r="C16914" t="inlineStr">
        <is>
          <t>1444/04/19</t>
        </is>
      </c>
    </row>
    <row r="16915">
      <c r="A16915" t="n">
        <v>14440420</v>
      </c>
      <c r="B16915" t="n">
        <v>60458</v>
      </c>
      <c r="C16915" t="inlineStr">
        <is>
          <t>1444/04/20</t>
        </is>
      </c>
    </row>
    <row r="16916">
      <c r="A16916" t="n">
        <v>14440421</v>
      </c>
      <c r="B16916" t="n">
        <v>60459</v>
      </c>
      <c r="C16916" t="inlineStr">
        <is>
          <t>1444/04/21</t>
        </is>
      </c>
    </row>
    <row r="16917">
      <c r="A16917" t="n">
        <v>14440422</v>
      </c>
      <c r="B16917" t="n">
        <v>60460</v>
      </c>
      <c r="C16917" t="inlineStr">
        <is>
          <t>1444/04/22</t>
        </is>
      </c>
    </row>
    <row r="16918">
      <c r="A16918" t="n">
        <v>14440423</v>
      </c>
      <c r="B16918" t="n">
        <v>60461</v>
      </c>
      <c r="C16918" t="inlineStr">
        <is>
          <t>1444/04/23</t>
        </is>
      </c>
    </row>
    <row r="16919">
      <c r="A16919" t="n">
        <v>14440424</v>
      </c>
      <c r="B16919" t="n">
        <v>60462</v>
      </c>
      <c r="C16919" t="inlineStr">
        <is>
          <t>1444/04/24</t>
        </is>
      </c>
    </row>
    <row r="16920">
      <c r="A16920" t="n">
        <v>14440425</v>
      </c>
      <c r="B16920" t="n">
        <v>60463</v>
      </c>
      <c r="C16920" t="inlineStr">
        <is>
          <t>1444/04/25</t>
        </is>
      </c>
    </row>
    <row r="16921">
      <c r="A16921" t="n">
        <v>14440426</v>
      </c>
      <c r="B16921" t="n">
        <v>60464</v>
      </c>
      <c r="C16921" t="inlineStr">
        <is>
          <t>1444/04/26</t>
        </is>
      </c>
    </row>
    <row r="16922">
      <c r="A16922" t="n">
        <v>14440427</v>
      </c>
      <c r="B16922" t="n">
        <v>60465</v>
      </c>
      <c r="C16922" t="inlineStr">
        <is>
          <t>1444/04/27</t>
        </is>
      </c>
    </row>
    <row r="16923">
      <c r="A16923" t="n">
        <v>14440428</v>
      </c>
      <c r="B16923" t="n">
        <v>60466</v>
      </c>
      <c r="C16923" t="inlineStr">
        <is>
          <t>1444/04/28</t>
        </is>
      </c>
    </row>
    <row r="16924">
      <c r="A16924" t="n">
        <v>14440429</v>
      </c>
      <c r="B16924" t="n">
        <v>60467</v>
      </c>
      <c r="C16924" t="inlineStr">
        <is>
          <t>1444/04/29</t>
        </is>
      </c>
    </row>
    <row r="16925">
      <c r="A16925" t="n">
        <v>14440430</v>
      </c>
      <c r="B16925" t="n">
        <v>60468</v>
      </c>
      <c r="C16925" t="inlineStr">
        <is>
          <t>1444/04/30</t>
        </is>
      </c>
    </row>
    <row r="16926">
      <c r="A16926" t="n">
        <v>14440431</v>
      </c>
      <c r="B16926" t="n">
        <v>60469</v>
      </c>
      <c r="C16926" t="inlineStr">
        <is>
          <t>1444/04/31</t>
        </is>
      </c>
    </row>
    <row r="16927">
      <c r="A16927" t="n">
        <v>14440501</v>
      </c>
      <c r="B16927" t="n">
        <v>60470</v>
      </c>
      <c r="C16927" t="inlineStr">
        <is>
          <t>1444/05/01</t>
        </is>
      </c>
    </row>
    <row r="16928">
      <c r="A16928" t="n">
        <v>14440502</v>
      </c>
      <c r="B16928" t="n">
        <v>60471</v>
      </c>
      <c r="C16928" t="inlineStr">
        <is>
          <t>1444/05/02</t>
        </is>
      </c>
    </row>
    <row r="16929">
      <c r="A16929" t="n">
        <v>14440503</v>
      </c>
      <c r="B16929" t="n">
        <v>60472</v>
      </c>
      <c r="C16929" t="inlineStr">
        <is>
          <t>1444/05/03</t>
        </is>
      </c>
    </row>
    <row r="16930">
      <c r="A16930" t="n">
        <v>14440504</v>
      </c>
      <c r="B16930" t="n">
        <v>60473</v>
      </c>
      <c r="C16930" t="inlineStr">
        <is>
          <t>1444/05/04</t>
        </is>
      </c>
    </row>
    <row r="16931">
      <c r="A16931" t="n">
        <v>14440505</v>
      </c>
      <c r="B16931" t="n">
        <v>60474</v>
      </c>
      <c r="C16931" t="inlineStr">
        <is>
          <t>1444/05/05</t>
        </is>
      </c>
    </row>
    <row r="16932">
      <c r="A16932" t="n">
        <v>14440506</v>
      </c>
      <c r="B16932" t="n">
        <v>60475</v>
      </c>
      <c r="C16932" t="inlineStr">
        <is>
          <t>1444/05/06</t>
        </is>
      </c>
    </row>
    <row r="16933">
      <c r="A16933" t="n">
        <v>14440507</v>
      </c>
      <c r="B16933" t="n">
        <v>60476</v>
      </c>
      <c r="C16933" t="inlineStr">
        <is>
          <t>1444/05/07</t>
        </is>
      </c>
    </row>
    <row r="16934">
      <c r="A16934" t="n">
        <v>14440508</v>
      </c>
      <c r="B16934" t="n">
        <v>60477</v>
      </c>
      <c r="C16934" t="inlineStr">
        <is>
          <t>1444/05/08</t>
        </is>
      </c>
    </row>
    <row r="16935">
      <c r="A16935" t="n">
        <v>14440509</v>
      </c>
      <c r="B16935" t="n">
        <v>60478</v>
      </c>
      <c r="C16935" t="inlineStr">
        <is>
          <t>1444/05/09</t>
        </is>
      </c>
    </row>
    <row r="16936">
      <c r="A16936" t="n">
        <v>14440510</v>
      </c>
      <c r="B16936" t="n">
        <v>60479</v>
      </c>
      <c r="C16936" t="inlineStr">
        <is>
          <t>1444/05/10</t>
        </is>
      </c>
    </row>
    <row r="16937">
      <c r="A16937" t="n">
        <v>14440511</v>
      </c>
      <c r="B16937" t="n">
        <v>60480</v>
      </c>
      <c r="C16937" t="inlineStr">
        <is>
          <t>1444/05/11</t>
        </is>
      </c>
    </row>
    <row r="16938">
      <c r="A16938" t="n">
        <v>14440512</v>
      </c>
      <c r="B16938" t="n">
        <v>60481</v>
      </c>
      <c r="C16938" t="inlineStr">
        <is>
          <t>1444/05/12</t>
        </is>
      </c>
    </row>
    <row r="16939">
      <c r="A16939" t="n">
        <v>14440513</v>
      </c>
      <c r="B16939" t="n">
        <v>60482</v>
      </c>
      <c r="C16939" t="inlineStr">
        <is>
          <t>1444/05/13</t>
        </is>
      </c>
    </row>
    <row r="16940">
      <c r="A16940" t="n">
        <v>14440514</v>
      </c>
      <c r="B16940" t="n">
        <v>60483</v>
      </c>
      <c r="C16940" t="inlineStr">
        <is>
          <t>1444/05/14</t>
        </is>
      </c>
    </row>
    <row r="16941">
      <c r="A16941" t="n">
        <v>14440515</v>
      </c>
      <c r="B16941" t="n">
        <v>60484</v>
      </c>
      <c r="C16941" t="inlineStr">
        <is>
          <t>1444/05/15</t>
        </is>
      </c>
    </row>
    <row r="16942">
      <c r="A16942" t="n">
        <v>14440516</v>
      </c>
      <c r="B16942" t="n">
        <v>60485</v>
      </c>
      <c r="C16942" t="inlineStr">
        <is>
          <t>1444/05/16</t>
        </is>
      </c>
    </row>
    <row r="16943">
      <c r="A16943" t="n">
        <v>14440517</v>
      </c>
      <c r="B16943" t="n">
        <v>60486</v>
      </c>
      <c r="C16943" t="inlineStr">
        <is>
          <t>1444/05/17</t>
        </is>
      </c>
    </row>
    <row r="16944">
      <c r="A16944" t="n">
        <v>14440518</v>
      </c>
      <c r="B16944" t="n">
        <v>60487</v>
      </c>
      <c r="C16944" t="inlineStr">
        <is>
          <t>1444/05/18</t>
        </is>
      </c>
    </row>
    <row r="16945">
      <c r="A16945" t="n">
        <v>14440519</v>
      </c>
      <c r="B16945" t="n">
        <v>60488</v>
      </c>
      <c r="C16945" t="inlineStr">
        <is>
          <t>1444/05/19</t>
        </is>
      </c>
    </row>
    <row r="16946">
      <c r="A16946" t="n">
        <v>14440520</v>
      </c>
      <c r="B16946" t="n">
        <v>60489</v>
      </c>
      <c r="C16946" t="inlineStr">
        <is>
          <t>1444/05/20</t>
        </is>
      </c>
    </row>
    <row r="16947">
      <c r="A16947" t="n">
        <v>14440521</v>
      </c>
      <c r="B16947" t="n">
        <v>60490</v>
      </c>
      <c r="C16947" t="inlineStr">
        <is>
          <t>1444/05/21</t>
        </is>
      </c>
    </row>
    <row r="16948">
      <c r="A16948" t="n">
        <v>14440522</v>
      </c>
      <c r="B16948" t="n">
        <v>60491</v>
      </c>
      <c r="C16948" t="inlineStr">
        <is>
          <t>1444/05/22</t>
        </is>
      </c>
    </row>
    <row r="16949">
      <c r="A16949" t="n">
        <v>14440523</v>
      </c>
      <c r="B16949" t="n">
        <v>60492</v>
      </c>
      <c r="C16949" t="inlineStr">
        <is>
          <t>1444/05/23</t>
        </is>
      </c>
    </row>
    <row r="16950">
      <c r="A16950" t="n">
        <v>14440524</v>
      </c>
      <c r="B16950" t="n">
        <v>60493</v>
      </c>
      <c r="C16950" t="inlineStr">
        <is>
          <t>1444/05/24</t>
        </is>
      </c>
    </row>
    <row r="16951">
      <c r="A16951" t="n">
        <v>14440525</v>
      </c>
      <c r="B16951" t="n">
        <v>60494</v>
      </c>
      <c r="C16951" t="inlineStr">
        <is>
          <t>1444/05/25</t>
        </is>
      </c>
    </row>
    <row r="16952">
      <c r="A16952" t="n">
        <v>14440526</v>
      </c>
      <c r="B16952" t="n">
        <v>60495</v>
      </c>
      <c r="C16952" t="inlineStr">
        <is>
          <t>1444/05/26</t>
        </is>
      </c>
    </row>
    <row r="16953">
      <c r="A16953" t="n">
        <v>14440527</v>
      </c>
      <c r="B16953" t="n">
        <v>60496</v>
      </c>
      <c r="C16953" t="inlineStr">
        <is>
          <t>1444/05/27</t>
        </is>
      </c>
    </row>
    <row r="16954">
      <c r="A16954" t="n">
        <v>14440528</v>
      </c>
      <c r="B16954" t="n">
        <v>60497</v>
      </c>
      <c r="C16954" t="inlineStr">
        <is>
          <t>1444/05/28</t>
        </is>
      </c>
    </row>
    <row r="16955">
      <c r="A16955" t="n">
        <v>14440529</v>
      </c>
      <c r="B16955" t="n">
        <v>60498</v>
      </c>
      <c r="C16955" t="inlineStr">
        <is>
          <t>1444/05/29</t>
        </is>
      </c>
    </row>
    <row r="16956">
      <c r="A16956" t="n">
        <v>14440530</v>
      </c>
      <c r="B16956" t="n">
        <v>60499</v>
      </c>
      <c r="C16956" t="inlineStr">
        <is>
          <t>1444/05/30</t>
        </is>
      </c>
    </row>
    <row r="16957">
      <c r="A16957" t="n">
        <v>14440531</v>
      </c>
      <c r="B16957" t="n">
        <v>60500</v>
      </c>
      <c r="C16957" t="inlineStr">
        <is>
          <t>1444/05/31</t>
        </is>
      </c>
    </row>
    <row r="16958">
      <c r="A16958" t="n">
        <v>14440601</v>
      </c>
      <c r="B16958" t="n">
        <v>60501</v>
      </c>
      <c r="C16958" t="inlineStr">
        <is>
          <t>1444/06/01</t>
        </is>
      </c>
    </row>
    <row r="16959">
      <c r="A16959" t="n">
        <v>14440602</v>
      </c>
      <c r="B16959" t="n">
        <v>60502</v>
      </c>
      <c r="C16959" t="inlineStr">
        <is>
          <t>1444/06/02</t>
        </is>
      </c>
    </row>
    <row r="16960">
      <c r="A16960" t="n">
        <v>14440603</v>
      </c>
      <c r="B16960" t="n">
        <v>60503</v>
      </c>
      <c r="C16960" t="inlineStr">
        <is>
          <t>1444/06/03</t>
        </is>
      </c>
    </row>
    <row r="16961">
      <c r="A16961" t="n">
        <v>14440604</v>
      </c>
      <c r="B16961" t="n">
        <v>60504</v>
      </c>
      <c r="C16961" t="inlineStr">
        <is>
          <t>1444/06/04</t>
        </is>
      </c>
    </row>
    <row r="16962">
      <c r="A16962" t="n">
        <v>14440605</v>
      </c>
      <c r="B16962" t="n">
        <v>60505</v>
      </c>
      <c r="C16962" t="inlineStr">
        <is>
          <t>1444/06/05</t>
        </is>
      </c>
    </row>
    <row r="16963">
      <c r="A16963" t="n">
        <v>14440606</v>
      </c>
      <c r="B16963" t="n">
        <v>60506</v>
      </c>
      <c r="C16963" t="inlineStr">
        <is>
          <t>1444/06/06</t>
        </is>
      </c>
    </row>
    <row r="16964">
      <c r="A16964" t="n">
        <v>14440607</v>
      </c>
      <c r="B16964" t="n">
        <v>60507</v>
      </c>
      <c r="C16964" t="inlineStr">
        <is>
          <t>1444/06/07</t>
        </is>
      </c>
    </row>
    <row r="16965">
      <c r="A16965" t="n">
        <v>14440608</v>
      </c>
      <c r="B16965" t="n">
        <v>60508</v>
      </c>
      <c r="C16965" t="inlineStr">
        <is>
          <t>1444/06/08</t>
        </is>
      </c>
    </row>
    <row r="16966">
      <c r="A16966" t="n">
        <v>14440609</v>
      </c>
      <c r="B16966" t="n">
        <v>60509</v>
      </c>
      <c r="C16966" t="inlineStr">
        <is>
          <t>1444/06/09</t>
        </is>
      </c>
    </row>
    <row r="16967">
      <c r="A16967" t="n">
        <v>14440610</v>
      </c>
      <c r="B16967" t="n">
        <v>60510</v>
      </c>
      <c r="C16967" t="inlineStr">
        <is>
          <t>1444/06/10</t>
        </is>
      </c>
    </row>
    <row r="16968">
      <c r="A16968" t="n">
        <v>14440611</v>
      </c>
      <c r="B16968" t="n">
        <v>60511</v>
      </c>
      <c r="C16968" t="inlineStr">
        <is>
          <t>1444/06/11</t>
        </is>
      </c>
    </row>
    <row r="16969">
      <c r="A16969" t="n">
        <v>14440612</v>
      </c>
      <c r="B16969" t="n">
        <v>60512</v>
      </c>
      <c r="C16969" t="inlineStr">
        <is>
          <t>1444/06/12</t>
        </is>
      </c>
    </row>
    <row r="16970">
      <c r="A16970" t="n">
        <v>14440613</v>
      </c>
      <c r="B16970" t="n">
        <v>60513</v>
      </c>
      <c r="C16970" t="inlineStr">
        <is>
          <t>1444/06/13</t>
        </is>
      </c>
    </row>
    <row r="16971">
      <c r="A16971" t="n">
        <v>14440614</v>
      </c>
      <c r="B16971" t="n">
        <v>60514</v>
      </c>
      <c r="C16971" t="inlineStr">
        <is>
          <t>1444/06/14</t>
        </is>
      </c>
    </row>
    <row r="16972">
      <c r="A16972" t="n">
        <v>14440615</v>
      </c>
      <c r="B16972" t="n">
        <v>60515</v>
      </c>
      <c r="C16972" t="inlineStr">
        <is>
          <t>1444/06/15</t>
        </is>
      </c>
    </row>
    <row r="16973">
      <c r="A16973" t="n">
        <v>14440616</v>
      </c>
      <c r="B16973" t="n">
        <v>60516</v>
      </c>
      <c r="C16973" t="inlineStr">
        <is>
          <t>1444/06/16</t>
        </is>
      </c>
    </row>
    <row r="16974">
      <c r="A16974" t="n">
        <v>14440617</v>
      </c>
      <c r="B16974" t="n">
        <v>60517</v>
      </c>
      <c r="C16974" t="inlineStr">
        <is>
          <t>1444/06/17</t>
        </is>
      </c>
    </row>
    <row r="16975">
      <c r="A16975" t="n">
        <v>14440618</v>
      </c>
      <c r="B16975" t="n">
        <v>60518</v>
      </c>
      <c r="C16975" t="inlineStr">
        <is>
          <t>1444/06/18</t>
        </is>
      </c>
    </row>
    <row r="16976">
      <c r="A16976" t="n">
        <v>14440619</v>
      </c>
      <c r="B16976" t="n">
        <v>60519</v>
      </c>
      <c r="C16976" t="inlineStr">
        <is>
          <t>1444/06/19</t>
        </is>
      </c>
    </row>
    <row r="16977">
      <c r="A16977" t="n">
        <v>14440620</v>
      </c>
      <c r="B16977" t="n">
        <v>60520</v>
      </c>
      <c r="C16977" t="inlineStr">
        <is>
          <t>1444/06/20</t>
        </is>
      </c>
    </row>
    <row r="16978">
      <c r="A16978" t="n">
        <v>14440621</v>
      </c>
      <c r="B16978" t="n">
        <v>60521</v>
      </c>
      <c r="C16978" t="inlineStr">
        <is>
          <t>1444/06/21</t>
        </is>
      </c>
    </row>
    <row r="16979">
      <c r="A16979" t="n">
        <v>14440622</v>
      </c>
      <c r="B16979" t="n">
        <v>60522</v>
      </c>
      <c r="C16979" t="inlineStr">
        <is>
          <t>1444/06/22</t>
        </is>
      </c>
    </row>
    <row r="16980">
      <c r="A16980" t="n">
        <v>14440623</v>
      </c>
      <c r="B16980" t="n">
        <v>60523</v>
      </c>
      <c r="C16980" t="inlineStr">
        <is>
          <t>1444/06/23</t>
        </is>
      </c>
    </row>
    <row r="16981">
      <c r="A16981" t="n">
        <v>14440624</v>
      </c>
      <c r="B16981" t="n">
        <v>60524</v>
      </c>
      <c r="C16981" t="inlineStr">
        <is>
          <t>1444/06/24</t>
        </is>
      </c>
    </row>
    <row r="16982">
      <c r="A16982" t="n">
        <v>14440625</v>
      </c>
      <c r="B16982" t="n">
        <v>60525</v>
      </c>
      <c r="C16982" t="inlineStr">
        <is>
          <t>1444/06/25</t>
        </is>
      </c>
    </row>
    <row r="16983">
      <c r="A16983" t="n">
        <v>14440626</v>
      </c>
      <c r="B16983" t="n">
        <v>60526</v>
      </c>
      <c r="C16983" t="inlineStr">
        <is>
          <t>1444/06/26</t>
        </is>
      </c>
    </row>
    <row r="16984">
      <c r="A16984" t="n">
        <v>14440627</v>
      </c>
      <c r="B16984" t="n">
        <v>60527</v>
      </c>
      <c r="C16984" t="inlineStr">
        <is>
          <t>1444/06/27</t>
        </is>
      </c>
    </row>
    <row r="16985">
      <c r="A16985" t="n">
        <v>14440628</v>
      </c>
      <c r="B16985" t="n">
        <v>60528</v>
      </c>
      <c r="C16985" t="inlineStr">
        <is>
          <t>1444/06/28</t>
        </is>
      </c>
    </row>
    <row r="16986">
      <c r="A16986" t="n">
        <v>14440629</v>
      </c>
      <c r="B16986" t="n">
        <v>60529</v>
      </c>
      <c r="C16986" t="inlineStr">
        <is>
          <t>1444/06/29</t>
        </is>
      </c>
    </row>
    <row r="16987">
      <c r="A16987" t="n">
        <v>14440630</v>
      </c>
      <c r="B16987" t="n">
        <v>60530</v>
      </c>
      <c r="C16987" t="inlineStr">
        <is>
          <t>1444/06/30</t>
        </is>
      </c>
    </row>
    <row r="16988">
      <c r="A16988" t="n">
        <v>14440631</v>
      </c>
      <c r="B16988" t="n">
        <v>60531</v>
      </c>
      <c r="C16988" t="inlineStr">
        <is>
          <t>1444/06/31</t>
        </is>
      </c>
    </row>
    <row r="16989">
      <c r="A16989" t="n">
        <v>14440701</v>
      </c>
      <c r="B16989" t="n">
        <v>60532</v>
      </c>
      <c r="C16989" t="inlineStr">
        <is>
          <t>1444/07/01</t>
        </is>
      </c>
    </row>
    <row r="16990">
      <c r="A16990" t="n">
        <v>14440702</v>
      </c>
      <c r="B16990" t="n">
        <v>60533</v>
      </c>
      <c r="C16990" t="inlineStr">
        <is>
          <t>1444/07/02</t>
        </is>
      </c>
    </row>
    <row r="16991">
      <c r="A16991" t="n">
        <v>14440703</v>
      </c>
      <c r="B16991" t="n">
        <v>60534</v>
      </c>
      <c r="C16991" t="inlineStr">
        <is>
          <t>1444/07/03</t>
        </is>
      </c>
    </row>
    <row r="16992">
      <c r="A16992" t="n">
        <v>14440704</v>
      </c>
      <c r="B16992" t="n">
        <v>60535</v>
      </c>
      <c r="C16992" t="inlineStr">
        <is>
          <t>1444/07/04</t>
        </is>
      </c>
    </row>
    <row r="16993">
      <c r="A16993" t="n">
        <v>14440705</v>
      </c>
      <c r="B16993" t="n">
        <v>60536</v>
      </c>
      <c r="C16993" t="inlineStr">
        <is>
          <t>1444/07/05</t>
        </is>
      </c>
    </row>
    <row r="16994">
      <c r="A16994" t="n">
        <v>14440706</v>
      </c>
      <c r="B16994" t="n">
        <v>60537</v>
      </c>
      <c r="C16994" t="inlineStr">
        <is>
          <t>1444/07/06</t>
        </is>
      </c>
    </row>
    <row r="16995">
      <c r="A16995" t="n">
        <v>14440707</v>
      </c>
      <c r="B16995" t="n">
        <v>60538</v>
      </c>
      <c r="C16995" t="inlineStr">
        <is>
          <t>1444/07/07</t>
        </is>
      </c>
    </row>
    <row r="16996">
      <c r="A16996" t="n">
        <v>14440708</v>
      </c>
      <c r="B16996" t="n">
        <v>60539</v>
      </c>
      <c r="C16996" t="inlineStr">
        <is>
          <t>1444/07/08</t>
        </is>
      </c>
    </row>
    <row r="16997">
      <c r="A16997" t="n">
        <v>14440709</v>
      </c>
      <c r="B16997" t="n">
        <v>60540</v>
      </c>
      <c r="C16997" t="inlineStr">
        <is>
          <t>1444/07/09</t>
        </is>
      </c>
    </row>
    <row r="16998">
      <c r="A16998" t="n">
        <v>14440710</v>
      </c>
      <c r="B16998" t="n">
        <v>60541</v>
      </c>
      <c r="C16998" t="inlineStr">
        <is>
          <t>1444/07/10</t>
        </is>
      </c>
    </row>
    <row r="16999">
      <c r="A16999" t="n">
        <v>14440711</v>
      </c>
      <c r="B16999" t="n">
        <v>60542</v>
      </c>
      <c r="C16999" t="inlineStr">
        <is>
          <t>1444/07/11</t>
        </is>
      </c>
    </row>
    <row r="17000">
      <c r="A17000" t="n">
        <v>14440712</v>
      </c>
      <c r="B17000" t="n">
        <v>60543</v>
      </c>
      <c r="C17000" t="inlineStr">
        <is>
          <t>1444/07/12</t>
        </is>
      </c>
    </row>
    <row r="17001">
      <c r="A17001" t="n">
        <v>14440713</v>
      </c>
      <c r="B17001" t="n">
        <v>60544</v>
      </c>
      <c r="C17001" t="inlineStr">
        <is>
          <t>1444/07/13</t>
        </is>
      </c>
    </row>
    <row r="17002">
      <c r="A17002" t="n">
        <v>14440714</v>
      </c>
      <c r="B17002" t="n">
        <v>60545</v>
      </c>
      <c r="C17002" t="inlineStr">
        <is>
          <t>1444/07/14</t>
        </is>
      </c>
    </row>
    <row r="17003">
      <c r="A17003" t="n">
        <v>14440715</v>
      </c>
      <c r="B17003" t="n">
        <v>60546</v>
      </c>
      <c r="C17003" t="inlineStr">
        <is>
          <t>1444/07/15</t>
        </is>
      </c>
    </row>
    <row r="17004">
      <c r="A17004" t="n">
        <v>14440716</v>
      </c>
      <c r="B17004" t="n">
        <v>60547</v>
      </c>
      <c r="C17004" t="inlineStr">
        <is>
          <t>1444/07/16</t>
        </is>
      </c>
    </row>
    <row r="17005">
      <c r="A17005" t="n">
        <v>14440717</v>
      </c>
      <c r="B17005" t="n">
        <v>60548</v>
      </c>
      <c r="C17005" t="inlineStr">
        <is>
          <t>1444/07/17</t>
        </is>
      </c>
    </row>
    <row r="17006">
      <c r="A17006" t="n">
        <v>14440718</v>
      </c>
      <c r="B17006" t="n">
        <v>60549</v>
      </c>
      <c r="C17006" t="inlineStr">
        <is>
          <t>1444/07/18</t>
        </is>
      </c>
    </row>
    <row r="17007">
      <c r="A17007" t="n">
        <v>14440719</v>
      </c>
      <c r="B17007" t="n">
        <v>60550</v>
      </c>
      <c r="C17007" t="inlineStr">
        <is>
          <t>1444/07/19</t>
        </is>
      </c>
    </row>
    <row r="17008">
      <c r="A17008" t="n">
        <v>14440720</v>
      </c>
      <c r="B17008" t="n">
        <v>60551</v>
      </c>
      <c r="C17008" t="inlineStr">
        <is>
          <t>1444/07/20</t>
        </is>
      </c>
    </row>
    <row r="17009">
      <c r="A17009" t="n">
        <v>14440721</v>
      </c>
      <c r="B17009" t="n">
        <v>60552</v>
      </c>
      <c r="C17009" t="inlineStr">
        <is>
          <t>1444/07/21</t>
        </is>
      </c>
    </row>
    <row r="17010">
      <c r="A17010" t="n">
        <v>14440722</v>
      </c>
      <c r="B17010" t="n">
        <v>60553</v>
      </c>
      <c r="C17010" t="inlineStr">
        <is>
          <t>1444/07/22</t>
        </is>
      </c>
    </row>
    <row r="17011">
      <c r="A17011" t="n">
        <v>14440723</v>
      </c>
      <c r="B17011" t="n">
        <v>60554</v>
      </c>
      <c r="C17011" t="inlineStr">
        <is>
          <t>1444/07/23</t>
        </is>
      </c>
    </row>
    <row r="17012">
      <c r="A17012" t="n">
        <v>14440724</v>
      </c>
      <c r="B17012" t="n">
        <v>60555</v>
      </c>
      <c r="C17012" t="inlineStr">
        <is>
          <t>1444/07/24</t>
        </is>
      </c>
    </row>
    <row r="17013">
      <c r="A17013" t="n">
        <v>14440725</v>
      </c>
      <c r="B17013" t="n">
        <v>60556</v>
      </c>
      <c r="C17013" t="inlineStr">
        <is>
          <t>1444/07/25</t>
        </is>
      </c>
    </row>
    <row r="17014">
      <c r="A17014" t="n">
        <v>14440726</v>
      </c>
      <c r="B17014" t="n">
        <v>60557</v>
      </c>
      <c r="C17014" t="inlineStr">
        <is>
          <t>1444/07/26</t>
        </is>
      </c>
    </row>
    <row r="17015">
      <c r="A17015" t="n">
        <v>14440727</v>
      </c>
      <c r="B17015" t="n">
        <v>60558</v>
      </c>
      <c r="C17015" t="inlineStr">
        <is>
          <t>1444/07/27</t>
        </is>
      </c>
    </row>
    <row r="17016">
      <c r="A17016" t="n">
        <v>14440728</v>
      </c>
      <c r="B17016" t="n">
        <v>60559</v>
      </c>
      <c r="C17016" t="inlineStr">
        <is>
          <t>1444/07/28</t>
        </is>
      </c>
    </row>
    <row r="17017">
      <c r="A17017" t="n">
        <v>14440729</v>
      </c>
      <c r="B17017" t="n">
        <v>60560</v>
      </c>
      <c r="C17017" t="inlineStr">
        <is>
          <t>1444/07/29</t>
        </is>
      </c>
    </row>
    <row r="17018">
      <c r="A17018" t="n">
        <v>14440730</v>
      </c>
      <c r="B17018" t="n">
        <v>60561</v>
      </c>
      <c r="C17018" t="inlineStr">
        <is>
          <t>1444/07/30</t>
        </is>
      </c>
    </row>
    <row r="17019">
      <c r="A17019" t="n">
        <v>14440801</v>
      </c>
      <c r="B17019" t="n">
        <v>60562</v>
      </c>
      <c r="C17019" t="inlineStr">
        <is>
          <t>1444/08/01</t>
        </is>
      </c>
    </row>
    <row r="17020">
      <c r="A17020" t="n">
        <v>14440802</v>
      </c>
      <c r="B17020" t="n">
        <v>60563</v>
      </c>
      <c r="C17020" t="inlineStr">
        <is>
          <t>1444/08/02</t>
        </is>
      </c>
    </row>
    <row r="17021">
      <c r="A17021" t="n">
        <v>14440803</v>
      </c>
      <c r="B17021" t="n">
        <v>60564</v>
      </c>
      <c r="C17021" t="inlineStr">
        <is>
          <t>1444/08/03</t>
        </is>
      </c>
    </row>
    <row r="17022">
      <c r="A17022" t="n">
        <v>14440804</v>
      </c>
      <c r="B17022" t="n">
        <v>60565</v>
      </c>
      <c r="C17022" t="inlineStr">
        <is>
          <t>1444/08/04</t>
        </is>
      </c>
    </row>
    <row r="17023">
      <c r="A17023" t="n">
        <v>14440805</v>
      </c>
      <c r="B17023" t="n">
        <v>60566</v>
      </c>
      <c r="C17023" t="inlineStr">
        <is>
          <t>1444/08/05</t>
        </is>
      </c>
    </row>
    <row r="17024">
      <c r="A17024" t="n">
        <v>14440806</v>
      </c>
      <c r="B17024" t="n">
        <v>60567</v>
      </c>
      <c r="C17024" t="inlineStr">
        <is>
          <t>1444/08/06</t>
        </is>
      </c>
    </row>
    <row r="17025">
      <c r="A17025" t="n">
        <v>14440807</v>
      </c>
      <c r="B17025" t="n">
        <v>60568</v>
      </c>
      <c r="C17025" t="inlineStr">
        <is>
          <t>1444/08/07</t>
        </is>
      </c>
    </row>
    <row r="17026">
      <c r="A17026" t="n">
        <v>14440808</v>
      </c>
      <c r="B17026" t="n">
        <v>60569</v>
      </c>
      <c r="C17026" t="inlineStr">
        <is>
          <t>1444/08/08</t>
        </is>
      </c>
    </row>
    <row r="17027">
      <c r="A17027" t="n">
        <v>14440809</v>
      </c>
      <c r="B17027" t="n">
        <v>60570</v>
      </c>
      <c r="C17027" t="inlineStr">
        <is>
          <t>1444/08/09</t>
        </is>
      </c>
    </row>
    <row r="17028">
      <c r="A17028" t="n">
        <v>14440810</v>
      </c>
      <c r="B17028" t="n">
        <v>60571</v>
      </c>
      <c r="C17028" t="inlineStr">
        <is>
          <t>1444/08/10</t>
        </is>
      </c>
    </row>
    <row r="17029">
      <c r="A17029" t="n">
        <v>14440811</v>
      </c>
      <c r="B17029" t="n">
        <v>60572</v>
      </c>
      <c r="C17029" t="inlineStr">
        <is>
          <t>1444/08/11</t>
        </is>
      </c>
    </row>
    <row r="17030">
      <c r="A17030" t="n">
        <v>14440812</v>
      </c>
      <c r="B17030" t="n">
        <v>60573</v>
      </c>
      <c r="C17030" t="inlineStr">
        <is>
          <t>1444/08/12</t>
        </is>
      </c>
    </row>
    <row r="17031">
      <c r="A17031" t="n">
        <v>14440813</v>
      </c>
      <c r="B17031" t="n">
        <v>60574</v>
      </c>
      <c r="C17031" t="inlineStr">
        <is>
          <t>1444/08/13</t>
        </is>
      </c>
    </row>
    <row r="17032">
      <c r="A17032" t="n">
        <v>14440814</v>
      </c>
      <c r="B17032" t="n">
        <v>60575</v>
      </c>
      <c r="C17032" t="inlineStr">
        <is>
          <t>1444/08/14</t>
        </is>
      </c>
    </row>
    <row r="17033">
      <c r="A17033" t="n">
        <v>14440815</v>
      </c>
      <c r="B17033" t="n">
        <v>60576</v>
      </c>
      <c r="C17033" t="inlineStr">
        <is>
          <t>1444/08/15</t>
        </is>
      </c>
    </row>
    <row r="17034">
      <c r="A17034" t="n">
        <v>14440816</v>
      </c>
      <c r="B17034" t="n">
        <v>60577</v>
      </c>
      <c r="C17034" t="inlineStr">
        <is>
          <t>1444/08/16</t>
        </is>
      </c>
    </row>
    <row r="17035">
      <c r="A17035" t="n">
        <v>14440817</v>
      </c>
      <c r="B17035" t="n">
        <v>60578</v>
      </c>
      <c r="C17035" t="inlineStr">
        <is>
          <t>1444/08/17</t>
        </is>
      </c>
    </row>
    <row r="17036">
      <c r="A17036" t="n">
        <v>14440818</v>
      </c>
      <c r="B17036" t="n">
        <v>60579</v>
      </c>
      <c r="C17036" t="inlineStr">
        <is>
          <t>1444/08/18</t>
        </is>
      </c>
    </row>
    <row r="17037">
      <c r="A17037" t="n">
        <v>14440819</v>
      </c>
      <c r="B17037" t="n">
        <v>60580</v>
      </c>
      <c r="C17037" t="inlineStr">
        <is>
          <t>1444/08/19</t>
        </is>
      </c>
    </row>
    <row r="17038">
      <c r="A17038" t="n">
        <v>14440820</v>
      </c>
      <c r="B17038" t="n">
        <v>60581</v>
      </c>
      <c r="C17038" t="inlineStr">
        <is>
          <t>1444/08/20</t>
        </is>
      </c>
    </row>
    <row r="17039">
      <c r="A17039" t="n">
        <v>14440821</v>
      </c>
      <c r="B17039" t="n">
        <v>60582</v>
      </c>
      <c r="C17039" t="inlineStr">
        <is>
          <t>1444/08/21</t>
        </is>
      </c>
    </row>
    <row r="17040">
      <c r="A17040" t="n">
        <v>14440822</v>
      </c>
      <c r="B17040" t="n">
        <v>60583</v>
      </c>
      <c r="C17040" t="inlineStr">
        <is>
          <t>1444/08/22</t>
        </is>
      </c>
    </row>
    <row r="17041">
      <c r="A17041" t="n">
        <v>14440823</v>
      </c>
      <c r="B17041" t="n">
        <v>60584</v>
      </c>
      <c r="C17041" t="inlineStr">
        <is>
          <t>1444/08/23</t>
        </is>
      </c>
    </row>
    <row r="17042">
      <c r="A17042" t="n">
        <v>14440824</v>
      </c>
      <c r="B17042" t="n">
        <v>60585</v>
      </c>
      <c r="C17042" t="inlineStr">
        <is>
          <t>1444/08/24</t>
        </is>
      </c>
    </row>
    <row r="17043">
      <c r="A17043" t="n">
        <v>14440825</v>
      </c>
      <c r="B17043" t="n">
        <v>60586</v>
      </c>
      <c r="C17043" t="inlineStr">
        <is>
          <t>1444/08/25</t>
        </is>
      </c>
    </row>
    <row r="17044">
      <c r="A17044" t="n">
        <v>14440826</v>
      </c>
      <c r="B17044" t="n">
        <v>60587</v>
      </c>
      <c r="C17044" t="inlineStr">
        <is>
          <t>1444/08/26</t>
        </is>
      </c>
    </row>
    <row r="17045">
      <c r="A17045" t="n">
        <v>14440827</v>
      </c>
      <c r="B17045" t="n">
        <v>60588</v>
      </c>
      <c r="C17045" t="inlineStr">
        <is>
          <t>1444/08/27</t>
        </is>
      </c>
    </row>
    <row r="17046">
      <c r="A17046" t="n">
        <v>14440828</v>
      </c>
      <c r="B17046" t="n">
        <v>60589</v>
      </c>
      <c r="C17046" t="inlineStr">
        <is>
          <t>1444/08/28</t>
        </is>
      </c>
    </row>
    <row r="17047">
      <c r="A17047" t="n">
        <v>14440829</v>
      </c>
      <c r="B17047" t="n">
        <v>60590</v>
      </c>
      <c r="C17047" t="inlineStr">
        <is>
          <t>1444/08/29</t>
        </is>
      </c>
    </row>
    <row r="17048">
      <c r="A17048" t="n">
        <v>14440830</v>
      </c>
      <c r="B17048" t="n">
        <v>60591</v>
      </c>
      <c r="C17048" t="inlineStr">
        <is>
          <t>1444/08/30</t>
        </is>
      </c>
    </row>
    <row r="17049">
      <c r="A17049" t="n">
        <v>14440901</v>
      </c>
      <c r="B17049" t="n">
        <v>60592</v>
      </c>
      <c r="C17049" t="inlineStr">
        <is>
          <t>1444/09/01</t>
        </is>
      </c>
    </row>
    <row r="17050">
      <c r="A17050" t="n">
        <v>14440902</v>
      </c>
      <c r="B17050" t="n">
        <v>60593</v>
      </c>
      <c r="C17050" t="inlineStr">
        <is>
          <t>1444/09/02</t>
        </is>
      </c>
    </row>
    <row r="17051">
      <c r="A17051" t="n">
        <v>14440903</v>
      </c>
      <c r="B17051" t="n">
        <v>60594</v>
      </c>
      <c r="C17051" t="inlineStr">
        <is>
          <t>1444/09/03</t>
        </is>
      </c>
    </row>
    <row r="17052">
      <c r="A17052" t="n">
        <v>14440904</v>
      </c>
      <c r="B17052" t="n">
        <v>60595</v>
      </c>
      <c r="C17052" t="inlineStr">
        <is>
          <t>1444/09/04</t>
        </is>
      </c>
    </row>
    <row r="17053">
      <c r="A17053" t="n">
        <v>14440905</v>
      </c>
      <c r="B17053" t="n">
        <v>60596</v>
      </c>
      <c r="C17053" t="inlineStr">
        <is>
          <t>1444/09/05</t>
        </is>
      </c>
    </row>
    <row r="17054">
      <c r="A17054" t="n">
        <v>14440906</v>
      </c>
      <c r="B17054" t="n">
        <v>60597</v>
      </c>
      <c r="C17054" t="inlineStr">
        <is>
          <t>1444/09/06</t>
        </is>
      </c>
    </row>
    <row r="17055">
      <c r="A17055" t="n">
        <v>14440907</v>
      </c>
      <c r="B17055" t="n">
        <v>60598</v>
      </c>
      <c r="C17055" t="inlineStr">
        <is>
          <t>1444/09/07</t>
        </is>
      </c>
    </row>
    <row r="17056">
      <c r="A17056" t="n">
        <v>14440908</v>
      </c>
      <c r="B17056" t="n">
        <v>60599</v>
      </c>
      <c r="C17056" t="inlineStr">
        <is>
          <t>1444/09/08</t>
        </is>
      </c>
    </row>
    <row r="17057">
      <c r="A17057" t="n">
        <v>14440909</v>
      </c>
      <c r="B17057" t="n">
        <v>60600</v>
      </c>
      <c r="C17057" t="inlineStr">
        <is>
          <t>1444/09/09</t>
        </is>
      </c>
    </row>
    <row r="17058">
      <c r="A17058" t="n">
        <v>14440910</v>
      </c>
      <c r="B17058" t="n">
        <v>60601</v>
      </c>
      <c r="C17058" t="inlineStr">
        <is>
          <t>1444/09/10</t>
        </is>
      </c>
    </row>
    <row r="17059">
      <c r="A17059" t="n">
        <v>14440911</v>
      </c>
      <c r="B17059" t="n">
        <v>60602</v>
      </c>
      <c r="C17059" t="inlineStr">
        <is>
          <t>1444/09/11</t>
        </is>
      </c>
    </row>
    <row r="17060">
      <c r="A17060" t="n">
        <v>14440912</v>
      </c>
      <c r="B17060" t="n">
        <v>60603</v>
      </c>
      <c r="C17060" t="inlineStr">
        <is>
          <t>1444/09/12</t>
        </is>
      </c>
    </row>
    <row r="17061">
      <c r="A17061" t="n">
        <v>14440913</v>
      </c>
      <c r="B17061" t="n">
        <v>60604</v>
      </c>
      <c r="C17061" t="inlineStr">
        <is>
          <t>1444/09/13</t>
        </is>
      </c>
    </row>
    <row r="17062">
      <c r="A17062" t="n">
        <v>14440914</v>
      </c>
      <c r="B17062" t="n">
        <v>60605</v>
      </c>
      <c r="C17062" t="inlineStr">
        <is>
          <t>1444/09/14</t>
        </is>
      </c>
    </row>
    <row r="17063">
      <c r="A17063" t="n">
        <v>14440915</v>
      </c>
      <c r="B17063" t="n">
        <v>60606</v>
      </c>
      <c r="C17063" t="inlineStr">
        <is>
          <t>1444/09/15</t>
        </is>
      </c>
    </row>
    <row r="17064">
      <c r="A17064" t="n">
        <v>14440916</v>
      </c>
      <c r="B17064" t="n">
        <v>60607</v>
      </c>
      <c r="C17064" t="inlineStr">
        <is>
          <t>1444/09/16</t>
        </is>
      </c>
    </row>
    <row r="17065">
      <c r="A17065" t="n">
        <v>14440917</v>
      </c>
      <c r="B17065" t="n">
        <v>60608</v>
      </c>
      <c r="C17065" t="inlineStr">
        <is>
          <t>1444/09/17</t>
        </is>
      </c>
    </row>
    <row r="17066">
      <c r="A17066" t="n">
        <v>14440918</v>
      </c>
      <c r="B17066" t="n">
        <v>60609</v>
      </c>
      <c r="C17066" t="inlineStr">
        <is>
          <t>1444/09/18</t>
        </is>
      </c>
    </row>
    <row r="17067">
      <c r="A17067" t="n">
        <v>14440919</v>
      </c>
      <c r="B17067" t="n">
        <v>60610</v>
      </c>
      <c r="C17067" t="inlineStr">
        <is>
          <t>1444/09/19</t>
        </is>
      </c>
    </row>
    <row r="17068">
      <c r="A17068" t="n">
        <v>14440920</v>
      </c>
      <c r="B17068" t="n">
        <v>60611</v>
      </c>
      <c r="C17068" t="inlineStr">
        <is>
          <t>1444/09/20</t>
        </is>
      </c>
    </row>
    <row r="17069">
      <c r="A17069" t="n">
        <v>14440921</v>
      </c>
      <c r="B17069" t="n">
        <v>60612</v>
      </c>
      <c r="C17069" t="inlineStr">
        <is>
          <t>1444/09/21</t>
        </is>
      </c>
    </row>
    <row r="17070">
      <c r="A17070" t="n">
        <v>14440922</v>
      </c>
      <c r="B17070" t="n">
        <v>60613</v>
      </c>
      <c r="C17070" t="inlineStr">
        <is>
          <t>1444/09/22</t>
        </is>
      </c>
    </row>
    <row r="17071">
      <c r="A17071" t="n">
        <v>14440923</v>
      </c>
      <c r="B17071" t="n">
        <v>60614</v>
      </c>
      <c r="C17071" t="inlineStr">
        <is>
          <t>1444/09/23</t>
        </is>
      </c>
    </row>
    <row r="17072">
      <c r="A17072" t="n">
        <v>14440924</v>
      </c>
      <c r="B17072" t="n">
        <v>60615</v>
      </c>
      <c r="C17072" t="inlineStr">
        <is>
          <t>1444/09/24</t>
        </is>
      </c>
    </row>
    <row r="17073">
      <c r="A17073" t="n">
        <v>14440925</v>
      </c>
      <c r="B17073" t="n">
        <v>60616</v>
      </c>
      <c r="C17073" t="inlineStr">
        <is>
          <t>1444/09/25</t>
        </is>
      </c>
    </row>
    <row r="17074">
      <c r="A17074" t="n">
        <v>14440926</v>
      </c>
      <c r="B17074" t="n">
        <v>60617</v>
      </c>
      <c r="C17074" t="inlineStr">
        <is>
          <t>1444/09/26</t>
        </is>
      </c>
    </row>
    <row r="17075">
      <c r="A17075" t="n">
        <v>14440927</v>
      </c>
      <c r="B17075" t="n">
        <v>60618</v>
      </c>
      <c r="C17075" t="inlineStr">
        <is>
          <t>1444/09/27</t>
        </is>
      </c>
    </row>
    <row r="17076">
      <c r="A17076" t="n">
        <v>14440928</v>
      </c>
      <c r="B17076" t="n">
        <v>60619</v>
      </c>
      <c r="C17076" t="inlineStr">
        <is>
          <t>1444/09/28</t>
        </is>
      </c>
    </row>
    <row r="17077">
      <c r="A17077" t="n">
        <v>14440929</v>
      </c>
      <c r="B17077" t="n">
        <v>60620</v>
      </c>
      <c r="C17077" t="inlineStr">
        <is>
          <t>1444/09/29</t>
        </is>
      </c>
    </row>
    <row r="17078">
      <c r="A17078" t="n">
        <v>14440930</v>
      </c>
      <c r="B17078" t="n">
        <v>60621</v>
      </c>
      <c r="C17078" t="inlineStr">
        <is>
          <t>1444/09/30</t>
        </is>
      </c>
    </row>
    <row r="17079">
      <c r="A17079" t="n">
        <v>14441001</v>
      </c>
      <c r="B17079" t="n">
        <v>60622</v>
      </c>
      <c r="C17079" t="inlineStr">
        <is>
          <t>1444/10/01</t>
        </is>
      </c>
    </row>
    <row r="17080">
      <c r="A17080" t="n">
        <v>14441002</v>
      </c>
      <c r="B17080" t="n">
        <v>60623</v>
      </c>
      <c r="C17080" t="inlineStr">
        <is>
          <t>1444/10/02</t>
        </is>
      </c>
    </row>
    <row r="17081">
      <c r="A17081" t="n">
        <v>14441003</v>
      </c>
      <c r="B17081" t="n">
        <v>60624</v>
      </c>
      <c r="C17081" t="inlineStr">
        <is>
          <t>1444/10/03</t>
        </is>
      </c>
    </row>
    <row r="17082">
      <c r="A17082" t="n">
        <v>14441004</v>
      </c>
      <c r="B17082" t="n">
        <v>60625</v>
      </c>
      <c r="C17082" t="inlineStr">
        <is>
          <t>1444/10/04</t>
        </is>
      </c>
    </row>
    <row r="17083">
      <c r="A17083" t="n">
        <v>14441005</v>
      </c>
      <c r="B17083" t="n">
        <v>60626</v>
      </c>
      <c r="C17083" t="inlineStr">
        <is>
          <t>1444/10/05</t>
        </is>
      </c>
    </row>
    <row r="17084">
      <c r="A17084" t="n">
        <v>14441006</v>
      </c>
      <c r="B17084" t="n">
        <v>60627</v>
      </c>
      <c r="C17084" t="inlineStr">
        <is>
          <t>1444/10/06</t>
        </is>
      </c>
    </row>
    <row r="17085">
      <c r="A17085" t="n">
        <v>14441007</v>
      </c>
      <c r="B17085" t="n">
        <v>60628</v>
      </c>
      <c r="C17085" t="inlineStr">
        <is>
          <t>1444/10/07</t>
        </is>
      </c>
    </row>
    <row r="17086">
      <c r="A17086" t="n">
        <v>14441008</v>
      </c>
      <c r="B17086" t="n">
        <v>60629</v>
      </c>
      <c r="C17086" t="inlineStr">
        <is>
          <t>1444/10/08</t>
        </is>
      </c>
    </row>
    <row r="17087">
      <c r="A17087" t="n">
        <v>14441009</v>
      </c>
      <c r="B17087" t="n">
        <v>60630</v>
      </c>
      <c r="C17087" t="inlineStr">
        <is>
          <t>1444/10/09</t>
        </is>
      </c>
    </row>
    <row r="17088">
      <c r="A17088" t="n">
        <v>14441010</v>
      </c>
      <c r="B17088" t="n">
        <v>60631</v>
      </c>
      <c r="C17088" t="inlineStr">
        <is>
          <t>1444/10/10</t>
        </is>
      </c>
    </row>
    <row r="17089">
      <c r="A17089" t="n">
        <v>14441011</v>
      </c>
      <c r="B17089" t="n">
        <v>60632</v>
      </c>
      <c r="C17089" t="inlineStr">
        <is>
          <t>1444/10/11</t>
        </is>
      </c>
    </row>
    <row r="17090">
      <c r="A17090" t="n">
        <v>14441012</v>
      </c>
      <c r="B17090" t="n">
        <v>60633</v>
      </c>
      <c r="C17090" t="inlineStr">
        <is>
          <t>1444/10/12</t>
        </is>
      </c>
    </row>
    <row r="17091">
      <c r="A17091" t="n">
        <v>14441013</v>
      </c>
      <c r="B17091" t="n">
        <v>60634</v>
      </c>
      <c r="C17091" t="inlineStr">
        <is>
          <t>1444/10/13</t>
        </is>
      </c>
    </row>
    <row r="17092">
      <c r="A17092" t="n">
        <v>14441014</v>
      </c>
      <c r="B17092" t="n">
        <v>60635</v>
      </c>
      <c r="C17092" t="inlineStr">
        <is>
          <t>1444/10/14</t>
        </is>
      </c>
    </row>
    <row r="17093">
      <c r="A17093" t="n">
        <v>14441015</v>
      </c>
      <c r="B17093" t="n">
        <v>60636</v>
      </c>
      <c r="C17093" t="inlineStr">
        <is>
          <t>1444/10/15</t>
        </is>
      </c>
    </row>
    <row r="17094">
      <c r="A17094" t="n">
        <v>14441016</v>
      </c>
      <c r="B17094" t="n">
        <v>60637</v>
      </c>
      <c r="C17094" t="inlineStr">
        <is>
          <t>1444/10/16</t>
        </is>
      </c>
    </row>
    <row r="17095">
      <c r="A17095" t="n">
        <v>14441017</v>
      </c>
      <c r="B17095" t="n">
        <v>60638</v>
      </c>
      <c r="C17095" t="inlineStr">
        <is>
          <t>1444/10/17</t>
        </is>
      </c>
    </row>
    <row r="17096">
      <c r="A17096" t="n">
        <v>14441018</v>
      </c>
      <c r="B17096" t="n">
        <v>60639</v>
      </c>
      <c r="C17096" t="inlineStr">
        <is>
          <t>1444/10/18</t>
        </is>
      </c>
    </row>
    <row r="17097">
      <c r="A17097" t="n">
        <v>14441019</v>
      </c>
      <c r="B17097" t="n">
        <v>60640</v>
      </c>
      <c r="C17097" t="inlineStr">
        <is>
          <t>1444/10/19</t>
        </is>
      </c>
    </row>
    <row r="17098">
      <c r="A17098" t="n">
        <v>14441020</v>
      </c>
      <c r="B17098" t="n">
        <v>60641</v>
      </c>
      <c r="C17098" t="inlineStr">
        <is>
          <t>1444/10/20</t>
        </is>
      </c>
    </row>
    <row r="17099">
      <c r="A17099" t="n">
        <v>14441021</v>
      </c>
      <c r="B17099" t="n">
        <v>60642</v>
      </c>
      <c r="C17099" t="inlineStr">
        <is>
          <t>1444/10/21</t>
        </is>
      </c>
    </row>
    <row r="17100">
      <c r="A17100" t="n">
        <v>14441022</v>
      </c>
      <c r="B17100" t="n">
        <v>60643</v>
      </c>
      <c r="C17100" t="inlineStr">
        <is>
          <t>1444/10/22</t>
        </is>
      </c>
    </row>
    <row r="17101">
      <c r="A17101" t="n">
        <v>14441023</v>
      </c>
      <c r="B17101" t="n">
        <v>60644</v>
      </c>
      <c r="C17101" t="inlineStr">
        <is>
          <t>1444/10/23</t>
        </is>
      </c>
    </row>
    <row r="17102">
      <c r="A17102" t="n">
        <v>14441024</v>
      </c>
      <c r="B17102" t="n">
        <v>60645</v>
      </c>
      <c r="C17102" t="inlineStr">
        <is>
          <t>1444/10/24</t>
        </is>
      </c>
    </row>
    <row r="17103">
      <c r="A17103" t="n">
        <v>14441025</v>
      </c>
      <c r="B17103" t="n">
        <v>60646</v>
      </c>
      <c r="C17103" t="inlineStr">
        <is>
          <t>1444/10/25</t>
        </is>
      </c>
    </row>
    <row r="17104">
      <c r="A17104" t="n">
        <v>14441026</v>
      </c>
      <c r="B17104" t="n">
        <v>60647</v>
      </c>
      <c r="C17104" t="inlineStr">
        <is>
          <t>1444/10/26</t>
        </is>
      </c>
    </row>
    <row r="17105">
      <c r="A17105" t="n">
        <v>14441027</v>
      </c>
      <c r="B17105" t="n">
        <v>60648</v>
      </c>
      <c r="C17105" t="inlineStr">
        <is>
          <t>1444/10/27</t>
        </is>
      </c>
    </row>
    <row r="17106">
      <c r="A17106" t="n">
        <v>14441028</v>
      </c>
      <c r="B17106" t="n">
        <v>60649</v>
      </c>
      <c r="C17106" t="inlineStr">
        <is>
          <t>1444/10/28</t>
        </is>
      </c>
    </row>
    <row r="17107">
      <c r="A17107" t="n">
        <v>14441029</v>
      </c>
      <c r="B17107" t="n">
        <v>60650</v>
      </c>
      <c r="C17107" t="inlineStr">
        <is>
          <t>1444/10/29</t>
        </is>
      </c>
    </row>
    <row r="17108">
      <c r="A17108" t="n">
        <v>14441030</v>
      </c>
      <c r="B17108" t="n">
        <v>60651</v>
      </c>
      <c r="C17108" t="inlineStr">
        <is>
          <t>1444/10/30</t>
        </is>
      </c>
    </row>
    <row r="17109">
      <c r="A17109" t="n">
        <v>14441101</v>
      </c>
      <c r="B17109" t="n">
        <v>60652</v>
      </c>
      <c r="C17109" t="inlineStr">
        <is>
          <t>1444/11/01</t>
        </is>
      </c>
    </row>
    <row r="17110">
      <c r="A17110" t="n">
        <v>14441102</v>
      </c>
      <c r="B17110" t="n">
        <v>60653</v>
      </c>
      <c r="C17110" t="inlineStr">
        <is>
          <t>1444/11/02</t>
        </is>
      </c>
    </row>
    <row r="17111">
      <c r="A17111" t="n">
        <v>14441103</v>
      </c>
      <c r="B17111" t="n">
        <v>60654</v>
      </c>
      <c r="C17111" t="inlineStr">
        <is>
          <t>1444/11/03</t>
        </is>
      </c>
    </row>
    <row r="17112">
      <c r="A17112" t="n">
        <v>14441104</v>
      </c>
      <c r="B17112" t="n">
        <v>60655</v>
      </c>
      <c r="C17112" t="inlineStr">
        <is>
          <t>1444/11/04</t>
        </is>
      </c>
    </row>
    <row r="17113">
      <c r="A17113" t="n">
        <v>14441105</v>
      </c>
      <c r="B17113" t="n">
        <v>60656</v>
      </c>
      <c r="C17113" t="inlineStr">
        <is>
          <t>1444/11/05</t>
        </is>
      </c>
    </row>
    <row r="17114">
      <c r="A17114" t="n">
        <v>14441106</v>
      </c>
      <c r="B17114" t="n">
        <v>60657</v>
      </c>
      <c r="C17114" t="inlineStr">
        <is>
          <t>1444/11/06</t>
        </is>
      </c>
    </row>
    <row r="17115">
      <c r="A17115" t="n">
        <v>14441107</v>
      </c>
      <c r="B17115" t="n">
        <v>60658</v>
      </c>
      <c r="C17115" t="inlineStr">
        <is>
          <t>1444/11/07</t>
        </is>
      </c>
    </row>
    <row r="17116">
      <c r="A17116" t="n">
        <v>14441108</v>
      </c>
      <c r="B17116" t="n">
        <v>60659</v>
      </c>
      <c r="C17116" t="inlineStr">
        <is>
          <t>1444/11/08</t>
        </is>
      </c>
    </row>
    <row r="17117">
      <c r="A17117" t="n">
        <v>14441109</v>
      </c>
      <c r="B17117" t="n">
        <v>60660</v>
      </c>
      <c r="C17117" t="inlineStr">
        <is>
          <t>1444/11/09</t>
        </is>
      </c>
    </row>
    <row r="17118">
      <c r="A17118" t="n">
        <v>14441110</v>
      </c>
      <c r="B17118" t="n">
        <v>60661</v>
      </c>
      <c r="C17118" t="inlineStr">
        <is>
          <t>1444/11/10</t>
        </is>
      </c>
    </row>
    <row r="17119">
      <c r="A17119" t="n">
        <v>14441111</v>
      </c>
      <c r="B17119" t="n">
        <v>60662</v>
      </c>
      <c r="C17119" t="inlineStr">
        <is>
          <t>1444/11/11</t>
        </is>
      </c>
    </row>
    <row r="17120">
      <c r="A17120" t="n">
        <v>14441112</v>
      </c>
      <c r="B17120" t="n">
        <v>60663</v>
      </c>
      <c r="C17120" t="inlineStr">
        <is>
          <t>1444/11/12</t>
        </is>
      </c>
    </row>
    <row r="17121">
      <c r="A17121" t="n">
        <v>14441113</v>
      </c>
      <c r="B17121" t="n">
        <v>60664</v>
      </c>
      <c r="C17121" t="inlineStr">
        <is>
          <t>1444/11/13</t>
        </is>
      </c>
    </row>
    <row r="17122">
      <c r="A17122" t="n">
        <v>14441114</v>
      </c>
      <c r="B17122" t="n">
        <v>60665</v>
      </c>
      <c r="C17122" t="inlineStr">
        <is>
          <t>1444/11/14</t>
        </is>
      </c>
    </row>
    <row r="17123">
      <c r="A17123" t="n">
        <v>14441115</v>
      </c>
      <c r="B17123" t="n">
        <v>60666</v>
      </c>
      <c r="C17123" t="inlineStr">
        <is>
          <t>1444/11/15</t>
        </is>
      </c>
    </row>
    <row r="17124">
      <c r="A17124" t="n">
        <v>14441116</v>
      </c>
      <c r="B17124" t="n">
        <v>60667</v>
      </c>
      <c r="C17124" t="inlineStr">
        <is>
          <t>1444/11/16</t>
        </is>
      </c>
    </row>
    <row r="17125">
      <c r="A17125" t="n">
        <v>14441117</v>
      </c>
      <c r="B17125" t="n">
        <v>60668</v>
      </c>
      <c r="C17125" t="inlineStr">
        <is>
          <t>1444/11/17</t>
        </is>
      </c>
    </row>
    <row r="17126">
      <c r="A17126" t="n">
        <v>14441118</v>
      </c>
      <c r="B17126" t="n">
        <v>60669</v>
      </c>
      <c r="C17126" t="inlineStr">
        <is>
          <t>1444/11/18</t>
        </is>
      </c>
    </row>
    <row r="17127">
      <c r="A17127" t="n">
        <v>14441119</v>
      </c>
      <c r="B17127" t="n">
        <v>60670</v>
      </c>
      <c r="C17127" t="inlineStr">
        <is>
          <t>1444/11/19</t>
        </is>
      </c>
    </row>
    <row r="17128">
      <c r="A17128" t="n">
        <v>14441120</v>
      </c>
      <c r="B17128" t="n">
        <v>60671</v>
      </c>
      <c r="C17128" t="inlineStr">
        <is>
          <t>1444/11/20</t>
        </is>
      </c>
    </row>
    <row r="17129">
      <c r="A17129" t="n">
        <v>14441121</v>
      </c>
      <c r="B17129" t="n">
        <v>60672</v>
      </c>
      <c r="C17129" t="inlineStr">
        <is>
          <t>1444/11/21</t>
        </is>
      </c>
    </row>
    <row r="17130">
      <c r="A17130" t="n">
        <v>14441122</v>
      </c>
      <c r="B17130" t="n">
        <v>60673</v>
      </c>
      <c r="C17130" t="inlineStr">
        <is>
          <t>1444/11/22</t>
        </is>
      </c>
    </row>
    <row r="17131">
      <c r="A17131" t="n">
        <v>14441123</v>
      </c>
      <c r="B17131" t="n">
        <v>60674</v>
      </c>
      <c r="C17131" t="inlineStr">
        <is>
          <t>1444/11/23</t>
        </is>
      </c>
    </row>
    <row r="17132">
      <c r="A17132" t="n">
        <v>14441124</v>
      </c>
      <c r="B17132" t="n">
        <v>60675</v>
      </c>
      <c r="C17132" t="inlineStr">
        <is>
          <t>1444/11/24</t>
        </is>
      </c>
    </row>
    <row r="17133">
      <c r="A17133" t="n">
        <v>14441125</v>
      </c>
      <c r="B17133" t="n">
        <v>60676</v>
      </c>
      <c r="C17133" t="inlineStr">
        <is>
          <t>1444/11/25</t>
        </is>
      </c>
    </row>
    <row r="17134">
      <c r="A17134" t="n">
        <v>14441126</v>
      </c>
      <c r="B17134" t="n">
        <v>60677</v>
      </c>
      <c r="C17134" t="inlineStr">
        <is>
          <t>1444/11/26</t>
        </is>
      </c>
    </row>
    <row r="17135">
      <c r="A17135" t="n">
        <v>14441127</v>
      </c>
      <c r="B17135" t="n">
        <v>60678</v>
      </c>
      <c r="C17135" t="inlineStr">
        <is>
          <t>1444/11/27</t>
        </is>
      </c>
    </row>
    <row r="17136">
      <c r="A17136" t="n">
        <v>14441128</v>
      </c>
      <c r="B17136" t="n">
        <v>60679</v>
      </c>
      <c r="C17136" t="inlineStr">
        <is>
          <t>1444/11/28</t>
        </is>
      </c>
    </row>
    <row r="17137">
      <c r="A17137" t="n">
        <v>14441129</v>
      </c>
      <c r="B17137" t="n">
        <v>60680</v>
      </c>
      <c r="C17137" t="inlineStr">
        <is>
          <t>1444/11/29</t>
        </is>
      </c>
    </row>
    <row r="17138">
      <c r="A17138" t="n">
        <v>14441130</v>
      </c>
      <c r="B17138" t="n">
        <v>60681</v>
      </c>
      <c r="C17138" t="inlineStr">
        <is>
          <t>1444/11/30</t>
        </is>
      </c>
    </row>
    <row r="17139">
      <c r="A17139" t="n">
        <v>14441201</v>
      </c>
      <c r="B17139" t="n">
        <v>60682</v>
      </c>
      <c r="C17139" t="inlineStr">
        <is>
          <t>1444/12/01</t>
        </is>
      </c>
    </row>
    <row r="17140">
      <c r="A17140" t="n">
        <v>14441202</v>
      </c>
      <c r="B17140" t="n">
        <v>60683</v>
      </c>
      <c r="C17140" t="inlineStr">
        <is>
          <t>1444/12/02</t>
        </is>
      </c>
    </row>
    <row r="17141">
      <c r="A17141" t="n">
        <v>14441203</v>
      </c>
      <c r="B17141" t="n">
        <v>60684</v>
      </c>
      <c r="C17141" t="inlineStr">
        <is>
          <t>1444/12/03</t>
        </is>
      </c>
    </row>
    <row r="17142">
      <c r="A17142" t="n">
        <v>14441204</v>
      </c>
      <c r="B17142" t="n">
        <v>60685</v>
      </c>
      <c r="C17142" t="inlineStr">
        <is>
          <t>1444/12/04</t>
        </is>
      </c>
    </row>
    <row r="17143">
      <c r="A17143" t="n">
        <v>14441205</v>
      </c>
      <c r="B17143" t="n">
        <v>60686</v>
      </c>
      <c r="C17143" t="inlineStr">
        <is>
          <t>1444/12/05</t>
        </is>
      </c>
    </row>
    <row r="17144">
      <c r="A17144" t="n">
        <v>14441206</v>
      </c>
      <c r="B17144" t="n">
        <v>60687</v>
      </c>
      <c r="C17144" t="inlineStr">
        <is>
          <t>1444/12/06</t>
        </is>
      </c>
    </row>
    <row r="17145">
      <c r="A17145" t="n">
        <v>14441207</v>
      </c>
      <c r="B17145" t="n">
        <v>60688</v>
      </c>
      <c r="C17145" t="inlineStr">
        <is>
          <t>1444/12/07</t>
        </is>
      </c>
    </row>
    <row r="17146">
      <c r="A17146" t="n">
        <v>14441208</v>
      </c>
      <c r="B17146" t="n">
        <v>60689</v>
      </c>
      <c r="C17146" t="inlineStr">
        <is>
          <t>1444/12/08</t>
        </is>
      </c>
    </row>
    <row r="17147">
      <c r="A17147" t="n">
        <v>14441209</v>
      </c>
      <c r="B17147" t="n">
        <v>60690</v>
      </c>
      <c r="C17147" t="inlineStr">
        <is>
          <t>1444/12/09</t>
        </is>
      </c>
    </row>
    <row r="17148">
      <c r="A17148" t="n">
        <v>14441210</v>
      </c>
      <c r="B17148" t="n">
        <v>60691</v>
      </c>
      <c r="C17148" t="inlineStr">
        <is>
          <t>1444/12/10</t>
        </is>
      </c>
    </row>
    <row r="17149">
      <c r="A17149" t="n">
        <v>14441211</v>
      </c>
      <c r="B17149" t="n">
        <v>60692</v>
      </c>
      <c r="C17149" t="inlineStr">
        <is>
          <t>1444/12/11</t>
        </is>
      </c>
    </row>
    <row r="17150">
      <c r="A17150" t="n">
        <v>14441212</v>
      </c>
      <c r="B17150" t="n">
        <v>60693</v>
      </c>
      <c r="C17150" t="inlineStr">
        <is>
          <t>1444/12/12</t>
        </is>
      </c>
    </row>
    <row r="17151">
      <c r="A17151" t="n">
        <v>14441213</v>
      </c>
      <c r="B17151" t="n">
        <v>60694</v>
      </c>
      <c r="C17151" t="inlineStr">
        <is>
          <t>1444/12/13</t>
        </is>
      </c>
    </row>
    <row r="17152">
      <c r="A17152" t="n">
        <v>14441214</v>
      </c>
      <c r="B17152" t="n">
        <v>60695</v>
      </c>
      <c r="C17152" t="inlineStr">
        <is>
          <t>1444/12/14</t>
        </is>
      </c>
    </row>
    <row r="17153">
      <c r="A17153" t="n">
        <v>14441215</v>
      </c>
      <c r="B17153" t="n">
        <v>60696</v>
      </c>
      <c r="C17153" t="inlineStr">
        <is>
          <t>1444/12/15</t>
        </is>
      </c>
    </row>
    <row r="17154">
      <c r="A17154" t="n">
        <v>14441216</v>
      </c>
      <c r="B17154" t="n">
        <v>60697</v>
      </c>
      <c r="C17154" t="inlineStr">
        <is>
          <t>1444/12/16</t>
        </is>
      </c>
    </row>
    <row r="17155">
      <c r="A17155" t="n">
        <v>14441217</v>
      </c>
      <c r="B17155" t="n">
        <v>60698</v>
      </c>
      <c r="C17155" t="inlineStr">
        <is>
          <t>1444/12/17</t>
        </is>
      </c>
    </row>
    <row r="17156">
      <c r="A17156" t="n">
        <v>14441218</v>
      </c>
      <c r="B17156" t="n">
        <v>60699</v>
      </c>
      <c r="C17156" t="inlineStr">
        <is>
          <t>1444/12/18</t>
        </is>
      </c>
    </row>
    <row r="17157">
      <c r="A17157" t="n">
        <v>14441219</v>
      </c>
      <c r="B17157" t="n">
        <v>60700</v>
      </c>
      <c r="C17157" t="inlineStr">
        <is>
          <t>1444/12/19</t>
        </is>
      </c>
    </row>
    <row r="17158">
      <c r="A17158" t="n">
        <v>14441220</v>
      </c>
      <c r="B17158" t="n">
        <v>60701</v>
      </c>
      <c r="C17158" t="inlineStr">
        <is>
          <t>1444/12/20</t>
        </is>
      </c>
    </row>
    <row r="17159">
      <c r="A17159" t="n">
        <v>14441221</v>
      </c>
      <c r="B17159" t="n">
        <v>60702</v>
      </c>
      <c r="C17159" t="inlineStr">
        <is>
          <t>1444/12/21</t>
        </is>
      </c>
    </row>
    <row r="17160">
      <c r="A17160" t="n">
        <v>14441222</v>
      </c>
      <c r="B17160" t="n">
        <v>60703</v>
      </c>
      <c r="C17160" t="inlineStr">
        <is>
          <t>1444/12/22</t>
        </is>
      </c>
    </row>
    <row r="17161">
      <c r="A17161" t="n">
        <v>14441223</v>
      </c>
      <c r="B17161" t="n">
        <v>60704</v>
      </c>
      <c r="C17161" t="inlineStr">
        <is>
          <t>1444/12/23</t>
        </is>
      </c>
    </row>
    <row r="17162">
      <c r="A17162" t="n">
        <v>14441224</v>
      </c>
      <c r="B17162" t="n">
        <v>60705</v>
      </c>
      <c r="C17162" t="inlineStr">
        <is>
          <t>1444/12/24</t>
        </is>
      </c>
    </row>
    <row r="17163">
      <c r="A17163" t="n">
        <v>14441225</v>
      </c>
      <c r="B17163" t="n">
        <v>60706</v>
      </c>
      <c r="C17163" t="inlineStr">
        <is>
          <t>1444/12/25</t>
        </is>
      </c>
    </row>
    <row r="17164">
      <c r="A17164" t="n">
        <v>14441226</v>
      </c>
      <c r="B17164" t="n">
        <v>60707</v>
      </c>
      <c r="C17164" t="inlineStr">
        <is>
          <t>1444/12/26</t>
        </is>
      </c>
    </row>
    <row r="17165">
      <c r="A17165" t="n">
        <v>14441227</v>
      </c>
      <c r="B17165" t="n">
        <v>60708</v>
      </c>
      <c r="C17165" t="inlineStr">
        <is>
          <t>1444/12/27</t>
        </is>
      </c>
    </row>
    <row r="17166">
      <c r="A17166" t="n">
        <v>14441228</v>
      </c>
      <c r="B17166" t="n">
        <v>60709</v>
      </c>
      <c r="C17166" t="inlineStr">
        <is>
          <t>1444/12/28</t>
        </is>
      </c>
    </row>
    <row r="17167">
      <c r="A17167" t="n">
        <v>14441229</v>
      </c>
      <c r="B17167" t="n">
        <v>60710</v>
      </c>
      <c r="C17167" t="inlineStr">
        <is>
          <t>1444/12/29</t>
        </is>
      </c>
    </row>
    <row r="17168">
      <c r="A17168" t="n">
        <v>14450101</v>
      </c>
      <c r="B17168" t="n">
        <v>60711</v>
      </c>
      <c r="C17168" t="inlineStr">
        <is>
          <t>1445/01/01</t>
        </is>
      </c>
    </row>
    <row r="17169">
      <c r="A17169" t="n">
        <v>14450102</v>
      </c>
      <c r="B17169" t="n">
        <v>60712</v>
      </c>
      <c r="C17169" t="inlineStr">
        <is>
          <t>1445/01/02</t>
        </is>
      </c>
    </row>
    <row r="17170">
      <c r="A17170" t="n">
        <v>14450103</v>
      </c>
      <c r="B17170" t="n">
        <v>60713</v>
      </c>
      <c r="C17170" t="inlineStr">
        <is>
          <t>1445/01/03</t>
        </is>
      </c>
    </row>
    <row r="17171">
      <c r="A17171" t="n">
        <v>14450104</v>
      </c>
      <c r="B17171" t="n">
        <v>60714</v>
      </c>
      <c r="C17171" t="inlineStr">
        <is>
          <t>1445/01/04</t>
        </is>
      </c>
    </row>
    <row r="17172">
      <c r="A17172" t="n">
        <v>14450105</v>
      </c>
      <c r="B17172" t="n">
        <v>60715</v>
      </c>
      <c r="C17172" t="inlineStr">
        <is>
          <t>1445/01/05</t>
        </is>
      </c>
    </row>
    <row r="17173">
      <c r="A17173" t="n">
        <v>14450106</v>
      </c>
      <c r="B17173" t="n">
        <v>60716</v>
      </c>
      <c r="C17173" t="inlineStr">
        <is>
          <t>1445/01/06</t>
        </is>
      </c>
    </row>
    <row r="17174">
      <c r="A17174" t="n">
        <v>14450107</v>
      </c>
      <c r="B17174" t="n">
        <v>60717</v>
      </c>
      <c r="C17174" t="inlineStr">
        <is>
          <t>1445/01/07</t>
        </is>
      </c>
    </row>
    <row r="17175">
      <c r="A17175" t="n">
        <v>14450108</v>
      </c>
      <c r="B17175" t="n">
        <v>60718</v>
      </c>
      <c r="C17175" t="inlineStr">
        <is>
          <t>1445/01/08</t>
        </is>
      </c>
    </row>
    <row r="17176">
      <c r="A17176" t="n">
        <v>14450109</v>
      </c>
      <c r="B17176" t="n">
        <v>60719</v>
      </c>
      <c r="C17176" t="inlineStr">
        <is>
          <t>1445/01/09</t>
        </is>
      </c>
    </row>
    <row r="17177">
      <c r="A17177" t="n">
        <v>14450110</v>
      </c>
      <c r="B17177" t="n">
        <v>60720</v>
      </c>
      <c r="C17177" t="inlineStr">
        <is>
          <t>1445/01/10</t>
        </is>
      </c>
    </row>
    <row r="17178">
      <c r="A17178" t="n">
        <v>14450111</v>
      </c>
      <c r="B17178" t="n">
        <v>60721</v>
      </c>
      <c r="C17178" t="inlineStr">
        <is>
          <t>1445/01/11</t>
        </is>
      </c>
    </row>
    <row r="17179">
      <c r="A17179" t="n">
        <v>14450112</v>
      </c>
      <c r="B17179" t="n">
        <v>60722</v>
      </c>
      <c r="C17179" t="inlineStr">
        <is>
          <t>1445/01/12</t>
        </is>
      </c>
    </row>
    <row r="17180">
      <c r="A17180" t="n">
        <v>14450113</v>
      </c>
      <c r="B17180" t="n">
        <v>60723</v>
      </c>
      <c r="C17180" t="inlineStr">
        <is>
          <t>1445/01/13</t>
        </is>
      </c>
    </row>
    <row r="17181">
      <c r="A17181" t="n">
        <v>14450114</v>
      </c>
      <c r="B17181" t="n">
        <v>60724</v>
      </c>
      <c r="C17181" t="inlineStr">
        <is>
          <t>1445/01/14</t>
        </is>
      </c>
    </row>
    <row r="17182">
      <c r="A17182" t="n">
        <v>14450115</v>
      </c>
      <c r="B17182" t="n">
        <v>60725</v>
      </c>
      <c r="C17182" t="inlineStr">
        <is>
          <t>1445/01/15</t>
        </is>
      </c>
    </row>
    <row r="17183">
      <c r="A17183" t="n">
        <v>14450116</v>
      </c>
      <c r="B17183" t="n">
        <v>60726</v>
      </c>
      <c r="C17183" t="inlineStr">
        <is>
          <t>1445/01/16</t>
        </is>
      </c>
    </row>
    <row r="17184">
      <c r="A17184" t="n">
        <v>14450117</v>
      </c>
      <c r="B17184" t="n">
        <v>60727</v>
      </c>
      <c r="C17184" t="inlineStr">
        <is>
          <t>1445/01/17</t>
        </is>
      </c>
    </row>
    <row r="17185">
      <c r="A17185" t="n">
        <v>14450118</v>
      </c>
      <c r="B17185" t="n">
        <v>60728</v>
      </c>
      <c r="C17185" t="inlineStr">
        <is>
          <t>1445/01/18</t>
        </is>
      </c>
    </row>
    <row r="17186">
      <c r="A17186" t="n">
        <v>14450119</v>
      </c>
      <c r="B17186" t="n">
        <v>60729</v>
      </c>
      <c r="C17186" t="inlineStr">
        <is>
          <t>1445/01/19</t>
        </is>
      </c>
    </row>
    <row r="17187">
      <c r="A17187" t="n">
        <v>14450120</v>
      </c>
      <c r="B17187" t="n">
        <v>60730</v>
      </c>
      <c r="C17187" t="inlineStr">
        <is>
          <t>1445/01/20</t>
        </is>
      </c>
    </row>
    <row r="17188">
      <c r="A17188" t="n">
        <v>14450121</v>
      </c>
      <c r="B17188" t="n">
        <v>60731</v>
      </c>
      <c r="C17188" t="inlineStr">
        <is>
          <t>1445/01/21</t>
        </is>
      </c>
    </row>
    <row r="17189">
      <c r="A17189" t="n">
        <v>14450122</v>
      </c>
      <c r="B17189" t="n">
        <v>60732</v>
      </c>
      <c r="C17189" t="inlineStr">
        <is>
          <t>1445/01/22</t>
        </is>
      </c>
    </row>
    <row r="17190">
      <c r="A17190" t="n">
        <v>14450123</v>
      </c>
      <c r="B17190" t="n">
        <v>60733</v>
      </c>
      <c r="C17190" t="inlineStr">
        <is>
          <t>1445/01/23</t>
        </is>
      </c>
    </row>
    <row r="17191">
      <c r="A17191" t="n">
        <v>14450124</v>
      </c>
      <c r="B17191" t="n">
        <v>60734</v>
      </c>
      <c r="C17191" t="inlineStr">
        <is>
          <t>1445/01/24</t>
        </is>
      </c>
    </row>
    <row r="17192">
      <c r="A17192" t="n">
        <v>14450125</v>
      </c>
      <c r="B17192" t="n">
        <v>60735</v>
      </c>
      <c r="C17192" t="inlineStr">
        <is>
          <t>1445/01/25</t>
        </is>
      </c>
    </row>
    <row r="17193">
      <c r="A17193" t="n">
        <v>14450126</v>
      </c>
      <c r="B17193" t="n">
        <v>60736</v>
      </c>
      <c r="C17193" t="inlineStr">
        <is>
          <t>1445/01/26</t>
        </is>
      </c>
    </row>
    <row r="17194">
      <c r="A17194" t="n">
        <v>14450127</v>
      </c>
      <c r="B17194" t="n">
        <v>60737</v>
      </c>
      <c r="C17194" t="inlineStr">
        <is>
          <t>1445/01/27</t>
        </is>
      </c>
    </row>
    <row r="17195">
      <c r="A17195" t="n">
        <v>14450128</v>
      </c>
      <c r="B17195" t="n">
        <v>60738</v>
      </c>
      <c r="C17195" t="inlineStr">
        <is>
          <t>1445/01/28</t>
        </is>
      </c>
    </row>
    <row r="17196">
      <c r="A17196" t="n">
        <v>14450129</v>
      </c>
      <c r="B17196" t="n">
        <v>60739</v>
      </c>
      <c r="C17196" t="inlineStr">
        <is>
          <t>1445/01/29</t>
        </is>
      </c>
    </row>
    <row r="17197">
      <c r="A17197" t="n">
        <v>14450130</v>
      </c>
      <c r="B17197" t="n">
        <v>60740</v>
      </c>
      <c r="C17197" t="inlineStr">
        <is>
          <t>1445/01/30</t>
        </is>
      </c>
    </row>
    <row r="17198">
      <c r="A17198" t="n">
        <v>14450131</v>
      </c>
      <c r="B17198" t="n">
        <v>60741</v>
      </c>
      <c r="C17198" t="inlineStr">
        <is>
          <t>1445/01/31</t>
        </is>
      </c>
    </row>
    <row r="17199">
      <c r="A17199" t="n">
        <v>14450201</v>
      </c>
      <c r="B17199" t="n">
        <v>60742</v>
      </c>
      <c r="C17199" t="inlineStr">
        <is>
          <t>1445/02/01</t>
        </is>
      </c>
    </row>
    <row r="17200">
      <c r="A17200" t="n">
        <v>14450202</v>
      </c>
      <c r="B17200" t="n">
        <v>60743</v>
      </c>
      <c r="C17200" t="inlineStr">
        <is>
          <t>1445/02/02</t>
        </is>
      </c>
    </row>
    <row r="17201">
      <c r="A17201" t="n">
        <v>14450203</v>
      </c>
      <c r="B17201" t="n">
        <v>60744</v>
      </c>
      <c r="C17201" t="inlineStr">
        <is>
          <t>1445/02/03</t>
        </is>
      </c>
    </row>
    <row r="17202">
      <c r="A17202" t="n">
        <v>14450204</v>
      </c>
      <c r="B17202" t="n">
        <v>60745</v>
      </c>
      <c r="C17202" t="inlineStr">
        <is>
          <t>1445/02/04</t>
        </is>
      </c>
    </row>
    <row r="17203">
      <c r="A17203" t="n">
        <v>14450205</v>
      </c>
      <c r="B17203" t="n">
        <v>60746</v>
      </c>
      <c r="C17203" t="inlineStr">
        <is>
          <t>1445/02/05</t>
        </is>
      </c>
    </row>
    <row r="17204">
      <c r="A17204" t="n">
        <v>14450206</v>
      </c>
      <c r="B17204" t="n">
        <v>60747</v>
      </c>
      <c r="C17204" t="inlineStr">
        <is>
          <t>1445/02/06</t>
        </is>
      </c>
    </row>
    <row r="17205">
      <c r="A17205" t="n">
        <v>14450207</v>
      </c>
      <c r="B17205" t="n">
        <v>60748</v>
      </c>
      <c r="C17205" t="inlineStr">
        <is>
          <t>1445/02/07</t>
        </is>
      </c>
    </row>
    <row r="17206">
      <c r="A17206" t="n">
        <v>14450208</v>
      </c>
      <c r="B17206" t="n">
        <v>60749</v>
      </c>
      <c r="C17206" t="inlineStr">
        <is>
          <t>1445/02/08</t>
        </is>
      </c>
    </row>
    <row r="17207">
      <c r="A17207" t="n">
        <v>14450209</v>
      </c>
      <c r="B17207" t="n">
        <v>60750</v>
      </c>
      <c r="C17207" t="inlineStr">
        <is>
          <t>1445/02/09</t>
        </is>
      </c>
    </row>
    <row r="17208">
      <c r="A17208" t="n">
        <v>14450210</v>
      </c>
      <c r="B17208" t="n">
        <v>60751</v>
      </c>
      <c r="C17208" t="inlineStr">
        <is>
          <t>1445/02/10</t>
        </is>
      </c>
    </row>
    <row r="17209">
      <c r="A17209" t="n">
        <v>14450211</v>
      </c>
      <c r="B17209" t="n">
        <v>60752</v>
      </c>
      <c r="C17209" t="inlineStr">
        <is>
          <t>1445/02/11</t>
        </is>
      </c>
    </row>
    <row r="17210">
      <c r="A17210" t="n">
        <v>14450212</v>
      </c>
      <c r="B17210" t="n">
        <v>60753</v>
      </c>
      <c r="C17210" t="inlineStr">
        <is>
          <t>1445/02/12</t>
        </is>
      </c>
    </row>
    <row r="17211">
      <c r="A17211" t="n">
        <v>14450213</v>
      </c>
      <c r="B17211" t="n">
        <v>60754</v>
      </c>
      <c r="C17211" t="inlineStr">
        <is>
          <t>1445/02/13</t>
        </is>
      </c>
    </row>
    <row r="17212">
      <c r="A17212" t="n">
        <v>14450214</v>
      </c>
      <c r="B17212" t="n">
        <v>60755</v>
      </c>
      <c r="C17212" t="inlineStr">
        <is>
          <t>1445/02/14</t>
        </is>
      </c>
    </row>
    <row r="17213">
      <c r="A17213" t="n">
        <v>14450215</v>
      </c>
      <c r="B17213" t="n">
        <v>60756</v>
      </c>
      <c r="C17213" t="inlineStr">
        <is>
          <t>1445/02/15</t>
        </is>
      </c>
    </row>
    <row r="17214">
      <c r="A17214" t="n">
        <v>14450216</v>
      </c>
      <c r="B17214" t="n">
        <v>60757</v>
      </c>
      <c r="C17214" t="inlineStr">
        <is>
          <t>1445/02/16</t>
        </is>
      </c>
    </row>
    <row r="17215">
      <c r="A17215" t="n">
        <v>14450217</v>
      </c>
      <c r="B17215" t="n">
        <v>60758</v>
      </c>
      <c r="C17215" t="inlineStr">
        <is>
          <t>1445/02/17</t>
        </is>
      </c>
    </row>
    <row r="17216">
      <c r="A17216" t="n">
        <v>14450218</v>
      </c>
      <c r="B17216" t="n">
        <v>60759</v>
      </c>
      <c r="C17216" t="inlineStr">
        <is>
          <t>1445/02/18</t>
        </is>
      </c>
    </row>
    <row r="17217">
      <c r="A17217" t="n">
        <v>14450219</v>
      </c>
      <c r="B17217" t="n">
        <v>60760</v>
      </c>
      <c r="C17217" t="inlineStr">
        <is>
          <t>1445/02/19</t>
        </is>
      </c>
    </row>
    <row r="17218">
      <c r="A17218" t="n">
        <v>14450220</v>
      </c>
      <c r="B17218" t="n">
        <v>60761</v>
      </c>
      <c r="C17218" t="inlineStr">
        <is>
          <t>1445/02/20</t>
        </is>
      </c>
    </row>
    <row r="17219">
      <c r="A17219" t="n">
        <v>14450221</v>
      </c>
      <c r="B17219" t="n">
        <v>60762</v>
      </c>
      <c r="C17219" t="inlineStr">
        <is>
          <t>1445/02/21</t>
        </is>
      </c>
    </row>
    <row r="17220">
      <c r="A17220" t="n">
        <v>14450222</v>
      </c>
      <c r="B17220" t="n">
        <v>60763</v>
      </c>
      <c r="C17220" t="inlineStr">
        <is>
          <t>1445/02/22</t>
        </is>
      </c>
    </row>
    <row r="17221">
      <c r="A17221" t="n">
        <v>14450223</v>
      </c>
      <c r="B17221" t="n">
        <v>60764</v>
      </c>
      <c r="C17221" t="inlineStr">
        <is>
          <t>1445/02/23</t>
        </is>
      </c>
    </row>
    <row r="17222">
      <c r="A17222" t="n">
        <v>14450224</v>
      </c>
      <c r="B17222" t="n">
        <v>60765</v>
      </c>
      <c r="C17222" t="inlineStr">
        <is>
          <t>1445/02/24</t>
        </is>
      </c>
    </row>
    <row r="17223">
      <c r="A17223" t="n">
        <v>14450225</v>
      </c>
      <c r="B17223" t="n">
        <v>60766</v>
      </c>
      <c r="C17223" t="inlineStr">
        <is>
          <t>1445/02/25</t>
        </is>
      </c>
    </row>
    <row r="17224">
      <c r="A17224" t="n">
        <v>14450226</v>
      </c>
      <c r="B17224" t="n">
        <v>60767</v>
      </c>
      <c r="C17224" t="inlineStr">
        <is>
          <t>1445/02/26</t>
        </is>
      </c>
    </row>
    <row r="17225">
      <c r="A17225" t="n">
        <v>14450227</v>
      </c>
      <c r="B17225" t="n">
        <v>60768</v>
      </c>
      <c r="C17225" t="inlineStr">
        <is>
          <t>1445/02/27</t>
        </is>
      </c>
    </row>
    <row r="17226">
      <c r="A17226" t="n">
        <v>14450228</v>
      </c>
      <c r="B17226" t="n">
        <v>60769</v>
      </c>
      <c r="C17226" t="inlineStr">
        <is>
          <t>1445/02/28</t>
        </is>
      </c>
    </row>
    <row r="17227">
      <c r="A17227" t="n">
        <v>14450229</v>
      </c>
      <c r="B17227" t="n">
        <v>60770</v>
      </c>
      <c r="C17227" t="inlineStr">
        <is>
          <t>1445/02/29</t>
        </is>
      </c>
    </row>
    <row r="17228">
      <c r="A17228" t="n">
        <v>14450230</v>
      </c>
      <c r="B17228" t="n">
        <v>60771</v>
      </c>
      <c r="C17228" t="inlineStr">
        <is>
          <t>1445/02/30</t>
        </is>
      </c>
    </row>
    <row r="17229">
      <c r="A17229" t="n">
        <v>14450231</v>
      </c>
      <c r="B17229" t="n">
        <v>60772</v>
      </c>
      <c r="C17229" t="inlineStr">
        <is>
          <t>1445/02/31</t>
        </is>
      </c>
    </row>
    <row r="17230">
      <c r="A17230" t="n">
        <v>14450301</v>
      </c>
      <c r="B17230" t="n">
        <v>60773</v>
      </c>
      <c r="C17230" t="inlineStr">
        <is>
          <t>1445/03/01</t>
        </is>
      </c>
    </row>
    <row r="17231">
      <c r="A17231" t="n">
        <v>14450302</v>
      </c>
      <c r="B17231" t="n">
        <v>60774</v>
      </c>
      <c r="C17231" t="inlineStr">
        <is>
          <t>1445/03/02</t>
        </is>
      </c>
    </row>
    <row r="17232">
      <c r="A17232" t="n">
        <v>14450303</v>
      </c>
      <c r="B17232" t="n">
        <v>60775</v>
      </c>
      <c r="C17232" t="inlineStr">
        <is>
          <t>1445/03/03</t>
        </is>
      </c>
    </row>
    <row r="17233">
      <c r="A17233" t="n">
        <v>14450304</v>
      </c>
      <c r="B17233" t="n">
        <v>60776</v>
      </c>
      <c r="C17233" t="inlineStr">
        <is>
          <t>1445/03/04</t>
        </is>
      </c>
    </row>
    <row r="17234">
      <c r="A17234" t="n">
        <v>14450305</v>
      </c>
      <c r="B17234" t="n">
        <v>60777</v>
      </c>
      <c r="C17234" t="inlineStr">
        <is>
          <t>1445/03/05</t>
        </is>
      </c>
    </row>
    <row r="17235">
      <c r="A17235" t="n">
        <v>14450306</v>
      </c>
      <c r="B17235" t="n">
        <v>60778</v>
      </c>
      <c r="C17235" t="inlineStr">
        <is>
          <t>1445/03/06</t>
        </is>
      </c>
    </row>
    <row r="17236">
      <c r="A17236" t="n">
        <v>14450307</v>
      </c>
      <c r="B17236" t="n">
        <v>60779</v>
      </c>
      <c r="C17236" t="inlineStr">
        <is>
          <t>1445/03/07</t>
        </is>
      </c>
    </row>
    <row r="17237">
      <c r="A17237" t="n">
        <v>14450308</v>
      </c>
      <c r="B17237" t="n">
        <v>60780</v>
      </c>
      <c r="C17237" t="inlineStr">
        <is>
          <t>1445/03/08</t>
        </is>
      </c>
    </row>
    <row r="17238">
      <c r="A17238" t="n">
        <v>14450309</v>
      </c>
      <c r="B17238" t="n">
        <v>60781</v>
      </c>
      <c r="C17238" t="inlineStr">
        <is>
          <t>1445/03/09</t>
        </is>
      </c>
    </row>
    <row r="17239">
      <c r="A17239" t="n">
        <v>14450310</v>
      </c>
      <c r="B17239" t="n">
        <v>60782</v>
      </c>
      <c r="C17239" t="inlineStr">
        <is>
          <t>1445/03/10</t>
        </is>
      </c>
    </row>
    <row r="17240">
      <c r="A17240" t="n">
        <v>14450311</v>
      </c>
      <c r="B17240" t="n">
        <v>60783</v>
      </c>
      <c r="C17240" t="inlineStr">
        <is>
          <t>1445/03/11</t>
        </is>
      </c>
    </row>
    <row r="17241">
      <c r="A17241" t="n">
        <v>14450312</v>
      </c>
      <c r="B17241" t="n">
        <v>60784</v>
      </c>
      <c r="C17241" t="inlineStr">
        <is>
          <t>1445/03/12</t>
        </is>
      </c>
    </row>
    <row r="17242">
      <c r="A17242" t="n">
        <v>14450313</v>
      </c>
      <c r="B17242" t="n">
        <v>60785</v>
      </c>
      <c r="C17242" t="inlineStr">
        <is>
          <t>1445/03/13</t>
        </is>
      </c>
    </row>
    <row r="17243">
      <c r="A17243" t="n">
        <v>14450314</v>
      </c>
      <c r="B17243" t="n">
        <v>60786</v>
      </c>
      <c r="C17243" t="inlineStr">
        <is>
          <t>1445/03/14</t>
        </is>
      </c>
    </row>
    <row r="17244">
      <c r="A17244" t="n">
        <v>14450315</v>
      </c>
      <c r="B17244" t="n">
        <v>60787</v>
      </c>
      <c r="C17244" t="inlineStr">
        <is>
          <t>1445/03/15</t>
        </is>
      </c>
    </row>
    <row r="17245">
      <c r="A17245" t="n">
        <v>14450316</v>
      </c>
      <c r="B17245" t="n">
        <v>60788</v>
      </c>
      <c r="C17245" t="inlineStr">
        <is>
          <t>1445/03/16</t>
        </is>
      </c>
    </row>
    <row r="17246">
      <c r="A17246" t="n">
        <v>14450317</v>
      </c>
      <c r="B17246" t="n">
        <v>60789</v>
      </c>
      <c r="C17246" t="inlineStr">
        <is>
          <t>1445/03/17</t>
        </is>
      </c>
    </row>
    <row r="17247">
      <c r="A17247" t="n">
        <v>14450318</v>
      </c>
      <c r="B17247" t="n">
        <v>60790</v>
      </c>
      <c r="C17247" t="inlineStr">
        <is>
          <t>1445/03/18</t>
        </is>
      </c>
    </row>
    <row r="17248">
      <c r="A17248" t="n">
        <v>14450319</v>
      </c>
      <c r="B17248" t="n">
        <v>60791</v>
      </c>
      <c r="C17248" t="inlineStr">
        <is>
          <t>1445/03/19</t>
        </is>
      </c>
    </row>
    <row r="17249">
      <c r="A17249" t="n">
        <v>14450320</v>
      </c>
      <c r="B17249" t="n">
        <v>60792</v>
      </c>
      <c r="C17249" t="inlineStr">
        <is>
          <t>1445/03/20</t>
        </is>
      </c>
    </row>
    <row r="17250">
      <c r="A17250" t="n">
        <v>14450321</v>
      </c>
      <c r="B17250" t="n">
        <v>60793</v>
      </c>
      <c r="C17250" t="inlineStr">
        <is>
          <t>1445/03/21</t>
        </is>
      </c>
    </row>
    <row r="17251">
      <c r="A17251" t="n">
        <v>14450322</v>
      </c>
      <c r="B17251" t="n">
        <v>60794</v>
      </c>
      <c r="C17251" t="inlineStr">
        <is>
          <t>1445/03/22</t>
        </is>
      </c>
    </row>
    <row r="17252">
      <c r="A17252" t="n">
        <v>14450323</v>
      </c>
      <c r="B17252" t="n">
        <v>60795</v>
      </c>
      <c r="C17252" t="inlineStr">
        <is>
          <t>1445/03/23</t>
        </is>
      </c>
    </row>
    <row r="17253">
      <c r="A17253" t="n">
        <v>14450324</v>
      </c>
      <c r="B17253" t="n">
        <v>60796</v>
      </c>
      <c r="C17253" t="inlineStr">
        <is>
          <t>1445/03/24</t>
        </is>
      </c>
    </row>
    <row r="17254">
      <c r="A17254" t="n">
        <v>14450325</v>
      </c>
      <c r="B17254" t="n">
        <v>60797</v>
      </c>
      <c r="C17254" t="inlineStr">
        <is>
          <t>1445/03/25</t>
        </is>
      </c>
    </row>
    <row r="17255">
      <c r="A17255" t="n">
        <v>14450326</v>
      </c>
      <c r="B17255" t="n">
        <v>60798</v>
      </c>
      <c r="C17255" t="inlineStr">
        <is>
          <t>1445/03/26</t>
        </is>
      </c>
    </row>
    <row r="17256">
      <c r="A17256" t="n">
        <v>14450327</v>
      </c>
      <c r="B17256" t="n">
        <v>60799</v>
      </c>
      <c r="C17256" t="inlineStr">
        <is>
          <t>1445/03/27</t>
        </is>
      </c>
    </row>
    <row r="17257">
      <c r="A17257" t="n">
        <v>14450328</v>
      </c>
      <c r="B17257" t="n">
        <v>60800</v>
      </c>
      <c r="C17257" t="inlineStr">
        <is>
          <t>1445/03/28</t>
        </is>
      </c>
    </row>
    <row r="17258">
      <c r="A17258" t="n">
        <v>14450329</v>
      </c>
      <c r="B17258" t="n">
        <v>60801</v>
      </c>
      <c r="C17258" t="inlineStr">
        <is>
          <t>1445/03/29</t>
        </is>
      </c>
    </row>
    <row r="17259">
      <c r="A17259" t="n">
        <v>14450330</v>
      </c>
      <c r="B17259" t="n">
        <v>60802</v>
      </c>
      <c r="C17259" t="inlineStr">
        <is>
          <t>1445/03/30</t>
        </is>
      </c>
    </row>
    <row r="17260">
      <c r="A17260" t="n">
        <v>14450331</v>
      </c>
      <c r="B17260" t="n">
        <v>60803</v>
      </c>
      <c r="C17260" t="inlineStr">
        <is>
          <t>1445/03/31</t>
        </is>
      </c>
    </row>
    <row r="17261">
      <c r="A17261" t="n">
        <v>14450401</v>
      </c>
      <c r="B17261" t="n">
        <v>60804</v>
      </c>
      <c r="C17261" t="inlineStr">
        <is>
          <t>1445/04/01</t>
        </is>
      </c>
    </row>
    <row r="17262">
      <c r="A17262" t="n">
        <v>14450402</v>
      </c>
      <c r="B17262" t="n">
        <v>60805</v>
      </c>
      <c r="C17262" t="inlineStr">
        <is>
          <t>1445/04/02</t>
        </is>
      </c>
    </row>
    <row r="17263">
      <c r="A17263" t="n">
        <v>14450403</v>
      </c>
      <c r="B17263" t="n">
        <v>60806</v>
      </c>
      <c r="C17263" t="inlineStr">
        <is>
          <t>1445/04/03</t>
        </is>
      </c>
    </row>
    <row r="17264">
      <c r="A17264" t="n">
        <v>14450404</v>
      </c>
      <c r="B17264" t="n">
        <v>60807</v>
      </c>
      <c r="C17264" t="inlineStr">
        <is>
          <t>1445/04/04</t>
        </is>
      </c>
    </row>
    <row r="17265">
      <c r="A17265" t="n">
        <v>14450405</v>
      </c>
      <c r="B17265" t="n">
        <v>60808</v>
      </c>
      <c r="C17265" t="inlineStr">
        <is>
          <t>1445/04/05</t>
        </is>
      </c>
    </row>
    <row r="17266">
      <c r="A17266" t="n">
        <v>14450406</v>
      </c>
      <c r="B17266" t="n">
        <v>60809</v>
      </c>
      <c r="C17266" t="inlineStr">
        <is>
          <t>1445/04/06</t>
        </is>
      </c>
    </row>
    <row r="17267">
      <c r="A17267" t="n">
        <v>14450407</v>
      </c>
      <c r="B17267" t="n">
        <v>60810</v>
      </c>
      <c r="C17267" t="inlineStr">
        <is>
          <t>1445/04/07</t>
        </is>
      </c>
    </row>
    <row r="17268">
      <c r="A17268" t="n">
        <v>14450408</v>
      </c>
      <c r="B17268" t="n">
        <v>60811</v>
      </c>
      <c r="C17268" t="inlineStr">
        <is>
          <t>1445/04/08</t>
        </is>
      </c>
    </row>
    <row r="17269">
      <c r="A17269" t="n">
        <v>14450409</v>
      </c>
      <c r="B17269" t="n">
        <v>60812</v>
      </c>
      <c r="C17269" t="inlineStr">
        <is>
          <t>1445/04/09</t>
        </is>
      </c>
    </row>
    <row r="17270">
      <c r="A17270" t="n">
        <v>14450410</v>
      </c>
      <c r="B17270" t="n">
        <v>60813</v>
      </c>
      <c r="C17270" t="inlineStr">
        <is>
          <t>1445/04/10</t>
        </is>
      </c>
    </row>
    <row r="17271">
      <c r="A17271" t="n">
        <v>14450411</v>
      </c>
      <c r="B17271" t="n">
        <v>60814</v>
      </c>
      <c r="C17271" t="inlineStr">
        <is>
          <t>1445/04/11</t>
        </is>
      </c>
    </row>
    <row r="17272">
      <c r="A17272" t="n">
        <v>14450412</v>
      </c>
      <c r="B17272" t="n">
        <v>60815</v>
      </c>
      <c r="C17272" t="inlineStr">
        <is>
          <t>1445/04/12</t>
        </is>
      </c>
    </row>
    <row r="17273">
      <c r="A17273" t="n">
        <v>14450413</v>
      </c>
      <c r="B17273" t="n">
        <v>60816</v>
      </c>
      <c r="C17273" t="inlineStr">
        <is>
          <t>1445/04/13</t>
        </is>
      </c>
    </row>
    <row r="17274">
      <c r="A17274" t="n">
        <v>14450414</v>
      </c>
      <c r="B17274" t="n">
        <v>60817</v>
      </c>
      <c r="C17274" t="inlineStr">
        <is>
          <t>1445/04/14</t>
        </is>
      </c>
    </row>
    <row r="17275">
      <c r="A17275" t="n">
        <v>14450415</v>
      </c>
      <c r="B17275" t="n">
        <v>60818</v>
      </c>
      <c r="C17275" t="inlineStr">
        <is>
          <t>1445/04/15</t>
        </is>
      </c>
    </row>
    <row r="17276">
      <c r="A17276" t="n">
        <v>14450416</v>
      </c>
      <c r="B17276" t="n">
        <v>60819</v>
      </c>
      <c r="C17276" t="inlineStr">
        <is>
          <t>1445/04/16</t>
        </is>
      </c>
    </row>
    <row r="17277">
      <c r="A17277" t="n">
        <v>14450417</v>
      </c>
      <c r="B17277" t="n">
        <v>60820</v>
      </c>
      <c r="C17277" t="inlineStr">
        <is>
          <t>1445/04/17</t>
        </is>
      </c>
    </row>
    <row r="17278">
      <c r="A17278" t="n">
        <v>14450418</v>
      </c>
      <c r="B17278" t="n">
        <v>60821</v>
      </c>
      <c r="C17278" t="inlineStr">
        <is>
          <t>1445/04/18</t>
        </is>
      </c>
    </row>
    <row r="17279">
      <c r="A17279" t="n">
        <v>14450419</v>
      </c>
      <c r="B17279" t="n">
        <v>60822</v>
      </c>
      <c r="C17279" t="inlineStr">
        <is>
          <t>1445/04/19</t>
        </is>
      </c>
    </row>
    <row r="17280">
      <c r="A17280" t="n">
        <v>14450420</v>
      </c>
      <c r="B17280" t="n">
        <v>60823</v>
      </c>
      <c r="C17280" t="inlineStr">
        <is>
          <t>1445/04/20</t>
        </is>
      </c>
    </row>
    <row r="17281">
      <c r="A17281" t="n">
        <v>14450421</v>
      </c>
      <c r="B17281" t="n">
        <v>60824</v>
      </c>
      <c r="C17281" t="inlineStr">
        <is>
          <t>1445/04/21</t>
        </is>
      </c>
    </row>
    <row r="17282">
      <c r="A17282" t="n">
        <v>14450422</v>
      </c>
      <c r="B17282" t="n">
        <v>60825</v>
      </c>
      <c r="C17282" t="inlineStr">
        <is>
          <t>1445/04/22</t>
        </is>
      </c>
    </row>
    <row r="17283">
      <c r="A17283" t="n">
        <v>14450423</v>
      </c>
      <c r="B17283" t="n">
        <v>60826</v>
      </c>
      <c r="C17283" t="inlineStr">
        <is>
          <t>1445/04/23</t>
        </is>
      </c>
    </row>
    <row r="17284">
      <c r="A17284" t="n">
        <v>14450424</v>
      </c>
      <c r="B17284" t="n">
        <v>60827</v>
      </c>
      <c r="C17284" t="inlineStr">
        <is>
          <t>1445/04/24</t>
        </is>
      </c>
    </row>
    <row r="17285">
      <c r="A17285" t="n">
        <v>14450425</v>
      </c>
      <c r="B17285" t="n">
        <v>60828</v>
      </c>
      <c r="C17285" t="inlineStr">
        <is>
          <t>1445/04/25</t>
        </is>
      </c>
    </row>
    <row r="17286">
      <c r="A17286" t="n">
        <v>14450426</v>
      </c>
      <c r="B17286" t="n">
        <v>60829</v>
      </c>
      <c r="C17286" t="inlineStr">
        <is>
          <t>1445/04/26</t>
        </is>
      </c>
    </row>
    <row r="17287">
      <c r="A17287" t="n">
        <v>14450427</v>
      </c>
      <c r="B17287" t="n">
        <v>60830</v>
      </c>
      <c r="C17287" t="inlineStr">
        <is>
          <t>1445/04/27</t>
        </is>
      </c>
    </row>
    <row r="17288">
      <c r="A17288" t="n">
        <v>14450428</v>
      </c>
      <c r="B17288" t="n">
        <v>60831</v>
      </c>
      <c r="C17288" t="inlineStr">
        <is>
          <t>1445/04/28</t>
        </is>
      </c>
    </row>
    <row r="17289">
      <c r="A17289" t="n">
        <v>14450429</v>
      </c>
      <c r="B17289" t="n">
        <v>60832</v>
      </c>
      <c r="C17289" t="inlineStr">
        <is>
          <t>1445/04/29</t>
        </is>
      </c>
    </row>
    <row r="17290">
      <c r="A17290" t="n">
        <v>14450430</v>
      </c>
      <c r="B17290" t="n">
        <v>60833</v>
      </c>
      <c r="C17290" t="inlineStr">
        <is>
          <t>1445/04/30</t>
        </is>
      </c>
    </row>
    <row r="17291">
      <c r="A17291" t="n">
        <v>14450431</v>
      </c>
      <c r="B17291" t="n">
        <v>60834</v>
      </c>
      <c r="C17291" t="inlineStr">
        <is>
          <t>1445/04/31</t>
        </is>
      </c>
    </row>
    <row r="17292">
      <c r="A17292" t="n">
        <v>14450501</v>
      </c>
      <c r="B17292" t="n">
        <v>60835</v>
      </c>
      <c r="C17292" t="inlineStr">
        <is>
          <t>1445/05/01</t>
        </is>
      </c>
    </row>
    <row r="17293">
      <c r="A17293" t="n">
        <v>14450502</v>
      </c>
      <c r="B17293" t="n">
        <v>60836</v>
      </c>
      <c r="C17293" t="inlineStr">
        <is>
          <t>1445/05/02</t>
        </is>
      </c>
    </row>
    <row r="17294">
      <c r="A17294" t="n">
        <v>14450503</v>
      </c>
      <c r="B17294" t="n">
        <v>60837</v>
      </c>
      <c r="C17294" t="inlineStr">
        <is>
          <t>1445/05/03</t>
        </is>
      </c>
    </row>
    <row r="17295">
      <c r="A17295" t="n">
        <v>14450504</v>
      </c>
      <c r="B17295" t="n">
        <v>60838</v>
      </c>
      <c r="C17295" t="inlineStr">
        <is>
          <t>1445/05/04</t>
        </is>
      </c>
    </row>
    <row r="17296">
      <c r="A17296" t="n">
        <v>14450505</v>
      </c>
      <c r="B17296" t="n">
        <v>60839</v>
      </c>
      <c r="C17296" t="inlineStr">
        <is>
          <t>1445/05/05</t>
        </is>
      </c>
    </row>
    <row r="17297">
      <c r="A17297" t="n">
        <v>14450506</v>
      </c>
      <c r="B17297" t="n">
        <v>60840</v>
      </c>
      <c r="C17297" t="inlineStr">
        <is>
          <t>1445/05/06</t>
        </is>
      </c>
    </row>
    <row r="17298">
      <c r="A17298" t="n">
        <v>14450507</v>
      </c>
      <c r="B17298" t="n">
        <v>60841</v>
      </c>
      <c r="C17298" t="inlineStr">
        <is>
          <t>1445/05/07</t>
        </is>
      </c>
    </row>
    <row r="17299">
      <c r="A17299" t="n">
        <v>14450508</v>
      </c>
      <c r="B17299" t="n">
        <v>60842</v>
      </c>
      <c r="C17299" t="inlineStr">
        <is>
          <t>1445/05/08</t>
        </is>
      </c>
    </row>
    <row r="17300">
      <c r="A17300" t="n">
        <v>14450509</v>
      </c>
      <c r="B17300" t="n">
        <v>60843</v>
      </c>
      <c r="C17300" t="inlineStr">
        <is>
          <t>1445/05/09</t>
        </is>
      </c>
    </row>
    <row r="17301">
      <c r="A17301" t="n">
        <v>14450510</v>
      </c>
      <c r="B17301" t="n">
        <v>60844</v>
      </c>
      <c r="C17301" t="inlineStr">
        <is>
          <t>1445/05/10</t>
        </is>
      </c>
    </row>
    <row r="17302">
      <c r="A17302" t="n">
        <v>14450511</v>
      </c>
      <c r="B17302" t="n">
        <v>60845</v>
      </c>
      <c r="C17302" t="inlineStr">
        <is>
          <t>1445/05/11</t>
        </is>
      </c>
    </row>
    <row r="17303">
      <c r="A17303" t="n">
        <v>14450512</v>
      </c>
      <c r="B17303" t="n">
        <v>60846</v>
      </c>
      <c r="C17303" t="inlineStr">
        <is>
          <t>1445/05/12</t>
        </is>
      </c>
    </row>
    <row r="17304">
      <c r="A17304" t="n">
        <v>14450513</v>
      </c>
      <c r="B17304" t="n">
        <v>60847</v>
      </c>
      <c r="C17304" t="inlineStr">
        <is>
          <t>1445/05/13</t>
        </is>
      </c>
    </row>
    <row r="17305">
      <c r="A17305" t="n">
        <v>14450514</v>
      </c>
      <c r="B17305" t="n">
        <v>60848</v>
      </c>
      <c r="C17305" t="inlineStr">
        <is>
          <t>1445/05/14</t>
        </is>
      </c>
    </row>
    <row r="17306">
      <c r="A17306" t="n">
        <v>14450515</v>
      </c>
      <c r="B17306" t="n">
        <v>60849</v>
      </c>
      <c r="C17306" t="inlineStr">
        <is>
          <t>1445/05/15</t>
        </is>
      </c>
    </row>
    <row r="17307">
      <c r="A17307" t="n">
        <v>14450516</v>
      </c>
      <c r="B17307" t="n">
        <v>60850</v>
      </c>
      <c r="C17307" t="inlineStr">
        <is>
          <t>1445/05/16</t>
        </is>
      </c>
    </row>
    <row r="17308">
      <c r="A17308" t="n">
        <v>14450517</v>
      </c>
      <c r="B17308" t="n">
        <v>60851</v>
      </c>
      <c r="C17308" t="inlineStr">
        <is>
          <t>1445/05/17</t>
        </is>
      </c>
    </row>
    <row r="17309">
      <c r="A17309" t="n">
        <v>14450518</v>
      </c>
      <c r="B17309" t="n">
        <v>60852</v>
      </c>
      <c r="C17309" t="inlineStr">
        <is>
          <t>1445/05/18</t>
        </is>
      </c>
    </row>
    <row r="17310">
      <c r="A17310" t="n">
        <v>14450519</v>
      </c>
      <c r="B17310" t="n">
        <v>60853</v>
      </c>
      <c r="C17310" t="inlineStr">
        <is>
          <t>1445/05/19</t>
        </is>
      </c>
    </row>
    <row r="17311">
      <c r="A17311" t="n">
        <v>14450520</v>
      </c>
      <c r="B17311" t="n">
        <v>60854</v>
      </c>
      <c r="C17311" t="inlineStr">
        <is>
          <t>1445/05/20</t>
        </is>
      </c>
    </row>
    <row r="17312">
      <c r="A17312" t="n">
        <v>14450521</v>
      </c>
      <c r="B17312" t="n">
        <v>60855</v>
      </c>
      <c r="C17312" t="inlineStr">
        <is>
          <t>1445/05/21</t>
        </is>
      </c>
    </row>
    <row r="17313">
      <c r="A17313" t="n">
        <v>14450522</v>
      </c>
      <c r="B17313" t="n">
        <v>60856</v>
      </c>
      <c r="C17313" t="inlineStr">
        <is>
          <t>1445/05/22</t>
        </is>
      </c>
    </row>
    <row r="17314">
      <c r="A17314" t="n">
        <v>14450523</v>
      </c>
      <c r="B17314" t="n">
        <v>60857</v>
      </c>
      <c r="C17314" t="inlineStr">
        <is>
          <t>1445/05/23</t>
        </is>
      </c>
    </row>
    <row r="17315">
      <c r="A17315" t="n">
        <v>14450524</v>
      </c>
      <c r="B17315" t="n">
        <v>60858</v>
      </c>
      <c r="C17315" t="inlineStr">
        <is>
          <t>1445/05/24</t>
        </is>
      </c>
    </row>
    <row r="17316">
      <c r="A17316" t="n">
        <v>14450525</v>
      </c>
      <c r="B17316" t="n">
        <v>60859</v>
      </c>
      <c r="C17316" t="inlineStr">
        <is>
          <t>1445/05/25</t>
        </is>
      </c>
    </row>
    <row r="17317">
      <c r="A17317" t="n">
        <v>14450526</v>
      </c>
      <c r="B17317" t="n">
        <v>60860</v>
      </c>
      <c r="C17317" t="inlineStr">
        <is>
          <t>1445/05/26</t>
        </is>
      </c>
    </row>
    <row r="17318">
      <c r="A17318" t="n">
        <v>14450527</v>
      </c>
      <c r="B17318" t="n">
        <v>60861</v>
      </c>
      <c r="C17318" t="inlineStr">
        <is>
          <t>1445/05/27</t>
        </is>
      </c>
    </row>
    <row r="17319">
      <c r="A17319" t="n">
        <v>14450528</v>
      </c>
      <c r="B17319" t="n">
        <v>60862</v>
      </c>
      <c r="C17319" t="inlineStr">
        <is>
          <t>1445/05/28</t>
        </is>
      </c>
    </row>
    <row r="17320">
      <c r="A17320" t="n">
        <v>14450529</v>
      </c>
      <c r="B17320" t="n">
        <v>60863</v>
      </c>
      <c r="C17320" t="inlineStr">
        <is>
          <t>1445/05/29</t>
        </is>
      </c>
    </row>
    <row r="17321">
      <c r="A17321" t="n">
        <v>14450530</v>
      </c>
      <c r="B17321" t="n">
        <v>60864</v>
      </c>
      <c r="C17321" t="inlineStr">
        <is>
          <t>1445/05/30</t>
        </is>
      </c>
    </row>
    <row r="17322">
      <c r="A17322" t="n">
        <v>14450531</v>
      </c>
      <c r="B17322" t="n">
        <v>60865</v>
      </c>
      <c r="C17322" t="inlineStr">
        <is>
          <t>1445/05/31</t>
        </is>
      </c>
    </row>
    <row r="17323">
      <c r="A17323" t="n">
        <v>14450601</v>
      </c>
      <c r="B17323" t="n">
        <v>60866</v>
      </c>
      <c r="C17323" t="inlineStr">
        <is>
          <t>1445/06/01</t>
        </is>
      </c>
    </row>
    <row r="17324">
      <c r="A17324" t="n">
        <v>14450602</v>
      </c>
      <c r="B17324" t="n">
        <v>60867</v>
      </c>
      <c r="C17324" t="inlineStr">
        <is>
          <t>1445/06/02</t>
        </is>
      </c>
    </row>
    <row r="17325">
      <c r="A17325" t="n">
        <v>14450603</v>
      </c>
      <c r="B17325" t="n">
        <v>60868</v>
      </c>
      <c r="C17325" t="inlineStr">
        <is>
          <t>1445/06/03</t>
        </is>
      </c>
    </row>
    <row r="17326">
      <c r="A17326" t="n">
        <v>14450604</v>
      </c>
      <c r="B17326" t="n">
        <v>60869</v>
      </c>
      <c r="C17326" t="inlineStr">
        <is>
          <t>1445/06/04</t>
        </is>
      </c>
    </row>
    <row r="17327">
      <c r="A17327" t="n">
        <v>14450605</v>
      </c>
      <c r="B17327" t="n">
        <v>60870</v>
      </c>
      <c r="C17327" t="inlineStr">
        <is>
          <t>1445/06/05</t>
        </is>
      </c>
    </row>
    <row r="17328">
      <c r="A17328" t="n">
        <v>14450606</v>
      </c>
      <c r="B17328" t="n">
        <v>60871</v>
      </c>
      <c r="C17328" t="inlineStr">
        <is>
          <t>1445/06/06</t>
        </is>
      </c>
    </row>
    <row r="17329">
      <c r="A17329" t="n">
        <v>14450607</v>
      </c>
      <c r="B17329" t="n">
        <v>60872</v>
      </c>
      <c r="C17329" t="inlineStr">
        <is>
          <t>1445/06/07</t>
        </is>
      </c>
    </row>
    <row r="17330">
      <c r="A17330" t="n">
        <v>14450608</v>
      </c>
      <c r="B17330" t="n">
        <v>60873</v>
      </c>
      <c r="C17330" t="inlineStr">
        <is>
          <t>1445/06/08</t>
        </is>
      </c>
    </row>
    <row r="17331">
      <c r="A17331" t="n">
        <v>14450609</v>
      </c>
      <c r="B17331" t="n">
        <v>60874</v>
      </c>
      <c r="C17331" t="inlineStr">
        <is>
          <t>1445/06/09</t>
        </is>
      </c>
    </row>
    <row r="17332">
      <c r="A17332" t="n">
        <v>14450610</v>
      </c>
      <c r="B17332" t="n">
        <v>60875</v>
      </c>
      <c r="C17332" t="inlineStr">
        <is>
          <t>1445/06/10</t>
        </is>
      </c>
    </row>
    <row r="17333">
      <c r="A17333" t="n">
        <v>14450611</v>
      </c>
      <c r="B17333" t="n">
        <v>60876</v>
      </c>
      <c r="C17333" t="inlineStr">
        <is>
          <t>1445/06/11</t>
        </is>
      </c>
    </row>
    <row r="17334">
      <c r="A17334" t="n">
        <v>14450612</v>
      </c>
      <c r="B17334" t="n">
        <v>60877</v>
      </c>
      <c r="C17334" t="inlineStr">
        <is>
          <t>1445/06/12</t>
        </is>
      </c>
    </row>
    <row r="17335">
      <c r="A17335" t="n">
        <v>14450613</v>
      </c>
      <c r="B17335" t="n">
        <v>60878</v>
      </c>
      <c r="C17335" t="inlineStr">
        <is>
          <t>1445/06/13</t>
        </is>
      </c>
    </row>
    <row r="17336">
      <c r="A17336" t="n">
        <v>14450614</v>
      </c>
      <c r="B17336" t="n">
        <v>60879</v>
      </c>
      <c r="C17336" t="inlineStr">
        <is>
          <t>1445/06/14</t>
        </is>
      </c>
    </row>
    <row r="17337">
      <c r="A17337" t="n">
        <v>14450615</v>
      </c>
      <c r="B17337" t="n">
        <v>60880</v>
      </c>
      <c r="C17337" t="inlineStr">
        <is>
          <t>1445/06/15</t>
        </is>
      </c>
    </row>
    <row r="17338">
      <c r="A17338" t="n">
        <v>14450616</v>
      </c>
      <c r="B17338" t="n">
        <v>60881</v>
      </c>
      <c r="C17338" t="inlineStr">
        <is>
          <t>1445/06/16</t>
        </is>
      </c>
    </row>
    <row r="17339">
      <c r="A17339" t="n">
        <v>14450617</v>
      </c>
      <c r="B17339" t="n">
        <v>60882</v>
      </c>
      <c r="C17339" t="inlineStr">
        <is>
          <t>1445/06/17</t>
        </is>
      </c>
    </row>
    <row r="17340">
      <c r="A17340" t="n">
        <v>14450618</v>
      </c>
      <c r="B17340" t="n">
        <v>60883</v>
      </c>
      <c r="C17340" t="inlineStr">
        <is>
          <t>1445/06/18</t>
        </is>
      </c>
    </row>
    <row r="17341">
      <c r="A17341" t="n">
        <v>14450619</v>
      </c>
      <c r="B17341" t="n">
        <v>60884</v>
      </c>
      <c r="C17341" t="inlineStr">
        <is>
          <t>1445/06/19</t>
        </is>
      </c>
    </row>
    <row r="17342">
      <c r="A17342" t="n">
        <v>14450620</v>
      </c>
      <c r="B17342" t="n">
        <v>60885</v>
      </c>
      <c r="C17342" t="inlineStr">
        <is>
          <t>1445/06/20</t>
        </is>
      </c>
    </row>
    <row r="17343">
      <c r="A17343" t="n">
        <v>14450621</v>
      </c>
      <c r="B17343" t="n">
        <v>60886</v>
      </c>
      <c r="C17343" t="inlineStr">
        <is>
          <t>1445/06/21</t>
        </is>
      </c>
    </row>
    <row r="17344">
      <c r="A17344" t="n">
        <v>14450622</v>
      </c>
      <c r="B17344" t="n">
        <v>60887</v>
      </c>
      <c r="C17344" t="inlineStr">
        <is>
          <t>1445/06/22</t>
        </is>
      </c>
    </row>
    <row r="17345">
      <c r="A17345" t="n">
        <v>14450623</v>
      </c>
      <c r="B17345" t="n">
        <v>60888</v>
      </c>
      <c r="C17345" t="inlineStr">
        <is>
          <t>1445/06/23</t>
        </is>
      </c>
    </row>
    <row r="17346">
      <c r="A17346" t="n">
        <v>14450624</v>
      </c>
      <c r="B17346" t="n">
        <v>60889</v>
      </c>
      <c r="C17346" t="inlineStr">
        <is>
          <t>1445/06/24</t>
        </is>
      </c>
    </row>
    <row r="17347">
      <c r="A17347" t="n">
        <v>14450625</v>
      </c>
      <c r="B17347" t="n">
        <v>60890</v>
      </c>
      <c r="C17347" t="inlineStr">
        <is>
          <t>1445/06/25</t>
        </is>
      </c>
    </row>
    <row r="17348">
      <c r="A17348" t="n">
        <v>14450626</v>
      </c>
      <c r="B17348" t="n">
        <v>60891</v>
      </c>
      <c r="C17348" t="inlineStr">
        <is>
          <t>1445/06/26</t>
        </is>
      </c>
    </row>
    <row r="17349">
      <c r="A17349" t="n">
        <v>14450627</v>
      </c>
      <c r="B17349" t="n">
        <v>60892</v>
      </c>
      <c r="C17349" t="inlineStr">
        <is>
          <t>1445/06/27</t>
        </is>
      </c>
    </row>
    <row r="17350">
      <c r="A17350" t="n">
        <v>14450628</v>
      </c>
      <c r="B17350" t="n">
        <v>60893</v>
      </c>
      <c r="C17350" t="inlineStr">
        <is>
          <t>1445/06/28</t>
        </is>
      </c>
    </row>
    <row r="17351">
      <c r="A17351" t="n">
        <v>14450629</v>
      </c>
      <c r="B17351" t="n">
        <v>60894</v>
      </c>
      <c r="C17351" t="inlineStr">
        <is>
          <t>1445/06/29</t>
        </is>
      </c>
    </row>
    <row r="17352">
      <c r="A17352" t="n">
        <v>14450630</v>
      </c>
      <c r="B17352" t="n">
        <v>60895</v>
      </c>
      <c r="C17352" t="inlineStr">
        <is>
          <t>1445/06/30</t>
        </is>
      </c>
    </row>
    <row r="17353">
      <c r="A17353" t="n">
        <v>14450631</v>
      </c>
      <c r="B17353" t="n">
        <v>60896</v>
      </c>
      <c r="C17353" t="inlineStr">
        <is>
          <t>1445/06/31</t>
        </is>
      </c>
    </row>
    <row r="17354">
      <c r="A17354" t="n">
        <v>14450701</v>
      </c>
      <c r="B17354" t="n">
        <v>60897</v>
      </c>
      <c r="C17354" t="inlineStr">
        <is>
          <t>1445/07/01</t>
        </is>
      </c>
    </row>
    <row r="17355">
      <c r="A17355" t="n">
        <v>14450702</v>
      </c>
      <c r="B17355" t="n">
        <v>60898</v>
      </c>
      <c r="C17355" t="inlineStr">
        <is>
          <t>1445/07/02</t>
        </is>
      </c>
    </row>
    <row r="17356">
      <c r="A17356" t="n">
        <v>14450703</v>
      </c>
      <c r="B17356" t="n">
        <v>60899</v>
      </c>
      <c r="C17356" t="inlineStr">
        <is>
          <t>1445/07/03</t>
        </is>
      </c>
    </row>
    <row r="17357">
      <c r="A17357" t="n">
        <v>14450704</v>
      </c>
      <c r="B17357" t="n">
        <v>60900</v>
      </c>
      <c r="C17357" t="inlineStr">
        <is>
          <t>1445/07/04</t>
        </is>
      </c>
    </row>
    <row r="17358">
      <c r="A17358" t="n">
        <v>14450705</v>
      </c>
      <c r="B17358" t="n">
        <v>60901</v>
      </c>
      <c r="C17358" t="inlineStr">
        <is>
          <t>1445/07/05</t>
        </is>
      </c>
    </row>
    <row r="17359">
      <c r="A17359" t="n">
        <v>14450706</v>
      </c>
      <c r="B17359" t="n">
        <v>60902</v>
      </c>
      <c r="C17359" t="inlineStr">
        <is>
          <t>1445/07/06</t>
        </is>
      </c>
    </row>
    <row r="17360">
      <c r="A17360" t="n">
        <v>14450707</v>
      </c>
      <c r="B17360" t="n">
        <v>60903</v>
      </c>
      <c r="C17360" t="inlineStr">
        <is>
          <t>1445/07/07</t>
        </is>
      </c>
    </row>
    <row r="17361">
      <c r="A17361" t="n">
        <v>14450708</v>
      </c>
      <c r="B17361" t="n">
        <v>60904</v>
      </c>
      <c r="C17361" t="inlineStr">
        <is>
          <t>1445/07/08</t>
        </is>
      </c>
    </row>
    <row r="17362">
      <c r="A17362" t="n">
        <v>14450709</v>
      </c>
      <c r="B17362" t="n">
        <v>60905</v>
      </c>
      <c r="C17362" t="inlineStr">
        <is>
          <t>1445/07/09</t>
        </is>
      </c>
    </row>
    <row r="17363">
      <c r="A17363" t="n">
        <v>14450710</v>
      </c>
      <c r="B17363" t="n">
        <v>60906</v>
      </c>
      <c r="C17363" t="inlineStr">
        <is>
          <t>1445/07/10</t>
        </is>
      </c>
    </row>
    <row r="17364">
      <c r="A17364" t="n">
        <v>14450711</v>
      </c>
      <c r="B17364" t="n">
        <v>60907</v>
      </c>
      <c r="C17364" t="inlineStr">
        <is>
          <t>1445/07/11</t>
        </is>
      </c>
    </row>
    <row r="17365">
      <c r="A17365" t="n">
        <v>14450712</v>
      </c>
      <c r="B17365" t="n">
        <v>60908</v>
      </c>
      <c r="C17365" t="inlineStr">
        <is>
          <t>1445/07/12</t>
        </is>
      </c>
    </row>
    <row r="17366">
      <c r="A17366" t="n">
        <v>14450713</v>
      </c>
      <c r="B17366" t="n">
        <v>60909</v>
      </c>
      <c r="C17366" t="inlineStr">
        <is>
          <t>1445/07/13</t>
        </is>
      </c>
    </row>
    <row r="17367">
      <c r="A17367" t="n">
        <v>14450714</v>
      </c>
      <c r="B17367" t="n">
        <v>60910</v>
      </c>
      <c r="C17367" t="inlineStr">
        <is>
          <t>1445/07/14</t>
        </is>
      </c>
    </row>
    <row r="17368">
      <c r="A17368" t="n">
        <v>14450715</v>
      </c>
      <c r="B17368" t="n">
        <v>60911</v>
      </c>
      <c r="C17368" t="inlineStr">
        <is>
          <t>1445/07/15</t>
        </is>
      </c>
    </row>
    <row r="17369">
      <c r="A17369" t="n">
        <v>14450716</v>
      </c>
      <c r="B17369" t="n">
        <v>60912</v>
      </c>
      <c r="C17369" t="inlineStr">
        <is>
          <t>1445/07/16</t>
        </is>
      </c>
    </row>
    <row r="17370">
      <c r="A17370" t="n">
        <v>14450717</v>
      </c>
      <c r="B17370" t="n">
        <v>60913</v>
      </c>
      <c r="C17370" t="inlineStr">
        <is>
          <t>1445/07/17</t>
        </is>
      </c>
    </row>
    <row r="17371">
      <c r="A17371" t="n">
        <v>14450718</v>
      </c>
      <c r="B17371" t="n">
        <v>60914</v>
      </c>
      <c r="C17371" t="inlineStr">
        <is>
          <t>1445/07/18</t>
        </is>
      </c>
    </row>
    <row r="17372">
      <c r="A17372" t="n">
        <v>14450719</v>
      </c>
      <c r="B17372" t="n">
        <v>60915</v>
      </c>
      <c r="C17372" t="inlineStr">
        <is>
          <t>1445/07/19</t>
        </is>
      </c>
    </row>
    <row r="17373">
      <c r="A17373" t="n">
        <v>14450720</v>
      </c>
      <c r="B17373" t="n">
        <v>60916</v>
      </c>
      <c r="C17373" t="inlineStr">
        <is>
          <t>1445/07/20</t>
        </is>
      </c>
    </row>
    <row r="17374">
      <c r="A17374" t="n">
        <v>14450721</v>
      </c>
      <c r="B17374" t="n">
        <v>60917</v>
      </c>
      <c r="C17374" t="inlineStr">
        <is>
          <t>1445/07/21</t>
        </is>
      </c>
    </row>
    <row r="17375">
      <c r="A17375" t="n">
        <v>14450722</v>
      </c>
      <c r="B17375" t="n">
        <v>60918</v>
      </c>
      <c r="C17375" t="inlineStr">
        <is>
          <t>1445/07/22</t>
        </is>
      </c>
    </row>
    <row r="17376">
      <c r="A17376" t="n">
        <v>14450723</v>
      </c>
      <c r="B17376" t="n">
        <v>60919</v>
      </c>
      <c r="C17376" t="inlineStr">
        <is>
          <t>1445/07/23</t>
        </is>
      </c>
    </row>
    <row r="17377">
      <c r="A17377" t="n">
        <v>14450724</v>
      </c>
      <c r="B17377" t="n">
        <v>60920</v>
      </c>
      <c r="C17377" t="inlineStr">
        <is>
          <t>1445/07/24</t>
        </is>
      </c>
    </row>
    <row r="17378">
      <c r="A17378" t="n">
        <v>14450725</v>
      </c>
      <c r="B17378" t="n">
        <v>60921</v>
      </c>
      <c r="C17378" t="inlineStr">
        <is>
          <t>1445/07/25</t>
        </is>
      </c>
    </row>
    <row r="17379">
      <c r="A17379" t="n">
        <v>14450726</v>
      </c>
      <c r="B17379" t="n">
        <v>60922</v>
      </c>
      <c r="C17379" t="inlineStr">
        <is>
          <t>1445/07/26</t>
        </is>
      </c>
    </row>
    <row r="17380">
      <c r="A17380" t="n">
        <v>14450727</v>
      </c>
      <c r="B17380" t="n">
        <v>60923</v>
      </c>
      <c r="C17380" t="inlineStr">
        <is>
          <t>1445/07/27</t>
        </is>
      </c>
    </row>
    <row r="17381">
      <c r="A17381" t="n">
        <v>14450728</v>
      </c>
      <c r="B17381" t="n">
        <v>60924</v>
      </c>
      <c r="C17381" t="inlineStr">
        <is>
          <t>1445/07/28</t>
        </is>
      </c>
    </row>
    <row r="17382">
      <c r="A17382" t="n">
        <v>14450729</v>
      </c>
      <c r="B17382" t="n">
        <v>60925</v>
      </c>
      <c r="C17382" t="inlineStr">
        <is>
          <t>1445/07/29</t>
        </is>
      </c>
    </row>
    <row r="17383">
      <c r="A17383" t="n">
        <v>14450730</v>
      </c>
      <c r="B17383" t="n">
        <v>60926</v>
      </c>
      <c r="C17383" t="inlineStr">
        <is>
          <t>1445/07/30</t>
        </is>
      </c>
    </row>
    <row r="17384">
      <c r="A17384" t="n">
        <v>14450801</v>
      </c>
      <c r="B17384" t="n">
        <v>60927</v>
      </c>
      <c r="C17384" t="inlineStr">
        <is>
          <t>1445/08/01</t>
        </is>
      </c>
    </row>
    <row r="17385">
      <c r="A17385" t="n">
        <v>14450802</v>
      </c>
      <c r="B17385" t="n">
        <v>60928</v>
      </c>
      <c r="C17385" t="inlineStr">
        <is>
          <t>1445/08/02</t>
        </is>
      </c>
    </row>
    <row r="17386">
      <c r="A17386" t="n">
        <v>14450803</v>
      </c>
      <c r="B17386" t="n">
        <v>60929</v>
      </c>
      <c r="C17386" t="inlineStr">
        <is>
          <t>1445/08/03</t>
        </is>
      </c>
    </row>
    <row r="17387">
      <c r="A17387" t="n">
        <v>14450804</v>
      </c>
      <c r="B17387" t="n">
        <v>60930</v>
      </c>
      <c r="C17387" t="inlineStr">
        <is>
          <t>1445/08/04</t>
        </is>
      </c>
    </row>
    <row r="17388">
      <c r="A17388" t="n">
        <v>14450805</v>
      </c>
      <c r="B17388" t="n">
        <v>60931</v>
      </c>
      <c r="C17388" t="inlineStr">
        <is>
          <t>1445/08/05</t>
        </is>
      </c>
    </row>
    <row r="17389">
      <c r="A17389" t="n">
        <v>14450806</v>
      </c>
      <c r="B17389" t="n">
        <v>60932</v>
      </c>
      <c r="C17389" t="inlineStr">
        <is>
          <t>1445/08/06</t>
        </is>
      </c>
    </row>
    <row r="17390">
      <c r="A17390" t="n">
        <v>14450807</v>
      </c>
      <c r="B17390" t="n">
        <v>60933</v>
      </c>
      <c r="C17390" t="inlineStr">
        <is>
          <t>1445/08/07</t>
        </is>
      </c>
    </row>
    <row r="17391">
      <c r="A17391" t="n">
        <v>14450808</v>
      </c>
      <c r="B17391" t="n">
        <v>60934</v>
      </c>
      <c r="C17391" t="inlineStr">
        <is>
          <t>1445/08/08</t>
        </is>
      </c>
    </row>
    <row r="17392">
      <c r="A17392" t="n">
        <v>14450809</v>
      </c>
      <c r="B17392" t="n">
        <v>60935</v>
      </c>
      <c r="C17392" t="inlineStr">
        <is>
          <t>1445/08/09</t>
        </is>
      </c>
    </row>
    <row r="17393">
      <c r="A17393" t="n">
        <v>14450810</v>
      </c>
      <c r="B17393" t="n">
        <v>60936</v>
      </c>
      <c r="C17393" t="inlineStr">
        <is>
          <t>1445/08/10</t>
        </is>
      </c>
    </row>
    <row r="17394">
      <c r="A17394" t="n">
        <v>14450811</v>
      </c>
      <c r="B17394" t="n">
        <v>60937</v>
      </c>
      <c r="C17394" t="inlineStr">
        <is>
          <t>1445/08/11</t>
        </is>
      </c>
    </row>
    <row r="17395">
      <c r="A17395" t="n">
        <v>14450812</v>
      </c>
      <c r="B17395" t="n">
        <v>60938</v>
      </c>
      <c r="C17395" t="inlineStr">
        <is>
          <t>1445/08/12</t>
        </is>
      </c>
    </row>
    <row r="17396">
      <c r="A17396" t="n">
        <v>14450813</v>
      </c>
      <c r="B17396" t="n">
        <v>60939</v>
      </c>
      <c r="C17396" t="inlineStr">
        <is>
          <t>1445/08/13</t>
        </is>
      </c>
    </row>
    <row r="17397">
      <c r="A17397" t="n">
        <v>14450814</v>
      </c>
      <c r="B17397" t="n">
        <v>60940</v>
      </c>
      <c r="C17397" t="inlineStr">
        <is>
          <t>1445/08/14</t>
        </is>
      </c>
    </row>
    <row r="17398">
      <c r="A17398" t="n">
        <v>14450815</v>
      </c>
      <c r="B17398" t="n">
        <v>60941</v>
      </c>
      <c r="C17398" t="inlineStr">
        <is>
          <t>1445/08/15</t>
        </is>
      </c>
    </row>
    <row r="17399">
      <c r="A17399" t="n">
        <v>14450816</v>
      </c>
      <c r="B17399" t="n">
        <v>60942</v>
      </c>
      <c r="C17399" t="inlineStr">
        <is>
          <t>1445/08/16</t>
        </is>
      </c>
    </row>
    <row r="17400">
      <c r="A17400" t="n">
        <v>14450817</v>
      </c>
      <c r="B17400" t="n">
        <v>60943</v>
      </c>
      <c r="C17400" t="inlineStr">
        <is>
          <t>1445/08/17</t>
        </is>
      </c>
    </row>
    <row r="17401">
      <c r="A17401" t="n">
        <v>14450818</v>
      </c>
      <c r="B17401" t="n">
        <v>60944</v>
      </c>
      <c r="C17401" t="inlineStr">
        <is>
          <t>1445/08/18</t>
        </is>
      </c>
    </row>
    <row r="17402">
      <c r="A17402" t="n">
        <v>14450819</v>
      </c>
      <c r="B17402" t="n">
        <v>60945</v>
      </c>
      <c r="C17402" t="inlineStr">
        <is>
          <t>1445/08/19</t>
        </is>
      </c>
    </row>
    <row r="17403">
      <c r="A17403" t="n">
        <v>14450820</v>
      </c>
      <c r="B17403" t="n">
        <v>60946</v>
      </c>
      <c r="C17403" t="inlineStr">
        <is>
          <t>1445/08/20</t>
        </is>
      </c>
    </row>
    <row r="17404">
      <c r="A17404" t="n">
        <v>14450821</v>
      </c>
      <c r="B17404" t="n">
        <v>60947</v>
      </c>
      <c r="C17404" t="inlineStr">
        <is>
          <t>1445/08/21</t>
        </is>
      </c>
    </row>
    <row r="17405">
      <c r="A17405" t="n">
        <v>14450822</v>
      </c>
      <c r="B17405" t="n">
        <v>60948</v>
      </c>
      <c r="C17405" t="inlineStr">
        <is>
          <t>1445/08/22</t>
        </is>
      </c>
    </row>
    <row r="17406">
      <c r="A17406" t="n">
        <v>14450823</v>
      </c>
      <c r="B17406" t="n">
        <v>60949</v>
      </c>
      <c r="C17406" t="inlineStr">
        <is>
          <t>1445/08/23</t>
        </is>
      </c>
    </row>
    <row r="17407">
      <c r="A17407" t="n">
        <v>14450824</v>
      </c>
      <c r="B17407" t="n">
        <v>60950</v>
      </c>
      <c r="C17407" t="inlineStr">
        <is>
          <t>1445/08/24</t>
        </is>
      </c>
    </row>
    <row r="17408">
      <c r="A17408" t="n">
        <v>14450825</v>
      </c>
      <c r="B17408" t="n">
        <v>60951</v>
      </c>
      <c r="C17408" t="inlineStr">
        <is>
          <t>1445/08/25</t>
        </is>
      </c>
    </row>
    <row r="17409">
      <c r="A17409" t="n">
        <v>14450826</v>
      </c>
      <c r="B17409" t="n">
        <v>60952</v>
      </c>
      <c r="C17409" t="inlineStr">
        <is>
          <t>1445/08/26</t>
        </is>
      </c>
    </row>
    <row r="17410">
      <c r="A17410" t="n">
        <v>14450827</v>
      </c>
      <c r="B17410" t="n">
        <v>60953</v>
      </c>
      <c r="C17410" t="inlineStr">
        <is>
          <t>1445/08/27</t>
        </is>
      </c>
    </row>
    <row r="17411">
      <c r="A17411" t="n">
        <v>14450828</v>
      </c>
      <c r="B17411" t="n">
        <v>60954</v>
      </c>
      <c r="C17411" t="inlineStr">
        <is>
          <t>1445/08/28</t>
        </is>
      </c>
    </row>
    <row r="17412">
      <c r="A17412" t="n">
        <v>14450829</v>
      </c>
      <c r="B17412" t="n">
        <v>60955</v>
      </c>
      <c r="C17412" t="inlineStr">
        <is>
          <t>1445/08/29</t>
        </is>
      </c>
    </row>
    <row r="17413">
      <c r="A17413" t="n">
        <v>14450830</v>
      </c>
      <c r="B17413" t="n">
        <v>60956</v>
      </c>
      <c r="C17413" t="inlineStr">
        <is>
          <t>1445/08/30</t>
        </is>
      </c>
    </row>
    <row r="17414">
      <c r="A17414" t="n">
        <v>14450901</v>
      </c>
      <c r="B17414" t="n">
        <v>60957</v>
      </c>
      <c r="C17414" t="inlineStr">
        <is>
          <t>1445/09/01</t>
        </is>
      </c>
    </row>
    <row r="17415">
      <c r="A17415" t="n">
        <v>14450902</v>
      </c>
      <c r="B17415" t="n">
        <v>60958</v>
      </c>
      <c r="C17415" t="inlineStr">
        <is>
          <t>1445/09/02</t>
        </is>
      </c>
    </row>
    <row r="17416">
      <c r="A17416" t="n">
        <v>14450903</v>
      </c>
      <c r="B17416" t="n">
        <v>60959</v>
      </c>
      <c r="C17416" t="inlineStr">
        <is>
          <t>1445/09/03</t>
        </is>
      </c>
    </row>
    <row r="17417">
      <c r="A17417" t="n">
        <v>14450904</v>
      </c>
      <c r="B17417" t="n">
        <v>60960</v>
      </c>
      <c r="C17417" t="inlineStr">
        <is>
          <t>1445/09/04</t>
        </is>
      </c>
    </row>
    <row r="17418">
      <c r="A17418" t="n">
        <v>14450905</v>
      </c>
      <c r="B17418" t="n">
        <v>60961</v>
      </c>
      <c r="C17418" t="inlineStr">
        <is>
          <t>1445/09/05</t>
        </is>
      </c>
    </row>
    <row r="17419">
      <c r="A17419" t="n">
        <v>14450906</v>
      </c>
      <c r="B17419" t="n">
        <v>60962</v>
      </c>
      <c r="C17419" t="inlineStr">
        <is>
          <t>1445/09/06</t>
        </is>
      </c>
    </row>
    <row r="17420">
      <c r="A17420" t="n">
        <v>14450907</v>
      </c>
      <c r="B17420" t="n">
        <v>60963</v>
      </c>
      <c r="C17420" t="inlineStr">
        <is>
          <t>1445/09/07</t>
        </is>
      </c>
    </row>
    <row r="17421">
      <c r="A17421" t="n">
        <v>14450908</v>
      </c>
      <c r="B17421" t="n">
        <v>60964</v>
      </c>
      <c r="C17421" t="inlineStr">
        <is>
          <t>1445/09/08</t>
        </is>
      </c>
    </row>
    <row r="17422">
      <c r="A17422" t="n">
        <v>14450909</v>
      </c>
      <c r="B17422" t="n">
        <v>60965</v>
      </c>
      <c r="C17422" t="inlineStr">
        <is>
          <t>1445/09/09</t>
        </is>
      </c>
    </row>
    <row r="17423">
      <c r="A17423" t="n">
        <v>14450910</v>
      </c>
      <c r="B17423" t="n">
        <v>60966</v>
      </c>
      <c r="C17423" t="inlineStr">
        <is>
          <t>1445/09/10</t>
        </is>
      </c>
    </row>
    <row r="17424">
      <c r="A17424" t="n">
        <v>14450911</v>
      </c>
      <c r="B17424" t="n">
        <v>60967</v>
      </c>
      <c r="C17424" t="inlineStr">
        <is>
          <t>1445/09/11</t>
        </is>
      </c>
    </row>
    <row r="17425">
      <c r="A17425" t="n">
        <v>14450912</v>
      </c>
      <c r="B17425" t="n">
        <v>60968</v>
      </c>
      <c r="C17425" t="inlineStr">
        <is>
          <t>1445/09/12</t>
        </is>
      </c>
    </row>
    <row r="17426">
      <c r="A17426" t="n">
        <v>14450913</v>
      </c>
      <c r="B17426" t="n">
        <v>60969</v>
      </c>
      <c r="C17426" t="inlineStr">
        <is>
          <t>1445/09/13</t>
        </is>
      </c>
    </row>
    <row r="17427">
      <c r="A17427" t="n">
        <v>14450914</v>
      </c>
      <c r="B17427" t="n">
        <v>60970</v>
      </c>
      <c r="C17427" t="inlineStr">
        <is>
          <t>1445/09/14</t>
        </is>
      </c>
    </row>
    <row r="17428">
      <c r="A17428" t="n">
        <v>14450915</v>
      </c>
      <c r="B17428" t="n">
        <v>60971</v>
      </c>
      <c r="C17428" t="inlineStr">
        <is>
          <t>1445/09/15</t>
        </is>
      </c>
    </row>
    <row r="17429">
      <c r="A17429" t="n">
        <v>14450916</v>
      </c>
      <c r="B17429" t="n">
        <v>60972</v>
      </c>
      <c r="C17429" t="inlineStr">
        <is>
          <t>1445/09/16</t>
        </is>
      </c>
    </row>
    <row r="17430">
      <c r="A17430" t="n">
        <v>14450917</v>
      </c>
      <c r="B17430" t="n">
        <v>60973</v>
      </c>
      <c r="C17430" t="inlineStr">
        <is>
          <t>1445/09/17</t>
        </is>
      </c>
    </row>
    <row r="17431">
      <c r="A17431" t="n">
        <v>14450918</v>
      </c>
      <c r="B17431" t="n">
        <v>60974</v>
      </c>
      <c r="C17431" t="inlineStr">
        <is>
          <t>1445/09/18</t>
        </is>
      </c>
    </row>
    <row r="17432">
      <c r="A17432" t="n">
        <v>14450919</v>
      </c>
      <c r="B17432" t="n">
        <v>60975</v>
      </c>
      <c r="C17432" t="inlineStr">
        <is>
          <t>1445/09/19</t>
        </is>
      </c>
    </row>
    <row r="17433">
      <c r="A17433" t="n">
        <v>14450920</v>
      </c>
      <c r="B17433" t="n">
        <v>60976</v>
      </c>
      <c r="C17433" t="inlineStr">
        <is>
          <t>1445/09/20</t>
        </is>
      </c>
    </row>
    <row r="17434">
      <c r="A17434" t="n">
        <v>14450921</v>
      </c>
      <c r="B17434" t="n">
        <v>60977</v>
      </c>
      <c r="C17434" t="inlineStr">
        <is>
          <t>1445/09/21</t>
        </is>
      </c>
    </row>
    <row r="17435">
      <c r="A17435" t="n">
        <v>14450922</v>
      </c>
      <c r="B17435" t="n">
        <v>60978</v>
      </c>
      <c r="C17435" t="inlineStr">
        <is>
          <t>1445/09/22</t>
        </is>
      </c>
    </row>
    <row r="17436">
      <c r="A17436" t="n">
        <v>14450923</v>
      </c>
      <c r="B17436" t="n">
        <v>60979</v>
      </c>
      <c r="C17436" t="inlineStr">
        <is>
          <t>1445/09/23</t>
        </is>
      </c>
    </row>
    <row r="17437">
      <c r="A17437" t="n">
        <v>14450924</v>
      </c>
      <c r="B17437" t="n">
        <v>60980</v>
      </c>
      <c r="C17437" t="inlineStr">
        <is>
          <t>1445/09/24</t>
        </is>
      </c>
    </row>
    <row r="17438">
      <c r="A17438" t="n">
        <v>14450925</v>
      </c>
      <c r="B17438" t="n">
        <v>60981</v>
      </c>
      <c r="C17438" t="inlineStr">
        <is>
          <t>1445/09/25</t>
        </is>
      </c>
    </row>
    <row r="17439">
      <c r="A17439" t="n">
        <v>14450926</v>
      </c>
      <c r="B17439" t="n">
        <v>60982</v>
      </c>
      <c r="C17439" t="inlineStr">
        <is>
          <t>1445/09/26</t>
        </is>
      </c>
    </row>
    <row r="17440">
      <c r="A17440" t="n">
        <v>14450927</v>
      </c>
      <c r="B17440" t="n">
        <v>60983</v>
      </c>
      <c r="C17440" t="inlineStr">
        <is>
          <t>1445/09/27</t>
        </is>
      </c>
    </row>
    <row r="17441">
      <c r="A17441" t="n">
        <v>14450928</v>
      </c>
      <c r="B17441" t="n">
        <v>60984</v>
      </c>
      <c r="C17441" t="inlineStr">
        <is>
          <t>1445/09/28</t>
        </is>
      </c>
    </row>
    <row r="17442">
      <c r="A17442" t="n">
        <v>14450929</v>
      </c>
      <c r="B17442" t="n">
        <v>60985</v>
      </c>
      <c r="C17442" t="inlineStr">
        <is>
          <t>1445/09/29</t>
        </is>
      </c>
    </row>
    <row r="17443">
      <c r="A17443" t="n">
        <v>14450930</v>
      </c>
      <c r="B17443" t="n">
        <v>60986</v>
      </c>
      <c r="C17443" t="inlineStr">
        <is>
          <t>1445/09/30</t>
        </is>
      </c>
    </row>
    <row r="17444">
      <c r="A17444" t="n">
        <v>14451001</v>
      </c>
      <c r="B17444" t="n">
        <v>60987</v>
      </c>
      <c r="C17444" t="inlineStr">
        <is>
          <t>1445/10/01</t>
        </is>
      </c>
    </row>
    <row r="17445">
      <c r="A17445" t="n">
        <v>14451002</v>
      </c>
      <c r="B17445" t="n">
        <v>60988</v>
      </c>
      <c r="C17445" t="inlineStr">
        <is>
          <t>1445/10/02</t>
        </is>
      </c>
    </row>
    <row r="17446">
      <c r="A17446" t="n">
        <v>14451003</v>
      </c>
      <c r="B17446" t="n">
        <v>60989</v>
      </c>
      <c r="C17446" t="inlineStr">
        <is>
          <t>1445/10/03</t>
        </is>
      </c>
    </row>
    <row r="17447">
      <c r="A17447" t="n">
        <v>14451004</v>
      </c>
      <c r="B17447" t="n">
        <v>60990</v>
      </c>
      <c r="C17447" t="inlineStr">
        <is>
          <t>1445/10/04</t>
        </is>
      </c>
    </row>
    <row r="17448">
      <c r="A17448" t="n">
        <v>14451005</v>
      </c>
      <c r="B17448" t="n">
        <v>60991</v>
      </c>
      <c r="C17448" t="inlineStr">
        <is>
          <t>1445/10/05</t>
        </is>
      </c>
    </row>
    <row r="17449">
      <c r="A17449" t="n">
        <v>14451006</v>
      </c>
      <c r="B17449" t="n">
        <v>60992</v>
      </c>
      <c r="C17449" t="inlineStr">
        <is>
          <t>1445/10/06</t>
        </is>
      </c>
    </row>
    <row r="17450">
      <c r="A17450" t="n">
        <v>14451007</v>
      </c>
      <c r="B17450" t="n">
        <v>60993</v>
      </c>
      <c r="C17450" t="inlineStr">
        <is>
          <t>1445/10/07</t>
        </is>
      </c>
    </row>
    <row r="17451">
      <c r="A17451" t="n">
        <v>14451008</v>
      </c>
      <c r="B17451" t="n">
        <v>60994</v>
      </c>
      <c r="C17451" t="inlineStr">
        <is>
          <t>1445/10/08</t>
        </is>
      </c>
    </row>
    <row r="17452">
      <c r="A17452" t="n">
        <v>14451009</v>
      </c>
      <c r="B17452" t="n">
        <v>60995</v>
      </c>
      <c r="C17452" t="inlineStr">
        <is>
          <t>1445/10/09</t>
        </is>
      </c>
    </row>
    <row r="17453">
      <c r="A17453" t="n">
        <v>14451010</v>
      </c>
      <c r="B17453" t="n">
        <v>60996</v>
      </c>
      <c r="C17453" t="inlineStr">
        <is>
          <t>1445/10/10</t>
        </is>
      </c>
    </row>
    <row r="17454">
      <c r="A17454" t="n">
        <v>14451011</v>
      </c>
      <c r="B17454" t="n">
        <v>60997</v>
      </c>
      <c r="C17454" t="inlineStr">
        <is>
          <t>1445/10/11</t>
        </is>
      </c>
    </row>
    <row r="17455">
      <c r="A17455" t="n">
        <v>14451012</v>
      </c>
      <c r="B17455" t="n">
        <v>60998</v>
      </c>
      <c r="C17455" t="inlineStr">
        <is>
          <t>1445/10/12</t>
        </is>
      </c>
    </row>
    <row r="17456">
      <c r="A17456" t="n">
        <v>14451013</v>
      </c>
      <c r="B17456" t="n">
        <v>60999</v>
      </c>
      <c r="C17456" t="inlineStr">
        <is>
          <t>1445/10/13</t>
        </is>
      </c>
    </row>
    <row r="17457">
      <c r="A17457" t="n">
        <v>14451014</v>
      </c>
      <c r="B17457" t="n">
        <v>61000</v>
      </c>
      <c r="C17457" t="inlineStr">
        <is>
          <t>1445/10/14</t>
        </is>
      </c>
    </row>
    <row r="17458">
      <c r="A17458" t="n">
        <v>14451015</v>
      </c>
      <c r="B17458" t="n">
        <v>61001</v>
      </c>
      <c r="C17458" t="inlineStr">
        <is>
          <t>1445/10/15</t>
        </is>
      </c>
    </row>
    <row r="17459">
      <c r="A17459" t="n">
        <v>14451016</v>
      </c>
      <c r="B17459" t="n">
        <v>61002</v>
      </c>
      <c r="C17459" t="inlineStr">
        <is>
          <t>1445/10/16</t>
        </is>
      </c>
    </row>
    <row r="17460">
      <c r="A17460" t="n">
        <v>14451017</v>
      </c>
      <c r="B17460" t="n">
        <v>61003</v>
      </c>
      <c r="C17460" t="inlineStr">
        <is>
          <t>1445/10/17</t>
        </is>
      </c>
    </row>
    <row r="17461">
      <c r="A17461" t="n">
        <v>14451018</v>
      </c>
      <c r="B17461" t="n">
        <v>61004</v>
      </c>
      <c r="C17461" t="inlineStr">
        <is>
          <t>1445/10/18</t>
        </is>
      </c>
    </row>
    <row r="17462">
      <c r="A17462" t="n">
        <v>14451019</v>
      </c>
      <c r="B17462" t="n">
        <v>61005</v>
      </c>
      <c r="C17462" t="inlineStr">
        <is>
          <t>1445/10/19</t>
        </is>
      </c>
    </row>
    <row r="17463">
      <c r="A17463" t="n">
        <v>14451020</v>
      </c>
      <c r="B17463" t="n">
        <v>61006</v>
      </c>
      <c r="C17463" t="inlineStr">
        <is>
          <t>1445/10/20</t>
        </is>
      </c>
    </row>
    <row r="17464">
      <c r="A17464" t="n">
        <v>14451021</v>
      </c>
      <c r="B17464" t="n">
        <v>61007</v>
      </c>
      <c r="C17464" t="inlineStr">
        <is>
          <t>1445/10/21</t>
        </is>
      </c>
    </row>
    <row r="17465">
      <c r="A17465" t="n">
        <v>14451022</v>
      </c>
      <c r="B17465" t="n">
        <v>61008</v>
      </c>
      <c r="C17465" t="inlineStr">
        <is>
          <t>1445/10/22</t>
        </is>
      </c>
    </row>
    <row r="17466">
      <c r="A17466" t="n">
        <v>14451023</v>
      </c>
      <c r="B17466" t="n">
        <v>61009</v>
      </c>
      <c r="C17466" t="inlineStr">
        <is>
          <t>1445/10/23</t>
        </is>
      </c>
    </row>
    <row r="17467">
      <c r="A17467" t="n">
        <v>14451024</v>
      </c>
      <c r="B17467" t="n">
        <v>61010</v>
      </c>
      <c r="C17467" t="inlineStr">
        <is>
          <t>1445/10/24</t>
        </is>
      </c>
    </row>
    <row r="17468">
      <c r="A17468" t="n">
        <v>14451025</v>
      </c>
      <c r="B17468" t="n">
        <v>61011</v>
      </c>
      <c r="C17468" t="inlineStr">
        <is>
          <t>1445/10/25</t>
        </is>
      </c>
    </row>
    <row r="17469">
      <c r="A17469" t="n">
        <v>14451026</v>
      </c>
      <c r="B17469" t="n">
        <v>61012</v>
      </c>
      <c r="C17469" t="inlineStr">
        <is>
          <t>1445/10/26</t>
        </is>
      </c>
    </row>
    <row r="17470">
      <c r="A17470" t="n">
        <v>14451027</v>
      </c>
      <c r="B17470" t="n">
        <v>61013</v>
      </c>
      <c r="C17470" t="inlineStr">
        <is>
          <t>1445/10/27</t>
        </is>
      </c>
    </row>
    <row r="17471">
      <c r="A17471" t="n">
        <v>14451028</v>
      </c>
      <c r="B17471" t="n">
        <v>61014</v>
      </c>
      <c r="C17471" t="inlineStr">
        <is>
          <t>1445/10/28</t>
        </is>
      </c>
    </row>
    <row r="17472">
      <c r="A17472" t="n">
        <v>14451029</v>
      </c>
      <c r="B17472" t="n">
        <v>61015</v>
      </c>
      <c r="C17472" t="inlineStr">
        <is>
          <t>1445/10/29</t>
        </is>
      </c>
    </row>
    <row r="17473">
      <c r="A17473" t="n">
        <v>14451030</v>
      </c>
      <c r="B17473" t="n">
        <v>61016</v>
      </c>
      <c r="C17473" t="inlineStr">
        <is>
          <t>1445/10/30</t>
        </is>
      </c>
    </row>
    <row r="17474">
      <c r="A17474" t="n">
        <v>14451101</v>
      </c>
      <c r="B17474" t="n">
        <v>61017</v>
      </c>
      <c r="C17474" t="inlineStr">
        <is>
          <t>1445/11/01</t>
        </is>
      </c>
    </row>
    <row r="17475">
      <c r="A17475" t="n">
        <v>14451102</v>
      </c>
      <c r="B17475" t="n">
        <v>61018</v>
      </c>
      <c r="C17475" t="inlineStr">
        <is>
          <t>1445/11/02</t>
        </is>
      </c>
    </row>
    <row r="17476">
      <c r="A17476" t="n">
        <v>14451103</v>
      </c>
      <c r="B17476" t="n">
        <v>61019</v>
      </c>
      <c r="C17476" t="inlineStr">
        <is>
          <t>1445/11/03</t>
        </is>
      </c>
    </row>
    <row r="17477">
      <c r="A17477" t="n">
        <v>14451104</v>
      </c>
      <c r="B17477" t="n">
        <v>61020</v>
      </c>
      <c r="C17477" t="inlineStr">
        <is>
          <t>1445/11/04</t>
        </is>
      </c>
    </row>
    <row r="17478">
      <c r="A17478" t="n">
        <v>14451105</v>
      </c>
      <c r="B17478" t="n">
        <v>61021</v>
      </c>
      <c r="C17478" t="inlineStr">
        <is>
          <t>1445/11/05</t>
        </is>
      </c>
    </row>
    <row r="17479">
      <c r="A17479" t="n">
        <v>14451106</v>
      </c>
      <c r="B17479" t="n">
        <v>61022</v>
      </c>
      <c r="C17479" t="inlineStr">
        <is>
          <t>1445/11/06</t>
        </is>
      </c>
    </row>
    <row r="17480">
      <c r="A17480" t="n">
        <v>14451107</v>
      </c>
      <c r="B17480" t="n">
        <v>61023</v>
      </c>
      <c r="C17480" t="inlineStr">
        <is>
          <t>1445/11/07</t>
        </is>
      </c>
    </row>
    <row r="17481">
      <c r="A17481" t="n">
        <v>14451108</v>
      </c>
      <c r="B17481" t="n">
        <v>61024</v>
      </c>
      <c r="C17481" t="inlineStr">
        <is>
          <t>1445/11/08</t>
        </is>
      </c>
    </row>
    <row r="17482">
      <c r="A17482" t="n">
        <v>14451109</v>
      </c>
      <c r="B17482" t="n">
        <v>61025</v>
      </c>
      <c r="C17482" t="inlineStr">
        <is>
          <t>1445/11/09</t>
        </is>
      </c>
    </row>
    <row r="17483">
      <c r="A17483" t="n">
        <v>14451110</v>
      </c>
      <c r="B17483" t="n">
        <v>61026</v>
      </c>
      <c r="C17483" t="inlineStr">
        <is>
          <t>1445/11/10</t>
        </is>
      </c>
    </row>
    <row r="17484">
      <c r="A17484" t="n">
        <v>14451111</v>
      </c>
      <c r="B17484" t="n">
        <v>61027</v>
      </c>
      <c r="C17484" t="inlineStr">
        <is>
          <t>1445/11/11</t>
        </is>
      </c>
    </row>
    <row r="17485">
      <c r="A17485" t="n">
        <v>14451112</v>
      </c>
      <c r="B17485" t="n">
        <v>61028</v>
      </c>
      <c r="C17485" t="inlineStr">
        <is>
          <t>1445/11/12</t>
        </is>
      </c>
    </row>
    <row r="17486">
      <c r="A17486" t="n">
        <v>14451113</v>
      </c>
      <c r="B17486" t="n">
        <v>61029</v>
      </c>
      <c r="C17486" t="inlineStr">
        <is>
          <t>1445/11/13</t>
        </is>
      </c>
    </row>
    <row r="17487">
      <c r="A17487" t="n">
        <v>14451114</v>
      </c>
      <c r="B17487" t="n">
        <v>61030</v>
      </c>
      <c r="C17487" t="inlineStr">
        <is>
          <t>1445/11/14</t>
        </is>
      </c>
    </row>
    <row r="17488">
      <c r="A17488" t="n">
        <v>14451115</v>
      </c>
      <c r="B17488" t="n">
        <v>61031</v>
      </c>
      <c r="C17488" t="inlineStr">
        <is>
          <t>1445/11/15</t>
        </is>
      </c>
    </row>
    <row r="17489">
      <c r="A17489" t="n">
        <v>14451116</v>
      </c>
      <c r="B17489" t="n">
        <v>61032</v>
      </c>
      <c r="C17489" t="inlineStr">
        <is>
          <t>1445/11/16</t>
        </is>
      </c>
    </row>
    <row r="17490">
      <c r="A17490" t="n">
        <v>14451117</v>
      </c>
      <c r="B17490" t="n">
        <v>61033</v>
      </c>
      <c r="C17490" t="inlineStr">
        <is>
          <t>1445/11/17</t>
        </is>
      </c>
    </row>
    <row r="17491">
      <c r="A17491" t="n">
        <v>14451118</v>
      </c>
      <c r="B17491" t="n">
        <v>61034</v>
      </c>
      <c r="C17491" t="inlineStr">
        <is>
          <t>1445/11/18</t>
        </is>
      </c>
    </row>
    <row r="17492">
      <c r="A17492" t="n">
        <v>14451119</v>
      </c>
      <c r="B17492" t="n">
        <v>61035</v>
      </c>
      <c r="C17492" t="inlineStr">
        <is>
          <t>1445/11/19</t>
        </is>
      </c>
    </row>
    <row r="17493">
      <c r="A17493" t="n">
        <v>14451120</v>
      </c>
      <c r="B17493" t="n">
        <v>61036</v>
      </c>
      <c r="C17493" t="inlineStr">
        <is>
          <t>1445/11/20</t>
        </is>
      </c>
    </row>
    <row r="17494">
      <c r="A17494" t="n">
        <v>14451121</v>
      </c>
      <c r="B17494" t="n">
        <v>61037</v>
      </c>
      <c r="C17494" t="inlineStr">
        <is>
          <t>1445/11/21</t>
        </is>
      </c>
    </row>
    <row r="17495">
      <c r="A17495" t="n">
        <v>14451122</v>
      </c>
      <c r="B17495" t="n">
        <v>61038</v>
      </c>
      <c r="C17495" t="inlineStr">
        <is>
          <t>1445/11/22</t>
        </is>
      </c>
    </row>
    <row r="17496">
      <c r="A17496" t="n">
        <v>14451123</v>
      </c>
      <c r="B17496" t="n">
        <v>61039</v>
      </c>
      <c r="C17496" t="inlineStr">
        <is>
          <t>1445/11/23</t>
        </is>
      </c>
    </row>
    <row r="17497">
      <c r="A17497" t="n">
        <v>14451124</v>
      </c>
      <c r="B17497" t="n">
        <v>61040</v>
      </c>
      <c r="C17497" t="inlineStr">
        <is>
          <t>1445/11/24</t>
        </is>
      </c>
    </row>
    <row r="17498">
      <c r="A17498" t="n">
        <v>14451125</v>
      </c>
      <c r="B17498" t="n">
        <v>61041</v>
      </c>
      <c r="C17498" t="inlineStr">
        <is>
          <t>1445/11/25</t>
        </is>
      </c>
    </row>
    <row r="17499">
      <c r="A17499" t="n">
        <v>14451126</v>
      </c>
      <c r="B17499" t="n">
        <v>61042</v>
      </c>
      <c r="C17499" t="inlineStr">
        <is>
          <t>1445/11/26</t>
        </is>
      </c>
    </row>
    <row r="17500">
      <c r="A17500" t="n">
        <v>14451127</v>
      </c>
      <c r="B17500" t="n">
        <v>61043</v>
      </c>
      <c r="C17500" t="inlineStr">
        <is>
          <t>1445/11/27</t>
        </is>
      </c>
    </row>
    <row r="17501">
      <c r="A17501" t="n">
        <v>14451128</v>
      </c>
      <c r="B17501" t="n">
        <v>61044</v>
      </c>
      <c r="C17501" t="inlineStr">
        <is>
          <t>1445/11/28</t>
        </is>
      </c>
    </row>
    <row r="17502">
      <c r="A17502" t="n">
        <v>14451129</v>
      </c>
      <c r="B17502" t="n">
        <v>61045</v>
      </c>
      <c r="C17502" t="inlineStr">
        <is>
          <t>1445/11/29</t>
        </is>
      </c>
    </row>
    <row r="17503">
      <c r="A17503" t="n">
        <v>14451130</v>
      </c>
      <c r="B17503" t="n">
        <v>61046</v>
      </c>
      <c r="C17503" t="inlineStr">
        <is>
          <t>1445/11/30</t>
        </is>
      </c>
    </row>
    <row r="17504">
      <c r="A17504" t="n">
        <v>14451201</v>
      </c>
      <c r="B17504" t="n">
        <v>61047</v>
      </c>
      <c r="C17504" t="inlineStr">
        <is>
          <t>1445/12/01</t>
        </is>
      </c>
    </row>
    <row r="17505">
      <c r="A17505" t="n">
        <v>14451202</v>
      </c>
      <c r="B17505" t="n">
        <v>61048</v>
      </c>
      <c r="C17505" t="inlineStr">
        <is>
          <t>1445/12/02</t>
        </is>
      </c>
    </row>
    <row r="17506">
      <c r="A17506" t="n">
        <v>14451203</v>
      </c>
      <c r="B17506" t="n">
        <v>61049</v>
      </c>
      <c r="C17506" t="inlineStr">
        <is>
          <t>1445/12/03</t>
        </is>
      </c>
    </row>
    <row r="17507">
      <c r="A17507" t="n">
        <v>14451204</v>
      </c>
      <c r="B17507" t="n">
        <v>61050</v>
      </c>
      <c r="C17507" t="inlineStr">
        <is>
          <t>1445/12/04</t>
        </is>
      </c>
    </row>
    <row r="17508">
      <c r="A17508" t="n">
        <v>14451205</v>
      </c>
      <c r="B17508" t="n">
        <v>61051</v>
      </c>
      <c r="C17508" t="inlineStr">
        <is>
          <t>1445/12/05</t>
        </is>
      </c>
    </row>
    <row r="17509">
      <c r="A17509" t="n">
        <v>14451206</v>
      </c>
      <c r="B17509" t="n">
        <v>61052</v>
      </c>
      <c r="C17509" t="inlineStr">
        <is>
          <t>1445/12/06</t>
        </is>
      </c>
    </row>
    <row r="17510">
      <c r="A17510" t="n">
        <v>14451207</v>
      </c>
      <c r="B17510" t="n">
        <v>61053</v>
      </c>
      <c r="C17510" t="inlineStr">
        <is>
          <t>1445/12/07</t>
        </is>
      </c>
    </row>
    <row r="17511">
      <c r="A17511" t="n">
        <v>14451208</v>
      </c>
      <c r="B17511" t="n">
        <v>61054</v>
      </c>
      <c r="C17511" t="inlineStr">
        <is>
          <t>1445/12/08</t>
        </is>
      </c>
    </row>
    <row r="17512">
      <c r="A17512" t="n">
        <v>14451209</v>
      </c>
      <c r="B17512" t="n">
        <v>61055</v>
      </c>
      <c r="C17512" t="inlineStr">
        <is>
          <t>1445/12/09</t>
        </is>
      </c>
    </row>
    <row r="17513">
      <c r="A17513" t="n">
        <v>14451210</v>
      </c>
      <c r="B17513" t="n">
        <v>61056</v>
      </c>
      <c r="C17513" t="inlineStr">
        <is>
          <t>1445/12/10</t>
        </is>
      </c>
    </row>
    <row r="17514">
      <c r="A17514" t="n">
        <v>14451211</v>
      </c>
      <c r="B17514" t="n">
        <v>61057</v>
      </c>
      <c r="C17514" t="inlineStr">
        <is>
          <t>1445/12/11</t>
        </is>
      </c>
    </row>
    <row r="17515">
      <c r="A17515" t="n">
        <v>14451212</v>
      </c>
      <c r="B17515" t="n">
        <v>61058</v>
      </c>
      <c r="C17515" t="inlineStr">
        <is>
          <t>1445/12/12</t>
        </is>
      </c>
    </row>
    <row r="17516">
      <c r="A17516" t="n">
        <v>14451213</v>
      </c>
      <c r="B17516" t="n">
        <v>61059</v>
      </c>
      <c r="C17516" t="inlineStr">
        <is>
          <t>1445/12/13</t>
        </is>
      </c>
    </row>
    <row r="17517">
      <c r="A17517" t="n">
        <v>14451214</v>
      </c>
      <c r="B17517" t="n">
        <v>61060</v>
      </c>
      <c r="C17517" t="inlineStr">
        <is>
          <t>1445/12/14</t>
        </is>
      </c>
    </row>
    <row r="17518">
      <c r="A17518" t="n">
        <v>14451215</v>
      </c>
      <c r="B17518" t="n">
        <v>61061</v>
      </c>
      <c r="C17518" t="inlineStr">
        <is>
          <t>1445/12/15</t>
        </is>
      </c>
    </row>
    <row r="17519">
      <c r="A17519" t="n">
        <v>14451216</v>
      </c>
      <c r="B17519" t="n">
        <v>61062</v>
      </c>
      <c r="C17519" t="inlineStr">
        <is>
          <t>1445/12/16</t>
        </is>
      </c>
    </row>
    <row r="17520">
      <c r="A17520" t="n">
        <v>14451217</v>
      </c>
      <c r="B17520" t="n">
        <v>61063</v>
      </c>
      <c r="C17520" t="inlineStr">
        <is>
          <t>1445/12/17</t>
        </is>
      </c>
    </row>
    <row r="17521">
      <c r="A17521" t="n">
        <v>14451218</v>
      </c>
      <c r="B17521" t="n">
        <v>61064</v>
      </c>
      <c r="C17521" t="inlineStr">
        <is>
          <t>1445/12/18</t>
        </is>
      </c>
    </row>
    <row r="17522">
      <c r="A17522" t="n">
        <v>14451219</v>
      </c>
      <c r="B17522" t="n">
        <v>61065</v>
      </c>
      <c r="C17522" t="inlineStr">
        <is>
          <t>1445/12/19</t>
        </is>
      </c>
    </row>
    <row r="17523">
      <c r="A17523" t="n">
        <v>14451220</v>
      </c>
      <c r="B17523" t="n">
        <v>61066</v>
      </c>
      <c r="C17523" t="inlineStr">
        <is>
          <t>1445/12/20</t>
        </is>
      </c>
    </row>
    <row r="17524">
      <c r="A17524" t="n">
        <v>14451221</v>
      </c>
      <c r="B17524" t="n">
        <v>61067</v>
      </c>
      <c r="C17524" t="inlineStr">
        <is>
          <t>1445/12/21</t>
        </is>
      </c>
    </row>
    <row r="17525">
      <c r="A17525" t="n">
        <v>14451222</v>
      </c>
      <c r="B17525" t="n">
        <v>61068</v>
      </c>
      <c r="C17525" t="inlineStr">
        <is>
          <t>1445/12/22</t>
        </is>
      </c>
    </row>
    <row r="17526">
      <c r="A17526" t="n">
        <v>14451223</v>
      </c>
      <c r="B17526" t="n">
        <v>61069</v>
      </c>
      <c r="C17526" t="inlineStr">
        <is>
          <t>1445/12/23</t>
        </is>
      </c>
    </row>
    <row r="17527">
      <c r="A17527" t="n">
        <v>14451224</v>
      </c>
      <c r="B17527" t="n">
        <v>61070</v>
      </c>
      <c r="C17527" t="inlineStr">
        <is>
          <t>1445/12/24</t>
        </is>
      </c>
    </row>
    <row r="17528">
      <c r="A17528" t="n">
        <v>14451225</v>
      </c>
      <c r="B17528" t="n">
        <v>61071</v>
      </c>
      <c r="C17528" t="inlineStr">
        <is>
          <t>1445/12/25</t>
        </is>
      </c>
    </row>
    <row r="17529">
      <c r="A17529" t="n">
        <v>14451226</v>
      </c>
      <c r="B17529" t="n">
        <v>61072</v>
      </c>
      <c r="C17529" t="inlineStr">
        <is>
          <t>1445/12/26</t>
        </is>
      </c>
    </row>
    <row r="17530">
      <c r="A17530" t="n">
        <v>14451227</v>
      </c>
      <c r="B17530" t="n">
        <v>61073</v>
      </c>
      <c r="C17530" t="inlineStr">
        <is>
          <t>1445/12/27</t>
        </is>
      </c>
    </row>
    <row r="17531">
      <c r="A17531" t="n">
        <v>14451228</v>
      </c>
      <c r="B17531" t="n">
        <v>61074</v>
      </c>
      <c r="C17531" t="inlineStr">
        <is>
          <t>1445/12/28</t>
        </is>
      </c>
    </row>
    <row r="17532">
      <c r="A17532" t="n">
        <v>14451229</v>
      </c>
      <c r="B17532" t="n">
        <v>61075</v>
      </c>
      <c r="C17532" t="inlineStr">
        <is>
          <t>1445/12/29</t>
        </is>
      </c>
    </row>
    <row r="17533">
      <c r="A17533" t="n">
        <v>14451230</v>
      </c>
      <c r="B17533" t="n">
        <v>61076</v>
      </c>
      <c r="C17533" t="inlineStr">
        <is>
          <t>1445/12/30</t>
        </is>
      </c>
    </row>
    <row r="17534">
      <c r="A17534" t="n">
        <v>14460101</v>
      </c>
      <c r="B17534" t="n">
        <v>61077</v>
      </c>
      <c r="C17534" t="inlineStr">
        <is>
          <t>1446/01/01</t>
        </is>
      </c>
    </row>
    <row r="17535">
      <c r="A17535" t="n">
        <v>14460102</v>
      </c>
      <c r="B17535" t="n">
        <v>61078</v>
      </c>
      <c r="C17535" t="inlineStr">
        <is>
          <t>1446/01/02</t>
        </is>
      </c>
    </row>
    <row r="17536">
      <c r="A17536" t="n">
        <v>14460103</v>
      </c>
      <c r="B17536" t="n">
        <v>61079</v>
      </c>
      <c r="C17536" t="inlineStr">
        <is>
          <t>1446/01/03</t>
        </is>
      </c>
    </row>
    <row r="17537">
      <c r="A17537" t="n">
        <v>14460104</v>
      </c>
      <c r="B17537" t="n">
        <v>61080</v>
      </c>
      <c r="C17537" t="inlineStr">
        <is>
          <t>1446/01/04</t>
        </is>
      </c>
    </row>
    <row r="17538">
      <c r="A17538" t="n">
        <v>14460105</v>
      </c>
      <c r="B17538" t="n">
        <v>61081</v>
      </c>
      <c r="C17538" t="inlineStr">
        <is>
          <t>1446/01/05</t>
        </is>
      </c>
    </row>
    <row r="17539">
      <c r="A17539" t="n">
        <v>14460106</v>
      </c>
      <c r="B17539" t="n">
        <v>61082</v>
      </c>
      <c r="C17539" t="inlineStr">
        <is>
          <t>1446/01/06</t>
        </is>
      </c>
    </row>
    <row r="17540">
      <c r="A17540" t="n">
        <v>14460107</v>
      </c>
      <c r="B17540" t="n">
        <v>61083</v>
      </c>
      <c r="C17540" t="inlineStr">
        <is>
          <t>1446/01/07</t>
        </is>
      </c>
    </row>
    <row r="17541">
      <c r="A17541" t="n">
        <v>14460108</v>
      </c>
      <c r="B17541" t="n">
        <v>61084</v>
      </c>
      <c r="C17541" t="inlineStr">
        <is>
          <t>1446/01/08</t>
        </is>
      </c>
    </row>
    <row r="17542">
      <c r="A17542" t="n">
        <v>14460109</v>
      </c>
      <c r="B17542" t="n">
        <v>61085</v>
      </c>
      <c r="C17542" t="inlineStr">
        <is>
          <t>1446/01/09</t>
        </is>
      </c>
    </row>
    <row r="17543">
      <c r="A17543" t="n">
        <v>14460110</v>
      </c>
      <c r="B17543" t="n">
        <v>61086</v>
      </c>
      <c r="C17543" t="inlineStr">
        <is>
          <t>1446/01/10</t>
        </is>
      </c>
    </row>
    <row r="17544">
      <c r="A17544" t="n">
        <v>14460111</v>
      </c>
      <c r="B17544" t="n">
        <v>61087</v>
      </c>
      <c r="C17544" t="inlineStr">
        <is>
          <t>1446/01/11</t>
        </is>
      </c>
    </row>
    <row r="17545">
      <c r="A17545" t="n">
        <v>14460112</v>
      </c>
      <c r="B17545" t="n">
        <v>61088</v>
      </c>
      <c r="C17545" t="inlineStr">
        <is>
          <t>1446/01/12</t>
        </is>
      </c>
    </row>
    <row r="17546">
      <c r="A17546" t="n">
        <v>14460113</v>
      </c>
      <c r="B17546" t="n">
        <v>61089</v>
      </c>
      <c r="C17546" t="inlineStr">
        <is>
          <t>1446/01/13</t>
        </is>
      </c>
    </row>
    <row r="17547">
      <c r="A17547" t="n">
        <v>14460114</v>
      </c>
      <c r="B17547" t="n">
        <v>61090</v>
      </c>
      <c r="C17547" t="inlineStr">
        <is>
          <t>1446/01/14</t>
        </is>
      </c>
    </row>
    <row r="17548">
      <c r="A17548" t="n">
        <v>14460115</v>
      </c>
      <c r="B17548" t="n">
        <v>61091</v>
      </c>
      <c r="C17548" t="inlineStr">
        <is>
          <t>1446/01/15</t>
        </is>
      </c>
    </row>
    <row r="17549">
      <c r="A17549" t="n">
        <v>14460116</v>
      </c>
      <c r="B17549" t="n">
        <v>61092</v>
      </c>
      <c r="C17549" t="inlineStr">
        <is>
          <t>1446/01/16</t>
        </is>
      </c>
    </row>
    <row r="17550">
      <c r="A17550" t="n">
        <v>14460117</v>
      </c>
      <c r="B17550" t="n">
        <v>61093</v>
      </c>
      <c r="C17550" t="inlineStr">
        <is>
          <t>1446/01/17</t>
        </is>
      </c>
    </row>
    <row r="17551">
      <c r="A17551" t="n">
        <v>14460118</v>
      </c>
      <c r="B17551" t="n">
        <v>61094</v>
      </c>
      <c r="C17551" t="inlineStr">
        <is>
          <t>1446/01/18</t>
        </is>
      </c>
    </row>
    <row r="17552">
      <c r="A17552" t="n">
        <v>14460119</v>
      </c>
      <c r="B17552" t="n">
        <v>61095</v>
      </c>
      <c r="C17552" t="inlineStr">
        <is>
          <t>1446/01/19</t>
        </is>
      </c>
    </row>
    <row r="17553">
      <c r="A17553" t="n">
        <v>14460120</v>
      </c>
      <c r="B17553" t="n">
        <v>61096</v>
      </c>
      <c r="C17553" t="inlineStr">
        <is>
          <t>1446/01/20</t>
        </is>
      </c>
    </row>
    <row r="17554">
      <c r="A17554" t="n">
        <v>14460121</v>
      </c>
      <c r="B17554" t="n">
        <v>61097</v>
      </c>
      <c r="C17554" t="inlineStr">
        <is>
          <t>1446/01/21</t>
        </is>
      </c>
    </row>
    <row r="17555">
      <c r="A17555" t="n">
        <v>14460122</v>
      </c>
      <c r="B17555" t="n">
        <v>61098</v>
      </c>
      <c r="C17555" t="inlineStr">
        <is>
          <t>1446/01/22</t>
        </is>
      </c>
    </row>
    <row r="17556">
      <c r="A17556" t="n">
        <v>14460123</v>
      </c>
      <c r="B17556" t="n">
        <v>61099</v>
      </c>
      <c r="C17556" t="inlineStr">
        <is>
          <t>1446/01/23</t>
        </is>
      </c>
    </row>
    <row r="17557">
      <c r="A17557" t="n">
        <v>14460124</v>
      </c>
      <c r="B17557" t="n">
        <v>61100</v>
      </c>
      <c r="C17557" t="inlineStr">
        <is>
          <t>1446/01/24</t>
        </is>
      </c>
    </row>
    <row r="17558">
      <c r="A17558" t="n">
        <v>14460125</v>
      </c>
      <c r="B17558" t="n">
        <v>61101</v>
      </c>
      <c r="C17558" t="inlineStr">
        <is>
          <t>1446/01/25</t>
        </is>
      </c>
    </row>
    <row r="17559">
      <c r="A17559" t="n">
        <v>14460126</v>
      </c>
      <c r="B17559" t="n">
        <v>61102</v>
      </c>
      <c r="C17559" t="inlineStr">
        <is>
          <t>1446/01/26</t>
        </is>
      </c>
    </row>
    <row r="17560">
      <c r="A17560" t="n">
        <v>14460127</v>
      </c>
      <c r="B17560" t="n">
        <v>61103</v>
      </c>
      <c r="C17560" t="inlineStr">
        <is>
          <t>1446/01/27</t>
        </is>
      </c>
    </row>
    <row r="17561">
      <c r="A17561" t="n">
        <v>14460128</v>
      </c>
      <c r="B17561" t="n">
        <v>61104</v>
      </c>
      <c r="C17561" t="inlineStr">
        <is>
          <t>1446/01/28</t>
        </is>
      </c>
    </row>
    <row r="17562">
      <c r="A17562" t="n">
        <v>14460129</v>
      </c>
      <c r="B17562" t="n">
        <v>61105</v>
      </c>
      <c r="C17562" t="inlineStr">
        <is>
          <t>1446/01/29</t>
        </is>
      </c>
    </row>
    <row r="17563">
      <c r="A17563" t="n">
        <v>14460130</v>
      </c>
      <c r="B17563" t="n">
        <v>61106</v>
      </c>
      <c r="C17563" t="inlineStr">
        <is>
          <t>1446/01/30</t>
        </is>
      </c>
    </row>
    <row r="17564">
      <c r="A17564" t="n">
        <v>14460131</v>
      </c>
      <c r="B17564" t="n">
        <v>61107</v>
      </c>
      <c r="C17564" t="inlineStr">
        <is>
          <t>1446/01/31</t>
        </is>
      </c>
    </row>
    <row r="17565">
      <c r="A17565" t="n">
        <v>14460201</v>
      </c>
      <c r="B17565" t="n">
        <v>61108</v>
      </c>
      <c r="C17565" t="inlineStr">
        <is>
          <t>1446/02/01</t>
        </is>
      </c>
    </row>
    <row r="17566">
      <c r="A17566" t="n">
        <v>14460202</v>
      </c>
      <c r="B17566" t="n">
        <v>61109</v>
      </c>
      <c r="C17566" t="inlineStr">
        <is>
          <t>1446/02/02</t>
        </is>
      </c>
    </row>
    <row r="17567">
      <c r="A17567" t="n">
        <v>14460203</v>
      </c>
      <c r="B17567" t="n">
        <v>61110</v>
      </c>
      <c r="C17567" t="inlineStr">
        <is>
          <t>1446/02/03</t>
        </is>
      </c>
    </row>
    <row r="17568">
      <c r="A17568" t="n">
        <v>14460204</v>
      </c>
      <c r="B17568" t="n">
        <v>61111</v>
      </c>
      <c r="C17568" t="inlineStr">
        <is>
          <t>1446/02/04</t>
        </is>
      </c>
    </row>
    <row r="17569">
      <c r="A17569" t="n">
        <v>14460205</v>
      </c>
      <c r="B17569" t="n">
        <v>61112</v>
      </c>
      <c r="C17569" t="inlineStr">
        <is>
          <t>1446/02/05</t>
        </is>
      </c>
    </row>
    <row r="17570">
      <c r="A17570" t="n">
        <v>14460206</v>
      </c>
      <c r="B17570" t="n">
        <v>61113</v>
      </c>
      <c r="C17570" t="inlineStr">
        <is>
          <t>1446/02/06</t>
        </is>
      </c>
    </row>
    <row r="17571">
      <c r="A17571" t="n">
        <v>14460207</v>
      </c>
      <c r="B17571" t="n">
        <v>61114</v>
      </c>
      <c r="C17571" t="inlineStr">
        <is>
          <t>1446/02/07</t>
        </is>
      </c>
    </row>
    <row r="17572">
      <c r="A17572" t="n">
        <v>14460208</v>
      </c>
      <c r="B17572" t="n">
        <v>61115</v>
      </c>
      <c r="C17572" t="inlineStr">
        <is>
          <t>1446/02/08</t>
        </is>
      </c>
    </row>
    <row r="17573">
      <c r="A17573" t="n">
        <v>14460209</v>
      </c>
      <c r="B17573" t="n">
        <v>61116</v>
      </c>
      <c r="C17573" t="inlineStr">
        <is>
          <t>1446/02/09</t>
        </is>
      </c>
    </row>
    <row r="17574">
      <c r="A17574" t="n">
        <v>14460210</v>
      </c>
      <c r="B17574" t="n">
        <v>61117</v>
      </c>
      <c r="C17574" t="inlineStr">
        <is>
          <t>1446/02/10</t>
        </is>
      </c>
    </row>
    <row r="17575">
      <c r="A17575" t="n">
        <v>14460211</v>
      </c>
      <c r="B17575" t="n">
        <v>61118</v>
      </c>
      <c r="C17575" t="inlineStr">
        <is>
          <t>1446/02/11</t>
        </is>
      </c>
    </row>
    <row r="17576">
      <c r="A17576" t="n">
        <v>14460212</v>
      </c>
      <c r="B17576" t="n">
        <v>61119</v>
      </c>
      <c r="C17576" t="inlineStr">
        <is>
          <t>1446/02/12</t>
        </is>
      </c>
    </row>
    <row r="17577">
      <c r="A17577" t="n">
        <v>14460213</v>
      </c>
      <c r="B17577" t="n">
        <v>61120</v>
      </c>
      <c r="C17577" t="inlineStr">
        <is>
          <t>1446/02/13</t>
        </is>
      </c>
    </row>
    <row r="17578">
      <c r="A17578" t="n">
        <v>14460214</v>
      </c>
      <c r="B17578" t="n">
        <v>61121</v>
      </c>
      <c r="C17578" t="inlineStr">
        <is>
          <t>1446/02/14</t>
        </is>
      </c>
    </row>
    <row r="17579">
      <c r="A17579" t="n">
        <v>14460215</v>
      </c>
      <c r="B17579" t="n">
        <v>61122</v>
      </c>
      <c r="C17579" t="inlineStr">
        <is>
          <t>1446/02/15</t>
        </is>
      </c>
    </row>
    <row r="17580">
      <c r="A17580" t="n">
        <v>14460216</v>
      </c>
      <c r="B17580" t="n">
        <v>61123</v>
      </c>
      <c r="C17580" t="inlineStr">
        <is>
          <t>1446/02/16</t>
        </is>
      </c>
    </row>
    <row r="17581">
      <c r="A17581" t="n">
        <v>14460217</v>
      </c>
      <c r="B17581" t="n">
        <v>61124</v>
      </c>
      <c r="C17581" t="inlineStr">
        <is>
          <t>1446/02/17</t>
        </is>
      </c>
    </row>
    <row r="17582">
      <c r="A17582" t="n">
        <v>14460218</v>
      </c>
      <c r="B17582" t="n">
        <v>61125</v>
      </c>
      <c r="C17582" t="inlineStr">
        <is>
          <t>1446/02/18</t>
        </is>
      </c>
    </row>
    <row r="17583">
      <c r="A17583" t="n">
        <v>14460219</v>
      </c>
      <c r="B17583" t="n">
        <v>61126</v>
      </c>
      <c r="C17583" t="inlineStr">
        <is>
          <t>1446/02/19</t>
        </is>
      </c>
    </row>
    <row r="17584">
      <c r="A17584" t="n">
        <v>14460220</v>
      </c>
      <c r="B17584" t="n">
        <v>61127</v>
      </c>
      <c r="C17584" t="inlineStr">
        <is>
          <t>1446/02/20</t>
        </is>
      </c>
    </row>
    <row r="17585">
      <c r="A17585" t="n">
        <v>14460221</v>
      </c>
      <c r="B17585" t="n">
        <v>61128</v>
      </c>
      <c r="C17585" t="inlineStr">
        <is>
          <t>1446/02/21</t>
        </is>
      </c>
    </row>
    <row r="17586">
      <c r="A17586" t="n">
        <v>14460222</v>
      </c>
      <c r="B17586" t="n">
        <v>61129</v>
      </c>
      <c r="C17586" t="inlineStr">
        <is>
          <t>1446/02/22</t>
        </is>
      </c>
    </row>
    <row r="17587">
      <c r="A17587" t="n">
        <v>14460223</v>
      </c>
      <c r="B17587" t="n">
        <v>61130</v>
      </c>
      <c r="C17587" t="inlineStr">
        <is>
          <t>1446/02/23</t>
        </is>
      </c>
    </row>
    <row r="17588">
      <c r="A17588" t="n">
        <v>14460224</v>
      </c>
      <c r="B17588" t="n">
        <v>61131</v>
      </c>
      <c r="C17588" t="inlineStr">
        <is>
          <t>1446/02/24</t>
        </is>
      </c>
    </row>
    <row r="17589">
      <c r="A17589" t="n">
        <v>14460225</v>
      </c>
      <c r="B17589" t="n">
        <v>61132</v>
      </c>
      <c r="C17589" t="inlineStr">
        <is>
          <t>1446/02/25</t>
        </is>
      </c>
    </row>
    <row r="17590">
      <c r="A17590" t="n">
        <v>14460226</v>
      </c>
      <c r="B17590" t="n">
        <v>61133</v>
      </c>
      <c r="C17590" t="inlineStr">
        <is>
          <t>1446/02/26</t>
        </is>
      </c>
    </row>
    <row r="17591">
      <c r="A17591" t="n">
        <v>14460227</v>
      </c>
      <c r="B17591" t="n">
        <v>61134</v>
      </c>
      <c r="C17591" t="inlineStr">
        <is>
          <t>1446/02/27</t>
        </is>
      </c>
    </row>
    <row r="17592">
      <c r="A17592" t="n">
        <v>14460228</v>
      </c>
      <c r="B17592" t="n">
        <v>61135</v>
      </c>
      <c r="C17592" t="inlineStr">
        <is>
          <t>1446/02/28</t>
        </is>
      </c>
    </row>
    <row r="17593">
      <c r="A17593" t="n">
        <v>14460229</v>
      </c>
      <c r="B17593" t="n">
        <v>61136</v>
      </c>
      <c r="C17593" t="inlineStr">
        <is>
          <t>1446/02/29</t>
        </is>
      </c>
    </row>
    <row r="17594">
      <c r="A17594" t="n">
        <v>14460230</v>
      </c>
      <c r="B17594" t="n">
        <v>61137</v>
      </c>
      <c r="C17594" t="inlineStr">
        <is>
          <t>1446/02/30</t>
        </is>
      </c>
    </row>
    <row r="17595">
      <c r="A17595" t="n">
        <v>14460231</v>
      </c>
      <c r="B17595" t="n">
        <v>61138</v>
      </c>
      <c r="C17595" t="inlineStr">
        <is>
          <t>1446/02/31</t>
        </is>
      </c>
    </row>
    <row r="17596">
      <c r="A17596" t="n">
        <v>14460301</v>
      </c>
      <c r="B17596" t="n">
        <v>61139</v>
      </c>
      <c r="C17596" t="inlineStr">
        <is>
          <t>1446/03/01</t>
        </is>
      </c>
    </row>
    <row r="17597">
      <c r="A17597" t="n">
        <v>14460302</v>
      </c>
      <c r="B17597" t="n">
        <v>61140</v>
      </c>
      <c r="C17597" t="inlineStr">
        <is>
          <t>1446/03/02</t>
        </is>
      </c>
    </row>
    <row r="17598">
      <c r="A17598" t="n">
        <v>14460303</v>
      </c>
      <c r="B17598" t="n">
        <v>61141</v>
      </c>
      <c r="C17598" t="inlineStr">
        <is>
          <t>1446/03/03</t>
        </is>
      </c>
    </row>
    <row r="17599">
      <c r="A17599" t="n">
        <v>14460304</v>
      </c>
      <c r="B17599" t="n">
        <v>61142</v>
      </c>
      <c r="C17599" t="inlineStr">
        <is>
          <t>1446/03/04</t>
        </is>
      </c>
    </row>
    <row r="17600">
      <c r="A17600" t="n">
        <v>14460305</v>
      </c>
      <c r="B17600" t="n">
        <v>61143</v>
      </c>
      <c r="C17600" t="inlineStr">
        <is>
          <t>1446/03/05</t>
        </is>
      </c>
    </row>
    <row r="17601">
      <c r="A17601" t="n">
        <v>14460306</v>
      </c>
      <c r="B17601" t="n">
        <v>61144</v>
      </c>
      <c r="C17601" t="inlineStr">
        <is>
          <t>1446/03/06</t>
        </is>
      </c>
    </row>
    <row r="17602">
      <c r="A17602" t="n">
        <v>14460307</v>
      </c>
      <c r="B17602" t="n">
        <v>61145</v>
      </c>
      <c r="C17602" t="inlineStr">
        <is>
          <t>1446/03/07</t>
        </is>
      </c>
    </row>
    <row r="17603">
      <c r="A17603" t="n">
        <v>14460308</v>
      </c>
      <c r="B17603" t="n">
        <v>61146</v>
      </c>
      <c r="C17603" t="inlineStr">
        <is>
          <t>1446/03/08</t>
        </is>
      </c>
    </row>
    <row r="17604">
      <c r="A17604" t="n">
        <v>14460309</v>
      </c>
      <c r="B17604" t="n">
        <v>61147</v>
      </c>
      <c r="C17604" t="inlineStr">
        <is>
          <t>1446/03/09</t>
        </is>
      </c>
    </row>
    <row r="17605">
      <c r="A17605" t="n">
        <v>14460310</v>
      </c>
      <c r="B17605" t="n">
        <v>61148</v>
      </c>
      <c r="C17605" t="inlineStr">
        <is>
          <t>1446/03/10</t>
        </is>
      </c>
    </row>
    <row r="17606">
      <c r="A17606" t="n">
        <v>14460311</v>
      </c>
      <c r="B17606" t="n">
        <v>61149</v>
      </c>
      <c r="C17606" t="inlineStr">
        <is>
          <t>1446/03/11</t>
        </is>
      </c>
    </row>
    <row r="17607">
      <c r="A17607" t="n">
        <v>14460312</v>
      </c>
      <c r="B17607" t="n">
        <v>61150</v>
      </c>
      <c r="C17607" t="inlineStr">
        <is>
          <t>1446/03/12</t>
        </is>
      </c>
    </row>
    <row r="17608">
      <c r="A17608" t="n">
        <v>14460313</v>
      </c>
      <c r="B17608" t="n">
        <v>61151</v>
      </c>
      <c r="C17608" t="inlineStr">
        <is>
          <t>1446/03/13</t>
        </is>
      </c>
    </row>
    <row r="17609">
      <c r="A17609" t="n">
        <v>14460314</v>
      </c>
      <c r="B17609" t="n">
        <v>61152</v>
      </c>
      <c r="C17609" t="inlineStr">
        <is>
          <t>1446/03/14</t>
        </is>
      </c>
    </row>
    <row r="17610">
      <c r="A17610" t="n">
        <v>14460315</v>
      </c>
      <c r="B17610" t="n">
        <v>61153</v>
      </c>
      <c r="C17610" t="inlineStr">
        <is>
          <t>1446/03/15</t>
        </is>
      </c>
    </row>
    <row r="17611">
      <c r="A17611" t="n">
        <v>14460316</v>
      </c>
      <c r="B17611" t="n">
        <v>61154</v>
      </c>
      <c r="C17611" t="inlineStr">
        <is>
          <t>1446/03/16</t>
        </is>
      </c>
    </row>
    <row r="17612">
      <c r="A17612" t="n">
        <v>14460317</v>
      </c>
      <c r="B17612" t="n">
        <v>61155</v>
      </c>
      <c r="C17612" t="inlineStr">
        <is>
          <t>1446/03/17</t>
        </is>
      </c>
    </row>
    <row r="17613">
      <c r="A17613" t="n">
        <v>14460318</v>
      </c>
      <c r="B17613" t="n">
        <v>61156</v>
      </c>
      <c r="C17613" t="inlineStr">
        <is>
          <t>1446/03/18</t>
        </is>
      </c>
    </row>
    <row r="17614">
      <c r="A17614" t="n">
        <v>14460319</v>
      </c>
      <c r="B17614" t="n">
        <v>61157</v>
      </c>
      <c r="C17614" t="inlineStr">
        <is>
          <t>1446/03/19</t>
        </is>
      </c>
    </row>
    <row r="17615">
      <c r="A17615" t="n">
        <v>14460320</v>
      </c>
      <c r="B17615" t="n">
        <v>61158</v>
      </c>
      <c r="C17615" t="inlineStr">
        <is>
          <t>1446/03/20</t>
        </is>
      </c>
    </row>
    <row r="17616">
      <c r="A17616" t="n">
        <v>14460321</v>
      </c>
      <c r="B17616" t="n">
        <v>61159</v>
      </c>
      <c r="C17616" t="inlineStr">
        <is>
          <t>1446/03/21</t>
        </is>
      </c>
    </row>
    <row r="17617">
      <c r="A17617" t="n">
        <v>14460322</v>
      </c>
      <c r="B17617" t="n">
        <v>61160</v>
      </c>
      <c r="C17617" t="inlineStr">
        <is>
          <t>1446/03/22</t>
        </is>
      </c>
    </row>
    <row r="17618">
      <c r="A17618" t="n">
        <v>14460323</v>
      </c>
      <c r="B17618" t="n">
        <v>61161</v>
      </c>
      <c r="C17618" t="inlineStr">
        <is>
          <t>1446/03/23</t>
        </is>
      </c>
    </row>
    <row r="17619">
      <c r="A17619" t="n">
        <v>14460324</v>
      </c>
      <c r="B17619" t="n">
        <v>61162</v>
      </c>
      <c r="C17619" t="inlineStr">
        <is>
          <t>1446/03/24</t>
        </is>
      </c>
    </row>
    <row r="17620">
      <c r="A17620" t="n">
        <v>14460325</v>
      </c>
      <c r="B17620" t="n">
        <v>61163</v>
      </c>
      <c r="C17620" t="inlineStr">
        <is>
          <t>1446/03/25</t>
        </is>
      </c>
    </row>
    <row r="17621">
      <c r="A17621" t="n">
        <v>14460326</v>
      </c>
      <c r="B17621" t="n">
        <v>61164</v>
      </c>
      <c r="C17621" t="inlineStr">
        <is>
          <t>1446/03/26</t>
        </is>
      </c>
    </row>
    <row r="17622">
      <c r="A17622" t="n">
        <v>14460327</v>
      </c>
      <c r="B17622" t="n">
        <v>61165</v>
      </c>
      <c r="C17622" t="inlineStr">
        <is>
          <t>1446/03/27</t>
        </is>
      </c>
    </row>
    <row r="17623">
      <c r="A17623" t="n">
        <v>14460328</v>
      </c>
      <c r="B17623" t="n">
        <v>61166</v>
      </c>
      <c r="C17623" t="inlineStr">
        <is>
          <t>1446/03/28</t>
        </is>
      </c>
    </row>
    <row r="17624">
      <c r="A17624" t="n">
        <v>14460329</v>
      </c>
      <c r="B17624" t="n">
        <v>61167</v>
      </c>
      <c r="C17624" t="inlineStr">
        <is>
          <t>1446/03/29</t>
        </is>
      </c>
    </row>
    <row r="17625">
      <c r="A17625" t="n">
        <v>14460330</v>
      </c>
      <c r="B17625" t="n">
        <v>61168</v>
      </c>
      <c r="C17625" t="inlineStr">
        <is>
          <t>1446/03/30</t>
        </is>
      </c>
    </row>
    <row r="17626">
      <c r="A17626" t="n">
        <v>14460331</v>
      </c>
      <c r="B17626" t="n">
        <v>61169</v>
      </c>
      <c r="C17626" t="inlineStr">
        <is>
          <t>1446/03/31</t>
        </is>
      </c>
    </row>
    <row r="17627">
      <c r="A17627" t="n">
        <v>14460401</v>
      </c>
      <c r="B17627" t="n">
        <v>61170</v>
      </c>
      <c r="C17627" t="inlineStr">
        <is>
          <t>1446/04/01</t>
        </is>
      </c>
    </row>
    <row r="17628">
      <c r="A17628" t="n">
        <v>14460402</v>
      </c>
      <c r="B17628" t="n">
        <v>61171</v>
      </c>
      <c r="C17628" t="inlineStr">
        <is>
          <t>1446/04/02</t>
        </is>
      </c>
    </row>
    <row r="17629">
      <c r="A17629" t="n">
        <v>14460403</v>
      </c>
      <c r="B17629" t="n">
        <v>61172</v>
      </c>
      <c r="C17629" t="inlineStr">
        <is>
          <t>1446/04/03</t>
        </is>
      </c>
    </row>
    <row r="17630">
      <c r="A17630" t="n">
        <v>14460404</v>
      </c>
      <c r="B17630" t="n">
        <v>61173</v>
      </c>
      <c r="C17630" t="inlineStr">
        <is>
          <t>1446/04/04</t>
        </is>
      </c>
    </row>
    <row r="17631">
      <c r="A17631" t="n">
        <v>14460405</v>
      </c>
      <c r="B17631" t="n">
        <v>61174</v>
      </c>
      <c r="C17631" t="inlineStr">
        <is>
          <t>1446/04/05</t>
        </is>
      </c>
    </row>
    <row r="17632">
      <c r="A17632" t="n">
        <v>14460406</v>
      </c>
      <c r="B17632" t="n">
        <v>61175</v>
      </c>
      <c r="C17632" t="inlineStr">
        <is>
          <t>1446/04/06</t>
        </is>
      </c>
    </row>
    <row r="17633">
      <c r="A17633" t="n">
        <v>14460407</v>
      </c>
      <c r="B17633" t="n">
        <v>61176</v>
      </c>
      <c r="C17633" t="inlineStr">
        <is>
          <t>1446/04/07</t>
        </is>
      </c>
    </row>
    <row r="17634">
      <c r="A17634" t="n">
        <v>14460408</v>
      </c>
      <c r="B17634" t="n">
        <v>61177</v>
      </c>
      <c r="C17634" t="inlineStr">
        <is>
          <t>1446/04/08</t>
        </is>
      </c>
    </row>
    <row r="17635">
      <c r="A17635" t="n">
        <v>14460409</v>
      </c>
      <c r="B17635" t="n">
        <v>61178</v>
      </c>
      <c r="C17635" t="inlineStr">
        <is>
          <t>1446/04/09</t>
        </is>
      </c>
    </row>
    <row r="17636">
      <c r="A17636" t="n">
        <v>14460410</v>
      </c>
      <c r="B17636" t="n">
        <v>61179</v>
      </c>
      <c r="C17636" t="inlineStr">
        <is>
          <t>1446/04/10</t>
        </is>
      </c>
    </row>
    <row r="17637">
      <c r="A17637" t="n">
        <v>14460411</v>
      </c>
      <c r="B17637" t="n">
        <v>61180</v>
      </c>
      <c r="C17637" t="inlineStr">
        <is>
          <t>1446/04/11</t>
        </is>
      </c>
    </row>
    <row r="17638">
      <c r="A17638" t="n">
        <v>14460412</v>
      </c>
      <c r="B17638" t="n">
        <v>61181</v>
      </c>
      <c r="C17638" t="inlineStr">
        <is>
          <t>1446/04/12</t>
        </is>
      </c>
    </row>
    <row r="17639">
      <c r="A17639" t="n">
        <v>14460413</v>
      </c>
      <c r="B17639" t="n">
        <v>61182</v>
      </c>
      <c r="C17639" t="inlineStr">
        <is>
          <t>1446/04/13</t>
        </is>
      </c>
    </row>
    <row r="17640">
      <c r="A17640" t="n">
        <v>14460414</v>
      </c>
      <c r="B17640" t="n">
        <v>61183</v>
      </c>
      <c r="C17640" t="inlineStr">
        <is>
          <t>1446/04/14</t>
        </is>
      </c>
    </row>
    <row r="17641">
      <c r="A17641" t="n">
        <v>14460415</v>
      </c>
      <c r="B17641" t="n">
        <v>61184</v>
      </c>
      <c r="C17641" t="inlineStr">
        <is>
          <t>1446/04/15</t>
        </is>
      </c>
    </row>
    <row r="17642">
      <c r="A17642" t="n">
        <v>14460416</v>
      </c>
      <c r="B17642" t="n">
        <v>61185</v>
      </c>
      <c r="C17642" t="inlineStr">
        <is>
          <t>1446/04/16</t>
        </is>
      </c>
    </row>
    <row r="17643">
      <c r="A17643" t="n">
        <v>14460417</v>
      </c>
      <c r="B17643" t="n">
        <v>61186</v>
      </c>
      <c r="C17643" t="inlineStr">
        <is>
          <t>1446/04/17</t>
        </is>
      </c>
    </row>
    <row r="17644">
      <c r="A17644" t="n">
        <v>14460418</v>
      </c>
      <c r="B17644" t="n">
        <v>61187</v>
      </c>
      <c r="C17644" t="inlineStr">
        <is>
          <t>1446/04/18</t>
        </is>
      </c>
    </row>
    <row r="17645">
      <c r="A17645" t="n">
        <v>14460419</v>
      </c>
      <c r="B17645" t="n">
        <v>61188</v>
      </c>
      <c r="C17645" t="inlineStr">
        <is>
          <t>1446/04/19</t>
        </is>
      </c>
    </row>
    <row r="17646">
      <c r="A17646" t="n">
        <v>14460420</v>
      </c>
      <c r="B17646" t="n">
        <v>61189</v>
      </c>
      <c r="C17646" t="inlineStr">
        <is>
          <t>1446/04/20</t>
        </is>
      </c>
    </row>
    <row r="17647">
      <c r="A17647" t="n">
        <v>14460421</v>
      </c>
      <c r="B17647" t="n">
        <v>61190</v>
      </c>
      <c r="C17647" t="inlineStr">
        <is>
          <t>1446/04/21</t>
        </is>
      </c>
    </row>
    <row r="17648">
      <c r="A17648" t="n">
        <v>14460422</v>
      </c>
      <c r="B17648" t="n">
        <v>61191</v>
      </c>
      <c r="C17648" t="inlineStr">
        <is>
          <t>1446/04/22</t>
        </is>
      </c>
    </row>
    <row r="17649">
      <c r="A17649" t="n">
        <v>14460423</v>
      </c>
      <c r="B17649" t="n">
        <v>61192</v>
      </c>
      <c r="C17649" t="inlineStr">
        <is>
          <t>1446/04/23</t>
        </is>
      </c>
    </row>
    <row r="17650">
      <c r="A17650" t="n">
        <v>14460424</v>
      </c>
      <c r="B17650" t="n">
        <v>61193</v>
      </c>
      <c r="C17650" t="inlineStr">
        <is>
          <t>1446/04/24</t>
        </is>
      </c>
    </row>
    <row r="17651">
      <c r="A17651" t="n">
        <v>14460425</v>
      </c>
      <c r="B17651" t="n">
        <v>61194</v>
      </c>
      <c r="C17651" t="inlineStr">
        <is>
          <t>1446/04/25</t>
        </is>
      </c>
    </row>
    <row r="17652">
      <c r="A17652" t="n">
        <v>14460426</v>
      </c>
      <c r="B17652" t="n">
        <v>61195</v>
      </c>
      <c r="C17652" t="inlineStr">
        <is>
          <t>1446/04/26</t>
        </is>
      </c>
    </row>
    <row r="17653">
      <c r="A17653" t="n">
        <v>14460427</v>
      </c>
      <c r="B17653" t="n">
        <v>61196</v>
      </c>
      <c r="C17653" t="inlineStr">
        <is>
          <t>1446/04/27</t>
        </is>
      </c>
    </row>
    <row r="17654">
      <c r="A17654" t="n">
        <v>14460428</v>
      </c>
      <c r="B17654" t="n">
        <v>61197</v>
      </c>
      <c r="C17654" t="inlineStr">
        <is>
          <t>1446/04/28</t>
        </is>
      </c>
    </row>
    <row r="17655">
      <c r="A17655" t="n">
        <v>14460429</v>
      </c>
      <c r="B17655" t="n">
        <v>61198</v>
      </c>
      <c r="C17655" t="inlineStr">
        <is>
          <t>1446/04/29</t>
        </is>
      </c>
    </row>
    <row r="17656">
      <c r="A17656" t="n">
        <v>14460430</v>
      </c>
      <c r="B17656" t="n">
        <v>61199</v>
      </c>
      <c r="C17656" t="inlineStr">
        <is>
          <t>1446/04/30</t>
        </is>
      </c>
    </row>
    <row r="17657">
      <c r="A17657" t="n">
        <v>14460431</v>
      </c>
      <c r="B17657" t="n">
        <v>61200</v>
      </c>
      <c r="C17657" t="inlineStr">
        <is>
          <t>1446/04/31</t>
        </is>
      </c>
    </row>
    <row r="17658">
      <c r="A17658" t="n">
        <v>14460501</v>
      </c>
      <c r="B17658" t="n">
        <v>61201</v>
      </c>
      <c r="C17658" t="inlineStr">
        <is>
          <t>1446/05/01</t>
        </is>
      </c>
    </row>
    <row r="17659">
      <c r="A17659" t="n">
        <v>14460502</v>
      </c>
      <c r="B17659" t="n">
        <v>61202</v>
      </c>
      <c r="C17659" t="inlineStr">
        <is>
          <t>1446/05/02</t>
        </is>
      </c>
    </row>
    <row r="17660">
      <c r="A17660" t="n">
        <v>14460503</v>
      </c>
      <c r="B17660" t="n">
        <v>61203</v>
      </c>
      <c r="C17660" t="inlineStr">
        <is>
          <t>1446/05/03</t>
        </is>
      </c>
    </row>
    <row r="17661">
      <c r="A17661" t="n">
        <v>14460504</v>
      </c>
      <c r="B17661" t="n">
        <v>61204</v>
      </c>
      <c r="C17661" t="inlineStr">
        <is>
          <t>1446/05/04</t>
        </is>
      </c>
    </row>
    <row r="17662">
      <c r="A17662" t="n">
        <v>14460505</v>
      </c>
      <c r="B17662" t="n">
        <v>61205</v>
      </c>
      <c r="C17662" t="inlineStr">
        <is>
          <t>1446/05/05</t>
        </is>
      </c>
    </row>
    <row r="17663">
      <c r="A17663" t="n">
        <v>14460506</v>
      </c>
      <c r="B17663" t="n">
        <v>61206</v>
      </c>
      <c r="C17663" t="inlineStr">
        <is>
          <t>1446/05/06</t>
        </is>
      </c>
    </row>
    <row r="17664">
      <c r="A17664" t="n">
        <v>14460507</v>
      </c>
      <c r="B17664" t="n">
        <v>61207</v>
      </c>
      <c r="C17664" t="inlineStr">
        <is>
          <t>1446/05/07</t>
        </is>
      </c>
    </row>
    <row r="17665">
      <c r="A17665" t="n">
        <v>14460508</v>
      </c>
      <c r="B17665" t="n">
        <v>61208</v>
      </c>
      <c r="C17665" t="inlineStr">
        <is>
          <t>1446/05/08</t>
        </is>
      </c>
    </row>
    <row r="17666">
      <c r="A17666" t="n">
        <v>14460509</v>
      </c>
      <c r="B17666" t="n">
        <v>61209</v>
      </c>
      <c r="C17666" t="inlineStr">
        <is>
          <t>1446/05/09</t>
        </is>
      </c>
    </row>
    <row r="17667">
      <c r="A17667" t="n">
        <v>14460510</v>
      </c>
      <c r="B17667" t="n">
        <v>61210</v>
      </c>
      <c r="C17667" t="inlineStr">
        <is>
          <t>1446/05/10</t>
        </is>
      </c>
    </row>
    <row r="17668">
      <c r="A17668" t="n">
        <v>14460511</v>
      </c>
      <c r="B17668" t="n">
        <v>61211</v>
      </c>
      <c r="C17668" t="inlineStr">
        <is>
          <t>1446/05/11</t>
        </is>
      </c>
    </row>
    <row r="17669">
      <c r="A17669" t="n">
        <v>14460512</v>
      </c>
      <c r="B17669" t="n">
        <v>61212</v>
      </c>
      <c r="C17669" t="inlineStr">
        <is>
          <t>1446/05/12</t>
        </is>
      </c>
    </row>
    <row r="17670">
      <c r="A17670" t="n">
        <v>14460513</v>
      </c>
      <c r="B17670" t="n">
        <v>61213</v>
      </c>
      <c r="C17670" t="inlineStr">
        <is>
          <t>1446/05/13</t>
        </is>
      </c>
    </row>
    <row r="17671">
      <c r="A17671" t="n">
        <v>14460514</v>
      </c>
      <c r="B17671" t="n">
        <v>61214</v>
      </c>
      <c r="C17671" t="inlineStr">
        <is>
          <t>1446/05/14</t>
        </is>
      </c>
    </row>
    <row r="17672">
      <c r="A17672" t="n">
        <v>14460515</v>
      </c>
      <c r="B17672" t="n">
        <v>61215</v>
      </c>
      <c r="C17672" t="inlineStr">
        <is>
          <t>1446/05/15</t>
        </is>
      </c>
    </row>
    <row r="17673">
      <c r="A17673" t="n">
        <v>14460516</v>
      </c>
      <c r="B17673" t="n">
        <v>61216</v>
      </c>
      <c r="C17673" t="inlineStr">
        <is>
          <t>1446/05/16</t>
        </is>
      </c>
    </row>
    <row r="17674">
      <c r="A17674" t="n">
        <v>14460517</v>
      </c>
      <c r="B17674" t="n">
        <v>61217</v>
      </c>
      <c r="C17674" t="inlineStr">
        <is>
          <t>1446/05/17</t>
        </is>
      </c>
    </row>
    <row r="17675">
      <c r="A17675" t="n">
        <v>14460518</v>
      </c>
      <c r="B17675" t="n">
        <v>61218</v>
      </c>
      <c r="C17675" t="inlineStr">
        <is>
          <t>1446/05/18</t>
        </is>
      </c>
    </row>
    <row r="17676">
      <c r="A17676" t="n">
        <v>14460519</v>
      </c>
      <c r="B17676" t="n">
        <v>61219</v>
      </c>
      <c r="C17676" t="inlineStr">
        <is>
          <t>1446/05/19</t>
        </is>
      </c>
    </row>
    <row r="17677">
      <c r="A17677" t="n">
        <v>14460520</v>
      </c>
      <c r="B17677" t="n">
        <v>61220</v>
      </c>
      <c r="C17677" t="inlineStr">
        <is>
          <t>1446/05/20</t>
        </is>
      </c>
    </row>
    <row r="17678">
      <c r="A17678" t="n">
        <v>14460521</v>
      </c>
      <c r="B17678" t="n">
        <v>61221</v>
      </c>
      <c r="C17678" t="inlineStr">
        <is>
          <t>1446/05/21</t>
        </is>
      </c>
    </row>
    <row r="17679">
      <c r="A17679" t="n">
        <v>14460522</v>
      </c>
      <c r="B17679" t="n">
        <v>61222</v>
      </c>
      <c r="C17679" t="inlineStr">
        <is>
          <t>1446/05/22</t>
        </is>
      </c>
    </row>
    <row r="17680">
      <c r="A17680" t="n">
        <v>14460523</v>
      </c>
      <c r="B17680" t="n">
        <v>61223</v>
      </c>
      <c r="C17680" t="inlineStr">
        <is>
          <t>1446/05/23</t>
        </is>
      </c>
    </row>
    <row r="17681">
      <c r="A17681" t="n">
        <v>14460524</v>
      </c>
      <c r="B17681" t="n">
        <v>61224</v>
      </c>
      <c r="C17681" t="inlineStr">
        <is>
          <t>1446/05/24</t>
        </is>
      </c>
    </row>
    <row r="17682">
      <c r="A17682" t="n">
        <v>14460525</v>
      </c>
      <c r="B17682" t="n">
        <v>61225</v>
      </c>
      <c r="C17682" t="inlineStr">
        <is>
          <t>1446/05/25</t>
        </is>
      </c>
    </row>
    <row r="17683">
      <c r="A17683" t="n">
        <v>14460526</v>
      </c>
      <c r="B17683" t="n">
        <v>61226</v>
      </c>
      <c r="C17683" t="inlineStr">
        <is>
          <t>1446/05/26</t>
        </is>
      </c>
    </row>
    <row r="17684">
      <c r="A17684" t="n">
        <v>14460527</v>
      </c>
      <c r="B17684" t="n">
        <v>61227</v>
      </c>
      <c r="C17684" t="inlineStr">
        <is>
          <t>1446/05/27</t>
        </is>
      </c>
    </row>
    <row r="17685">
      <c r="A17685" t="n">
        <v>14460528</v>
      </c>
      <c r="B17685" t="n">
        <v>61228</v>
      </c>
      <c r="C17685" t="inlineStr">
        <is>
          <t>1446/05/28</t>
        </is>
      </c>
    </row>
    <row r="17686">
      <c r="A17686" t="n">
        <v>14460529</v>
      </c>
      <c r="B17686" t="n">
        <v>61229</v>
      </c>
      <c r="C17686" t="inlineStr">
        <is>
          <t>1446/05/29</t>
        </is>
      </c>
    </row>
    <row r="17687">
      <c r="A17687" t="n">
        <v>14460530</v>
      </c>
      <c r="B17687" t="n">
        <v>61230</v>
      </c>
      <c r="C17687" t="inlineStr">
        <is>
          <t>1446/05/30</t>
        </is>
      </c>
    </row>
    <row r="17688">
      <c r="A17688" t="n">
        <v>14460531</v>
      </c>
      <c r="B17688" t="n">
        <v>61231</v>
      </c>
      <c r="C17688" t="inlineStr">
        <is>
          <t>1446/05/31</t>
        </is>
      </c>
    </row>
    <row r="17689">
      <c r="A17689" t="n">
        <v>14460601</v>
      </c>
      <c r="B17689" t="n">
        <v>61232</v>
      </c>
      <c r="C17689" t="inlineStr">
        <is>
          <t>1446/06/01</t>
        </is>
      </c>
    </row>
    <row r="17690">
      <c r="A17690" t="n">
        <v>14460602</v>
      </c>
      <c r="B17690" t="n">
        <v>61233</v>
      </c>
      <c r="C17690" t="inlineStr">
        <is>
          <t>1446/06/02</t>
        </is>
      </c>
    </row>
    <row r="17691">
      <c r="A17691" t="n">
        <v>14460603</v>
      </c>
      <c r="B17691" t="n">
        <v>61234</v>
      </c>
      <c r="C17691" t="inlineStr">
        <is>
          <t>1446/06/03</t>
        </is>
      </c>
    </row>
    <row r="17692">
      <c r="A17692" t="n">
        <v>14460604</v>
      </c>
      <c r="B17692" t="n">
        <v>61235</v>
      </c>
      <c r="C17692" t="inlineStr">
        <is>
          <t>1446/06/04</t>
        </is>
      </c>
    </row>
    <row r="17693">
      <c r="A17693" t="n">
        <v>14460605</v>
      </c>
      <c r="B17693" t="n">
        <v>61236</v>
      </c>
      <c r="C17693" t="inlineStr">
        <is>
          <t>1446/06/05</t>
        </is>
      </c>
    </row>
    <row r="17694">
      <c r="A17694" t="n">
        <v>14460606</v>
      </c>
      <c r="B17694" t="n">
        <v>61237</v>
      </c>
      <c r="C17694" t="inlineStr">
        <is>
          <t>1446/06/06</t>
        </is>
      </c>
    </row>
    <row r="17695">
      <c r="A17695" t="n">
        <v>14460607</v>
      </c>
      <c r="B17695" t="n">
        <v>61238</v>
      </c>
      <c r="C17695" t="inlineStr">
        <is>
          <t>1446/06/07</t>
        </is>
      </c>
    </row>
    <row r="17696">
      <c r="A17696" t="n">
        <v>14460608</v>
      </c>
      <c r="B17696" t="n">
        <v>61239</v>
      </c>
      <c r="C17696" t="inlineStr">
        <is>
          <t>1446/06/08</t>
        </is>
      </c>
    </row>
    <row r="17697">
      <c r="A17697" t="n">
        <v>14460609</v>
      </c>
      <c r="B17697" t="n">
        <v>61240</v>
      </c>
      <c r="C17697" t="inlineStr">
        <is>
          <t>1446/06/09</t>
        </is>
      </c>
    </row>
    <row r="17698">
      <c r="A17698" t="n">
        <v>14460610</v>
      </c>
      <c r="B17698" t="n">
        <v>61241</v>
      </c>
      <c r="C17698" t="inlineStr">
        <is>
          <t>1446/06/10</t>
        </is>
      </c>
    </row>
    <row r="17699">
      <c r="A17699" t="n">
        <v>14460611</v>
      </c>
      <c r="B17699" t="n">
        <v>61242</v>
      </c>
      <c r="C17699" t="inlineStr">
        <is>
          <t>1446/06/11</t>
        </is>
      </c>
    </row>
    <row r="17700">
      <c r="A17700" t="n">
        <v>14460612</v>
      </c>
      <c r="B17700" t="n">
        <v>61243</v>
      </c>
      <c r="C17700" t="inlineStr">
        <is>
          <t>1446/06/12</t>
        </is>
      </c>
    </row>
    <row r="17701">
      <c r="A17701" t="n">
        <v>14460613</v>
      </c>
      <c r="B17701" t="n">
        <v>61244</v>
      </c>
      <c r="C17701" t="inlineStr">
        <is>
          <t>1446/06/13</t>
        </is>
      </c>
    </row>
    <row r="17702">
      <c r="A17702" t="n">
        <v>14460614</v>
      </c>
      <c r="B17702" t="n">
        <v>61245</v>
      </c>
      <c r="C17702" t="inlineStr">
        <is>
          <t>1446/06/14</t>
        </is>
      </c>
    </row>
    <row r="17703">
      <c r="A17703" t="n">
        <v>14460615</v>
      </c>
      <c r="B17703" t="n">
        <v>61246</v>
      </c>
      <c r="C17703" t="inlineStr">
        <is>
          <t>1446/06/15</t>
        </is>
      </c>
    </row>
    <row r="17704">
      <c r="A17704" t="n">
        <v>14460616</v>
      </c>
      <c r="B17704" t="n">
        <v>61247</v>
      </c>
      <c r="C17704" t="inlineStr">
        <is>
          <t>1446/06/16</t>
        </is>
      </c>
    </row>
    <row r="17705">
      <c r="A17705" t="n">
        <v>14460617</v>
      </c>
      <c r="B17705" t="n">
        <v>61248</v>
      </c>
      <c r="C17705" t="inlineStr">
        <is>
          <t>1446/06/17</t>
        </is>
      </c>
    </row>
    <row r="17706">
      <c r="A17706" t="n">
        <v>14460618</v>
      </c>
      <c r="B17706" t="n">
        <v>61249</v>
      </c>
      <c r="C17706" t="inlineStr">
        <is>
          <t>1446/06/18</t>
        </is>
      </c>
    </row>
    <row r="17707">
      <c r="A17707" t="n">
        <v>14460619</v>
      </c>
      <c r="B17707" t="n">
        <v>61250</v>
      </c>
      <c r="C17707" t="inlineStr">
        <is>
          <t>1446/06/19</t>
        </is>
      </c>
    </row>
    <row r="17708">
      <c r="A17708" t="n">
        <v>14460620</v>
      </c>
      <c r="B17708" t="n">
        <v>61251</v>
      </c>
      <c r="C17708" t="inlineStr">
        <is>
          <t>1446/06/20</t>
        </is>
      </c>
    </row>
    <row r="17709">
      <c r="A17709" t="n">
        <v>14460621</v>
      </c>
      <c r="B17709" t="n">
        <v>61252</v>
      </c>
      <c r="C17709" t="inlineStr">
        <is>
          <t>1446/06/21</t>
        </is>
      </c>
    </row>
    <row r="17710">
      <c r="A17710" t="n">
        <v>14460622</v>
      </c>
      <c r="B17710" t="n">
        <v>61253</v>
      </c>
      <c r="C17710" t="inlineStr">
        <is>
          <t>1446/06/22</t>
        </is>
      </c>
    </row>
    <row r="17711">
      <c r="A17711" t="n">
        <v>14460623</v>
      </c>
      <c r="B17711" t="n">
        <v>61254</v>
      </c>
      <c r="C17711" t="inlineStr">
        <is>
          <t>1446/06/23</t>
        </is>
      </c>
    </row>
    <row r="17712">
      <c r="A17712" t="n">
        <v>14460624</v>
      </c>
      <c r="B17712" t="n">
        <v>61255</v>
      </c>
      <c r="C17712" t="inlineStr">
        <is>
          <t>1446/06/24</t>
        </is>
      </c>
    </row>
    <row r="17713">
      <c r="A17713" t="n">
        <v>14460625</v>
      </c>
      <c r="B17713" t="n">
        <v>61256</v>
      </c>
      <c r="C17713" t="inlineStr">
        <is>
          <t>1446/06/25</t>
        </is>
      </c>
    </row>
    <row r="17714">
      <c r="A17714" t="n">
        <v>14460626</v>
      </c>
      <c r="B17714" t="n">
        <v>61257</v>
      </c>
      <c r="C17714" t="inlineStr">
        <is>
          <t>1446/06/26</t>
        </is>
      </c>
    </row>
    <row r="17715">
      <c r="A17715" t="n">
        <v>14460627</v>
      </c>
      <c r="B17715" t="n">
        <v>61258</v>
      </c>
      <c r="C17715" t="inlineStr">
        <is>
          <t>1446/06/27</t>
        </is>
      </c>
    </row>
    <row r="17716">
      <c r="A17716" t="n">
        <v>14460628</v>
      </c>
      <c r="B17716" t="n">
        <v>61259</v>
      </c>
      <c r="C17716" t="inlineStr">
        <is>
          <t>1446/06/28</t>
        </is>
      </c>
    </row>
    <row r="17717">
      <c r="A17717" t="n">
        <v>14460629</v>
      </c>
      <c r="B17717" t="n">
        <v>61260</v>
      </c>
      <c r="C17717" t="inlineStr">
        <is>
          <t>1446/06/29</t>
        </is>
      </c>
    </row>
    <row r="17718">
      <c r="A17718" t="n">
        <v>14460630</v>
      </c>
      <c r="B17718" t="n">
        <v>61261</v>
      </c>
      <c r="C17718" t="inlineStr">
        <is>
          <t>1446/06/30</t>
        </is>
      </c>
    </row>
    <row r="17719">
      <c r="A17719" t="n">
        <v>14460631</v>
      </c>
      <c r="B17719" t="n">
        <v>61262</v>
      </c>
      <c r="C17719" t="inlineStr">
        <is>
          <t>1446/06/31</t>
        </is>
      </c>
    </row>
    <row r="17720">
      <c r="A17720" t="n">
        <v>14460701</v>
      </c>
      <c r="B17720" t="n">
        <v>61263</v>
      </c>
      <c r="C17720" t="inlineStr">
        <is>
          <t>1446/07/01</t>
        </is>
      </c>
    </row>
    <row r="17721">
      <c r="A17721" t="n">
        <v>14460702</v>
      </c>
      <c r="B17721" t="n">
        <v>61264</v>
      </c>
      <c r="C17721" t="inlineStr">
        <is>
          <t>1446/07/02</t>
        </is>
      </c>
    </row>
    <row r="17722">
      <c r="A17722" t="n">
        <v>14460703</v>
      </c>
      <c r="B17722" t="n">
        <v>61265</v>
      </c>
      <c r="C17722" t="inlineStr">
        <is>
          <t>1446/07/03</t>
        </is>
      </c>
    </row>
    <row r="17723">
      <c r="A17723" t="n">
        <v>14460704</v>
      </c>
      <c r="B17723" t="n">
        <v>61266</v>
      </c>
      <c r="C17723" t="inlineStr">
        <is>
          <t>1446/07/04</t>
        </is>
      </c>
    </row>
    <row r="17724">
      <c r="A17724" t="n">
        <v>14460705</v>
      </c>
      <c r="B17724" t="n">
        <v>61267</v>
      </c>
      <c r="C17724" t="inlineStr">
        <is>
          <t>1446/07/05</t>
        </is>
      </c>
    </row>
    <row r="17725">
      <c r="A17725" t="n">
        <v>14460706</v>
      </c>
      <c r="B17725" t="n">
        <v>61268</v>
      </c>
      <c r="C17725" t="inlineStr">
        <is>
          <t>1446/07/06</t>
        </is>
      </c>
    </row>
    <row r="17726">
      <c r="A17726" t="n">
        <v>14460707</v>
      </c>
      <c r="B17726" t="n">
        <v>61269</v>
      </c>
      <c r="C17726" t="inlineStr">
        <is>
          <t>1446/07/07</t>
        </is>
      </c>
    </row>
    <row r="17727">
      <c r="A17727" t="n">
        <v>14460708</v>
      </c>
      <c r="B17727" t="n">
        <v>61270</v>
      </c>
      <c r="C17727" t="inlineStr">
        <is>
          <t>1446/07/08</t>
        </is>
      </c>
    </row>
    <row r="17728">
      <c r="A17728" t="n">
        <v>14460709</v>
      </c>
      <c r="B17728" t="n">
        <v>61271</v>
      </c>
      <c r="C17728" t="inlineStr">
        <is>
          <t>1446/07/09</t>
        </is>
      </c>
    </row>
    <row r="17729">
      <c r="A17729" t="n">
        <v>14460710</v>
      </c>
      <c r="B17729" t="n">
        <v>61272</v>
      </c>
      <c r="C17729" t="inlineStr">
        <is>
          <t>1446/07/10</t>
        </is>
      </c>
    </row>
    <row r="17730">
      <c r="A17730" t="n">
        <v>14460711</v>
      </c>
      <c r="B17730" t="n">
        <v>61273</v>
      </c>
      <c r="C17730" t="inlineStr">
        <is>
          <t>1446/07/11</t>
        </is>
      </c>
    </row>
    <row r="17731">
      <c r="A17731" t="n">
        <v>14460712</v>
      </c>
      <c r="B17731" t="n">
        <v>61274</v>
      </c>
      <c r="C17731" t="inlineStr">
        <is>
          <t>1446/07/12</t>
        </is>
      </c>
    </row>
    <row r="17732">
      <c r="A17732" t="n">
        <v>14460713</v>
      </c>
      <c r="B17732" t="n">
        <v>61275</v>
      </c>
      <c r="C17732" t="inlineStr">
        <is>
          <t>1446/07/13</t>
        </is>
      </c>
    </row>
    <row r="17733">
      <c r="A17733" t="n">
        <v>14460714</v>
      </c>
      <c r="B17733" t="n">
        <v>61276</v>
      </c>
      <c r="C17733" t="inlineStr">
        <is>
          <t>1446/07/14</t>
        </is>
      </c>
    </row>
    <row r="17734">
      <c r="A17734" t="n">
        <v>14460715</v>
      </c>
      <c r="B17734" t="n">
        <v>61277</v>
      </c>
      <c r="C17734" t="inlineStr">
        <is>
          <t>1446/07/15</t>
        </is>
      </c>
    </row>
    <row r="17735">
      <c r="A17735" t="n">
        <v>14460716</v>
      </c>
      <c r="B17735" t="n">
        <v>61278</v>
      </c>
      <c r="C17735" t="inlineStr">
        <is>
          <t>1446/07/16</t>
        </is>
      </c>
    </row>
    <row r="17736">
      <c r="A17736" t="n">
        <v>14460717</v>
      </c>
      <c r="B17736" t="n">
        <v>61279</v>
      </c>
      <c r="C17736" t="inlineStr">
        <is>
          <t>1446/07/17</t>
        </is>
      </c>
    </row>
    <row r="17737">
      <c r="A17737" t="n">
        <v>14460718</v>
      </c>
      <c r="B17737" t="n">
        <v>61280</v>
      </c>
      <c r="C17737" t="inlineStr">
        <is>
          <t>1446/07/18</t>
        </is>
      </c>
    </row>
    <row r="17738">
      <c r="A17738" t="n">
        <v>14460719</v>
      </c>
      <c r="B17738" t="n">
        <v>61281</v>
      </c>
      <c r="C17738" t="inlineStr">
        <is>
          <t>1446/07/19</t>
        </is>
      </c>
    </row>
    <row r="17739">
      <c r="A17739" t="n">
        <v>14460720</v>
      </c>
      <c r="B17739" t="n">
        <v>61282</v>
      </c>
      <c r="C17739" t="inlineStr">
        <is>
          <t>1446/07/20</t>
        </is>
      </c>
    </row>
    <row r="17740">
      <c r="A17740" t="n">
        <v>14460721</v>
      </c>
      <c r="B17740" t="n">
        <v>61283</v>
      </c>
      <c r="C17740" t="inlineStr">
        <is>
          <t>1446/07/21</t>
        </is>
      </c>
    </row>
    <row r="17741">
      <c r="A17741" t="n">
        <v>14460722</v>
      </c>
      <c r="B17741" t="n">
        <v>61284</v>
      </c>
      <c r="C17741" t="inlineStr">
        <is>
          <t>1446/07/22</t>
        </is>
      </c>
    </row>
    <row r="17742">
      <c r="A17742" t="n">
        <v>14460723</v>
      </c>
      <c r="B17742" t="n">
        <v>61285</v>
      </c>
      <c r="C17742" t="inlineStr">
        <is>
          <t>1446/07/23</t>
        </is>
      </c>
    </row>
    <row r="17743">
      <c r="A17743" t="n">
        <v>14460724</v>
      </c>
      <c r="B17743" t="n">
        <v>61286</v>
      </c>
      <c r="C17743" t="inlineStr">
        <is>
          <t>1446/07/24</t>
        </is>
      </c>
    </row>
    <row r="17744">
      <c r="A17744" t="n">
        <v>14460725</v>
      </c>
      <c r="B17744" t="n">
        <v>61287</v>
      </c>
      <c r="C17744" t="inlineStr">
        <is>
          <t>1446/07/25</t>
        </is>
      </c>
    </row>
    <row r="17745">
      <c r="A17745" t="n">
        <v>14460726</v>
      </c>
      <c r="B17745" t="n">
        <v>61288</v>
      </c>
      <c r="C17745" t="inlineStr">
        <is>
          <t>1446/07/26</t>
        </is>
      </c>
    </row>
    <row r="17746">
      <c r="A17746" t="n">
        <v>14460727</v>
      </c>
      <c r="B17746" t="n">
        <v>61289</v>
      </c>
      <c r="C17746" t="inlineStr">
        <is>
          <t>1446/07/27</t>
        </is>
      </c>
    </row>
    <row r="17747">
      <c r="A17747" t="n">
        <v>14460728</v>
      </c>
      <c r="B17747" t="n">
        <v>61290</v>
      </c>
      <c r="C17747" t="inlineStr">
        <is>
          <t>1446/07/28</t>
        </is>
      </c>
    </row>
    <row r="17748">
      <c r="A17748" t="n">
        <v>14460729</v>
      </c>
      <c r="B17748" t="n">
        <v>61291</v>
      </c>
      <c r="C17748" t="inlineStr">
        <is>
          <t>1446/07/29</t>
        </is>
      </c>
    </row>
    <row r="17749">
      <c r="A17749" t="n">
        <v>14460730</v>
      </c>
      <c r="B17749" t="n">
        <v>61292</v>
      </c>
      <c r="C17749" t="inlineStr">
        <is>
          <t>1446/07/30</t>
        </is>
      </c>
    </row>
    <row r="17750">
      <c r="A17750" t="n">
        <v>14460801</v>
      </c>
      <c r="B17750" t="n">
        <v>61293</v>
      </c>
      <c r="C17750" t="inlineStr">
        <is>
          <t>1446/08/01</t>
        </is>
      </c>
    </row>
    <row r="17751">
      <c r="A17751" t="n">
        <v>14460802</v>
      </c>
      <c r="B17751" t="n">
        <v>61294</v>
      </c>
      <c r="C17751" t="inlineStr">
        <is>
          <t>1446/08/02</t>
        </is>
      </c>
    </row>
    <row r="17752">
      <c r="A17752" t="n">
        <v>14460803</v>
      </c>
      <c r="B17752" t="n">
        <v>61295</v>
      </c>
      <c r="C17752" t="inlineStr">
        <is>
          <t>1446/08/03</t>
        </is>
      </c>
    </row>
    <row r="17753">
      <c r="A17753" t="n">
        <v>14460804</v>
      </c>
      <c r="B17753" t="n">
        <v>61296</v>
      </c>
      <c r="C17753" t="inlineStr">
        <is>
          <t>1446/08/04</t>
        </is>
      </c>
    </row>
    <row r="17754">
      <c r="A17754" t="n">
        <v>14460805</v>
      </c>
      <c r="B17754" t="n">
        <v>61297</v>
      </c>
      <c r="C17754" t="inlineStr">
        <is>
          <t>1446/08/05</t>
        </is>
      </c>
    </row>
    <row r="17755">
      <c r="A17755" t="n">
        <v>14460806</v>
      </c>
      <c r="B17755" t="n">
        <v>61298</v>
      </c>
      <c r="C17755" t="inlineStr">
        <is>
          <t>1446/08/06</t>
        </is>
      </c>
    </row>
    <row r="17756">
      <c r="A17756" t="n">
        <v>14460807</v>
      </c>
      <c r="B17756" t="n">
        <v>61299</v>
      </c>
      <c r="C17756" t="inlineStr">
        <is>
          <t>1446/08/07</t>
        </is>
      </c>
    </row>
    <row r="17757">
      <c r="A17757" t="n">
        <v>14460808</v>
      </c>
      <c r="B17757" t="n">
        <v>61300</v>
      </c>
      <c r="C17757" t="inlineStr">
        <is>
          <t>1446/08/08</t>
        </is>
      </c>
    </row>
    <row r="17758">
      <c r="A17758" t="n">
        <v>14460809</v>
      </c>
      <c r="B17758" t="n">
        <v>61301</v>
      </c>
      <c r="C17758" t="inlineStr">
        <is>
          <t>1446/08/09</t>
        </is>
      </c>
    </row>
    <row r="17759">
      <c r="A17759" t="n">
        <v>14460810</v>
      </c>
      <c r="B17759" t="n">
        <v>61302</v>
      </c>
      <c r="C17759" t="inlineStr">
        <is>
          <t>1446/08/10</t>
        </is>
      </c>
    </row>
    <row r="17760">
      <c r="A17760" t="n">
        <v>14460811</v>
      </c>
      <c r="B17760" t="n">
        <v>61303</v>
      </c>
      <c r="C17760" t="inlineStr">
        <is>
          <t>1446/08/11</t>
        </is>
      </c>
    </row>
    <row r="17761">
      <c r="A17761" t="n">
        <v>14460812</v>
      </c>
      <c r="B17761" t="n">
        <v>61304</v>
      </c>
      <c r="C17761" t="inlineStr">
        <is>
          <t>1446/08/12</t>
        </is>
      </c>
    </row>
    <row r="17762">
      <c r="A17762" t="n">
        <v>14460813</v>
      </c>
      <c r="B17762" t="n">
        <v>61305</v>
      </c>
      <c r="C17762" t="inlineStr">
        <is>
          <t>1446/08/13</t>
        </is>
      </c>
    </row>
    <row r="17763">
      <c r="A17763" t="n">
        <v>14460814</v>
      </c>
      <c r="B17763" t="n">
        <v>61306</v>
      </c>
      <c r="C17763" t="inlineStr">
        <is>
          <t>1446/08/14</t>
        </is>
      </c>
    </row>
    <row r="17764">
      <c r="A17764" t="n">
        <v>14460815</v>
      </c>
      <c r="B17764" t="n">
        <v>61307</v>
      </c>
      <c r="C17764" t="inlineStr">
        <is>
          <t>1446/08/15</t>
        </is>
      </c>
    </row>
    <row r="17765">
      <c r="A17765" t="n">
        <v>14460816</v>
      </c>
      <c r="B17765" t="n">
        <v>61308</v>
      </c>
      <c r="C17765" t="inlineStr">
        <is>
          <t>1446/08/16</t>
        </is>
      </c>
    </row>
    <row r="17766">
      <c r="A17766" t="n">
        <v>14460817</v>
      </c>
      <c r="B17766" t="n">
        <v>61309</v>
      </c>
      <c r="C17766" t="inlineStr">
        <is>
          <t>1446/08/17</t>
        </is>
      </c>
    </row>
    <row r="17767">
      <c r="A17767" t="n">
        <v>14460818</v>
      </c>
      <c r="B17767" t="n">
        <v>61310</v>
      </c>
      <c r="C17767" t="inlineStr">
        <is>
          <t>1446/08/18</t>
        </is>
      </c>
    </row>
    <row r="17768">
      <c r="A17768" t="n">
        <v>14460819</v>
      </c>
      <c r="B17768" t="n">
        <v>61311</v>
      </c>
      <c r="C17768" t="inlineStr">
        <is>
          <t>1446/08/19</t>
        </is>
      </c>
    </row>
    <row r="17769">
      <c r="A17769" t="n">
        <v>14460820</v>
      </c>
      <c r="B17769" t="n">
        <v>61312</v>
      </c>
      <c r="C17769" t="inlineStr">
        <is>
          <t>1446/08/20</t>
        </is>
      </c>
    </row>
    <row r="17770">
      <c r="A17770" t="n">
        <v>14460821</v>
      </c>
      <c r="B17770" t="n">
        <v>61313</v>
      </c>
      <c r="C17770" t="inlineStr">
        <is>
          <t>1446/08/21</t>
        </is>
      </c>
    </row>
    <row r="17771">
      <c r="A17771" t="n">
        <v>14460822</v>
      </c>
      <c r="B17771" t="n">
        <v>61314</v>
      </c>
      <c r="C17771" t="inlineStr">
        <is>
          <t>1446/08/22</t>
        </is>
      </c>
    </row>
    <row r="17772">
      <c r="A17772" t="n">
        <v>14460823</v>
      </c>
      <c r="B17772" t="n">
        <v>61315</v>
      </c>
      <c r="C17772" t="inlineStr">
        <is>
          <t>1446/08/23</t>
        </is>
      </c>
    </row>
    <row r="17773">
      <c r="A17773" t="n">
        <v>14460824</v>
      </c>
      <c r="B17773" t="n">
        <v>61316</v>
      </c>
      <c r="C17773" t="inlineStr">
        <is>
          <t>1446/08/24</t>
        </is>
      </c>
    </row>
    <row r="17774">
      <c r="A17774" t="n">
        <v>14460825</v>
      </c>
      <c r="B17774" t="n">
        <v>61317</v>
      </c>
      <c r="C17774" t="inlineStr">
        <is>
          <t>1446/08/25</t>
        </is>
      </c>
    </row>
    <row r="17775">
      <c r="A17775" t="n">
        <v>14460826</v>
      </c>
      <c r="B17775" t="n">
        <v>61318</v>
      </c>
      <c r="C17775" t="inlineStr">
        <is>
          <t>1446/08/26</t>
        </is>
      </c>
    </row>
    <row r="17776">
      <c r="A17776" t="n">
        <v>14460827</v>
      </c>
      <c r="B17776" t="n">
        <v>61319</v>
      </c>
      <c r="C17776" t="inlineStr">
        <is>
          <t>1446/08/27</t>
        </is>
      </c>
    </row>
    <row r="17777">
      <c r="A17777" t="n">
        <v>14460828</v>
      </c>
      <c r="B17777" t="n">
        <v>61320</v>
      </c>
      <c r="C17777" t="inlineStr">
        <is>
          <t>1446/08/28</t>
        </is>
      </c>
    </row>
    <row r="17778">
      <c r="A17778" t="n">
        <v>14460829</v>
      </c>
      <c r="B17778" t="n">
        <v>61321</v>
      </c>
      <c r="C17778" t="inlineStr">
        <is>
          <t>1446/08/29</t>
        </is>
      </c>
    </row>
    <row r="17779">
      <c r="A17779" t="n">
        <v>14460830</v>
      </c>
      <c r="B17779" t="n">
        <v>61322</v>
      </c>
      <c r="C17779" t="inlineStr">
        <is>
          <t>1446/08/30</t>
        </is>
      </c>
    </row>
    <row r="17780">
      <c r="A17780" t="n">
        <v>14460901</v>
      </c>
      <c r="B17780" t="n">
        <v>61323</v>
      </c>
      <c r="C17780" t="inlineStr">
        <is>
          <t>1446/09/01</t>
        </is>
      </c>
    </row>
    <row r="17781">
      <c r="A17781" t="n">
        <v>14460902</v>
      </c>
      <c r="B17781" t="n">
        <v>61324</v>
      </c>
      <c r="C17781" t="inlineStr">
        <is>
          <t>1446/09/02</t>
        </is>
      </c>
    </row>
    <row r="17782">
      <c r="A17782" t="n">
        <v>14460903</v>
      </c>
      <c r="B17782" t="n">
        <v>61325</v>
      </c>
      <c r="C17782" t="inlineStr">
        <is>
          <t>1446/09/03</t>
        </is>
      </c>
    </row>
    <row r="17783">
      <c r="A17783" t="n">
        <v>14460904</v>
      </c>
      <c r="B17783" t="n">
        <v>61326</v>
      </c>
      <c r="C17783" t="inlineStr">
        <is>
          <t>1446/09/04</t>
        </is>
      </c>
    </row>
    <row r="17784">
      <c r="A17784" t="n">
        <v>14460905</v>
      </c>
      <c r="B17784" t="n">
        <v>61327</v>
      </c>
      <c r="C17784" t="inlineStr">
        <is>
          <t>1446/09/05</t>
        </is>
      </c>
    </row>
    <row r="17785">
      <c r="A17785" t="n">
        <v>14460906</v>
      </c>
      <c r="B17785" t="n">
        <v>61328</v>
      </c>
      <c r="C17785" t="inlineStr">
        <is>
          <t>1446/09/06</t>
        </is>
      </c>
    </row>
    <row r="17786">
      <c r="A17786" t="n">
        <v>14460907</v>
      </c>
      <c r="B17786" t="n">
        <v>61329</v>
      </c>
      <c r="C17786" t="inlineStr">
        <is>
          <t>1446/09/07</t>
        </is>
      </c>
    </row>
    <row r="17787">
      <c r="A17787" t="n">
        <v>14460908</v>
      </c>
      <c r="B17787" t="n">
        <v>61330</v>
      </c>
      <c r="C17787" t="inlineStr">
        <is>
          <t>1446/09/08</t>
        </is>
      </c>
    </row>
    <row r="17788">
      <c r="A17788" t="n">
        <v>14460909</v>
      </c>
      <c r="B17788" t="n">
        <v>61331</v>
      </c>
      <c r="C17788" t="inlineStr">
        <is>
          <t>1446/09/09</t>
        </is>
      </c>
    </row>
    <row r="17789">
      <c r="A17789" t="n">
        <v>14460910</v>
      </c>
      <c r="B17789" t="n">
        <v>61332</v>
      </c>
      <c r="C17789" t="inlineStr">
        <is>
          <t>1446/09/10</t>
        </is>
      </c>
    </row>
    <row r="17790">
      <c r="A17790" t="n">
        <v>14460911</v>
      </c>
      <c r="B17790" t="n">
        <v>61333</v>
      </c>
      <c r="C17790" t="inlineStr">
        <is>
          <t>1446/09/11</t>
        </is>
      </c>
    </row>
    <row r="17791">
      <c r="A17791" t="n">
        <v>14460912</v>
      </c>
      <c r="B17791" t="n">
        <v>61334</v>
      </c>
      <c r="C17791" t="inlineStr">
        <is>
          <t>1446/09/12</t>
        </is>
      </c>
    </row>
    <row r="17792">
      <c r="A17792" t="n">
        <v>14460913</v>
      </c>
      <c r="B17792" t="n">
        <v>61335</v>
      </c>
      <c r="C17792" t="inlineStr">
        <is>
          <t>1446/09/13</t>
        </is>
      </c>
    </row>
    <row r="17793">
      <c r="A17793" t="n">
        <v>14460914</v>
      </c>
      <c r="B17793" t="n">
        <v>61336</v>
      </c>
      <c r="C17793" t="inlineStr">
        <is>
          <t>1446/09/14</t>
        </is>
      </c>
    </row>
    <row r="17794">
      <c r="A17794" t="n">
        <v>14460915</v>
      </c>
      <c r="B17794" t="n">
        <v>61337</v>
      </c>
      <c r="C17794" t="inlineStr">
        <is>
          <t>1446/09/15</t>
        </is>
      </c>
    </row>
    <row r="17795">
      <c r="A17795" t="n">
        <v>14460916</v>
      </c>
      <c r="B17795" t="n">
        <v>61338</v>
      </c>
      <c r="C17795" t="inlineStr">
        <is>
          <t>1446/09/16</t>
        </is>
      </c>
    </row>
    <row r="17796">
      <c r="A17796" t="n">
        <v>14460917</v>
      </c>
      <c r="B17796" t="n">
        <v>61339</v>
      </c>
      <c r="C17796" t="inlineStr">
        <is>
          <t>1446/09/17</t>
        </is>
      </c>
    </row>
    <row r="17797">
      <c r="A17797" t="n">
        <v>14460918</v>
      </c>
      <c r="B17797" t="n">
        <v>61340</v>
      </c>
      <c r="C17797" t="inlineStr">
        <is>
          <t>1446/09/18</t>
        </is>
      </c>
    </row>
    <row r="17798">
      <c r="A17798" t="n">
        <v>14460919</v>
      </c>
      <c r="B17798" t="n">
        <v>61341</v>
      </c>
      <c r="C17798" t="inlineStr">
        <is>
          <t>1446/09/19</t>
        </is>
      </c>
    </row>
    <row r="17799">
      <c r="A17799" t="n">
        <v>14460920</v>
      </c>
      <c r="B17799" t="n">
        <v>61342</v>
      </c>
      <c r="C17799" t="inlineStr">
        <is>
          <t>1446/09/20</t>
        </is>
      </c>
    </row>
    <row r="17800">
      <c r="A17800" t="n">
        <v>14460921</v>
      </c>
      <c r="B17800" t="n">
        <v>61343</v>
      </c>
      <c r="C17800" t="inlineStr">
        <is>
          <t>1446/09/21</t>
        </is>
      </c>
    </row>
    <row r="17801">
      <c r="A17801" t="n">
        <v>14460922</v>
      </c>
      <c r="B17801" t="n">
        <v>61344</v>
      </c>
      <c r="C17801" t="inlineStr">
        <is>
          <t>1446/09/22</t>
        </is>
      </c>
    </row>
    <row r="17802">
      <c r="A17802" t="n">
        <v>14460923</v>
      </c>
      <c r="B17802" t="n">
        <v>61345</v>
      </c>
      <c r="C17802" t="inlineStr">
        <is>
          <t>1446/09/23</t>
        </is>
      </c>
    </row>
    <row r="17803">
      <c r="A17803" t="n">
        <v>14460924</v>
      </c>
      <c r="B17803" t="n">
        <v>61346</v>
      </c>
      <c r="C17803" t="inlineStr">
        <is>
          <t>1446/09/24</t>
        </is>
      </c>
    </row>
    <row r="17804">
      <c r="A17804" t="n">
        <v>14460925</v>
      </c>
      <c r="B17804" t="n">
        <v>61347</v>
      </c>
      <c r="C17804" t="inlineStr">
        <is>
          <t>1446/09/25</t>
        </is>
      </c>
    </row>
    <row r="17805">
      <c r="A17805" t="n">
        <v>14460926</v>
      </c>
      <c r="B17805" t="n">
        <v>61348</v>
      </c>
      <c r="C17805" t="inlineStr">
        <is>
          <t>1446/09/26</t>
        </is>
      </c>
    </row>
    <row r="17806">
      <c r="A17806" t="n">
        <v>14460927</v>
      </c>
      <c r="B17806" t="n">
        <v>61349</v>
      </c>
      <c r="C17806" t="inlineStr">
        <is>
          <t>1446/09/27</t>
        </is>
      </c>
    </row>
    <row r="17807">
      <c r="A17807" t="n">
        <v>14460928</v>
      </c>
      <c r="B17807" t="n">
        <v>61350</v>
      </c>
      <c r="C17807" t="inlineStr">
        <is>
          <t>1446/09/28</t>
        </is>
      </c>
    </row>
    <row r="17808">
      <c r="A17808" t="n">
        <v>14460929</v>
      </c>
      <c r="B17808" t="n">
        <v>61351</v>
      </c>
      <c r="C17808" t="inlineStr">
        <is>
          <t>1446/09/29</t>
        </is>
      </c>
    </row>
    <row r="17809">
      <c r="A17809" t="n">
        <v>14460930</v>
      </c>
      <c r="B17809" t="n">
        <v>61352</v>
      </c>
      <c r="C17809" t="inlineStr">
        <is>
          <t>1446/09/30</t>
        </is>
      </c>
    </row>
    <row r="17810">
      <c r="A17810" t="n">
        <v>14461001</v>
      </c>
      <c r="B17810" t="n">
        <v>61353</v>
      </c>
      <c r="C17810" t="inlineStr">
        <is>
          <t>1446/10/01</t>
        </is>
      </c>
    </row>
    <row r="17811">
      <c r="A17811" t="n">
        <v>14461002</v>
      </c>
      <c r="B17811" t="n">
        <v>61354</v>
      </c>
      <c r="C17811" t="inlineStr">
        <is>
          <t>1446/10/02</t>
        </is>
      </c>
    </row>
    <row r="17812">
      <c r="A17812" t="n">
        <v>14461003</v>
      </c>
      <c r="B17812" t="n">
        <v>61355</v>
      </c>
      <c r="C17812" t="inlineStr">
        <is>
          <t>1446/10/03</t>
        </is>
      </c>
    </row>
    <row r="17813">
      <c r="A17813" t="n">
        <v>14461004</v>
      </c>
      <c r="B17813" t="n">
        <v>61356</v>
      </c>
      <c r="C17813" t="inlineStr">
        <is>
          <t>1446/10/04</t>
        </is>
      </c>
    </row>
    <row r="17814">
      <c r="A17814" t="n">
        <v>14461005</v>
      </c>
      <c r="B17814" t="n">
        <v>61357</v>
      </c>
      <c r="C17814" t="inlineStr">
        <is>
          <t>1446/10/05</t>
        </is>
      </c>
    </row>
    <row r="17815">
      <c r="A17815" t="n">
        <v>14461006</v>
      </c>
      <c r="B17815" t="n">
        <v>61358</v>
      </c>
      <c r="C17815" t="inlineStr">
        <is>
          <t>1446/10/06</t>
        </is>
      </c>
    </row>
    <row r="17816">
      <c r="A17816" t="n">
        <v>14461007</v>
      </c>
      <c r="B17816" t="n">
        <v>61359</v>
      </c>
      <c r="C17816" t="inlineStr">
        <is>
          <t>1446/10/07</t>
        </is>
      </c>
    </row>
    <row r="17817">
      <c r="A17817" t="n">
        <v>14461008</v>
      </c>
      <c r="B17817" t="n">
        <v>61360</v>
      </c>
      <c r="C17817" t="inlineStr">
        <is>
          <t>1446/10/08</t>
        </is>
      </c>
    </row>
    <row r="17818">
      <c r="A17818" t="n">
        <v>14461009</v>
      </c>
      <c r="B17818" t="n">
        <v>61361</v>
      </c>
      <c r="C17818" t="inlineStr">
        <is>
          <t>1446/10/09</t>
        </is>
      </c>
    </row>
    <row r="17819">
      <c r="A17819" t="n">
        <v>14461010</v>
      </c>
      <c r="B17819" t="n">
        <v>61362</v>
      </c>
      <c r="C17819" t="inlineStr">
        <is>
          <t>1446/10/10</t>
        </is>
      </c>
    </row>
    <row r="17820">
      <c r="A17820" t="n">
        <v>14461011</v>
      </c>
      <c r="B17820" t="n">
        <v>61363</v>
      </c>
      <c r="C17820" t="inlineStr">
        <is>
          <t>1446/10/11</t>
        </is>
      </c>
    </row>
    <row r="17821">
      <c r="A17821" t="n">
        <v>14461012</v>
      </c>
      <c r="B17821" t="n">
        <v>61364</v>
      </c>
      <c r="C17821" t="inlineStr">
        <is>
          <t>1446/10/12</t>
        </is>
      </c>
    </row>
    <row r="17822">
      <c r="A17822" t="n">
        <v>14461013</v>
      </c>
      <c r="B17822" t="n">
        <v>61365</v>
      </c>
      <c r="C17822" t="inlineStr">
        <is>
          <t>1446/10/13</t>
        </is>
      </c>
    </row>
    <row r="17823">
      <c r="A17823" t="n">
        <v>14461014</v>
      </c>
      <c r="B17823" t="n">
        <v>61366</v>
      </c>
      <c r="C17823" t="inlineStr">
        <is>
          <t>1446/10/14</t>
        </is>
      </c>
    </row>
    <row r="17824">
      <c r="A17824" t="n">
        <v>14461015</v>
      </c>
      <c r="B17824" t="n">
        <v>61367</v>
      </c>
      <c r="C17824" t="inlineStr">
        <is>
          <t>1446/10/15</t>
        </is>
      </c>
    </row>
    <row r="17825">
      <c r="A17825" t="n">
        <v>14461016</v>
      </c>
      <c r="B17825" t="n">
        <v>61368</v>
      </c>
      <c r="C17825" t="inlineStr">
        <is>
          <t>1446/10/16</t>
        </is>
      </c>
    </row>
    <row r="17826">
      <c r="A17826" t="n">
        <v>14461017</v>
      </c>
      <c r="B17826" t="n">
        <v>61369</v>
      </c>
      <c r="C17826" t="inlineStr">
        <is>
          <t>1446/10/17</t>
        </is>
      </c>
    </row>
    <row r="17827">
      <c r="A17827" t="n">
        <v>14461018</v>
      </c>
      <c r="B17827" t="n">
        <v>61370</v>
      </c>
      <c r="C17827" t="inlineStr">
        <is>
          <t>1446/10/18</t>
        </is>
      </c>
    </row>
    <row r="17828">
      <c r="A17828" t="n">
        <v>14461019</v>
      </c>
      <c r="B17828" t="n">
        <v>61371</v>
      </c>
      <c r="C17828" t="inlineStr">
        <is>
          <t>1446/10/19</t>
        </is>
      </c>
    </row>
    <row r="17829">
      <c r="A17829" t="n">
        <v>14461020</v>
      </c>
      <c r="B17829" t="n">
        <v>61372</v>
      </c>
      <c r="C17829" t="inlineStr">
        <is>
          <t>1446/10/20</t>
        </is>
      </c>
    </row>
    <row r="17830">
      <c r="A17830" t="n">
        <v>14461021</v>
      </c>
      <c r="B17830" t="n">
        <v>61373</v>
      </c>
      <c r="C17830" t="inlineStr">
        <is>
          <t>1446/10/21</t>
        </is>
      </c>
    </row>
    <row r="17831">
      <c r="A17831" t="n">
        <v>14461022</v>
      </c>
      <c r="B17831" t="n">
        <v>61374</v>
      </c>
      <c r="C17831" t="inlineStr">
        <is>
          <t>1446/10/22</t>
        </is>
      </c>
    </row>
    <row r="17832">
      <c r="A17832" t="n">
        <v>14461023</v>
      </c>
      <c r="B17832" t="n">
        <v>61375</v>
      </c>
      <c r="C17832" t="inlineStr">
        <is>
          <t>1446/10/23</t>
        </is>
      </c>
    </row>
    <row r="17833">
      <c r="A17833" t="n">
        <v>14461024</v>
      </c>
      <c r="B17833" t="n">
        <v>61376</v>
      </c>
      <c r="C17833" t="inlineStr">
        <is>
          <t>1446/10/24</t>
        </is>
      </c>
    </row>
    <row r="17834">
      <c r="A17834" t="n">
        <v>14461025</v>
      </c>
      <c r="B17834" t="n">
        <v>61377</v>
      </c>
      <c r="C17834" t="inlineStr">
        <is>
          <t>1446/10/25</t>
        </is>
      </c>
    </row>
    <row r="17835">
      <c r="A17835" t="n">
        <v>14461026</v>
      </c>
      <c r="B17835" t="n">
        <v>61378</v>
      </c>
      <c r="C17835" t="inlineStr">
        <is>
          <t>1446/10/26</t>
        </is>
      </c>
    </row>
    <row r="17836">
      <c r="A17836" t="n">
        <v>14461027</v>
      </c>
      <c r="B17836" t="n">
        <v>61379</v>
      </c>
      <c r="C17836" t="inlineStr">
        <is>
          <t>1446/10/27</t>
        </is>
      </c>
    </row>
    <row r="17837">
      <c r="A17837" t="n">
        <v>14461028</v>
      </c>
      <c r="B17837" t="n">
        <v>61380</v>
      </c>
      <c r="C17837" t="inlineStr">
        <is>
          <t>1446/10/28</t>
        </is>
      </c>
    </row>
    <row r="17838">
      <c r="A17838" t="n">
        <v>14461029</v>
      </c>
      <c r="B17838" t="n">
        <v>61381</v>
      </c>
      <c r="C17838" t="inlineStr">
        <is>
          <t>1446/10/29</t>
        </is>
      </c>
    </row>
    <row r="17839">
      <c r="A17839" t="n">
        <v>14461030</v>
      </c>
      <c r="B17839" t="n">
        <v>61382</v>
      </c>
      <c r="C17839" t="inlineStr">
        <is>
          <t>1446/10/30</t>
        </is>
      </c>
    </row>
    <row r="17840">
      <c r="A17840" t="n">
        <v>14461101</v>
      </c>
      <c r="B17840" t="n">
        <v>61383</v>
      </c>
      <c r="C17840" t="inlineStr">
        <is>
          <t>1446/11/01</t>
        </is>
      </c>
    </row>
    <row r="17841">
      <c r="A17841" t="n">
        <v>14461102</v>
      </c>
      <c r="B17841" t="n">
        <v>61384</v>
      </c>
      <c r="C17841" t="inlineStr">
        <is>
          <t>1446/11/02</t>
        </is>
      </c>
    </row>
    <row r="17842">
      <c r="A17842" t="n">
        <v>14461103</v>
      </c>
      <c r="B17842" t="n">
        <v>61385</v>
      </c>
      <c r="C17842" t="inlineStr">
        <is>
          <t>1446/11/03</t>
        </is>
      </c>
    </row>
    <row r="17843">
      <c r="A17843" t="n">
        <v>14461104</v>
      </c>
      <c r="B17843" t="n">
        <v>61386</v>
      </c>
      <c r="C17843" t="inlineStr">
        <is>
          <t>1446/11/04</t>
        </is>
      </c>
    </row>
    <row r="17844">
      <c r="A17844" t="n">
        <v>14461105</v>
      </c>
      <c r="B17844" t="n">
        <v>61387</v>
      </c>
      <c r="C17844" t="inlineStr">
        <is>
          <t>1446/11/05</t>
        </is>
      </c>
    </row>
    <row r="17845">
      <c r="A17845" t="n">
        <v>14461106</v>
      </c>
      <c r="B17845" t="n">
        <v>61388</v>
      </c>
      <c r="C17845" t="inlineStr">
        <is>
          <t>1446/11/06</t>
        </is>
      </c>
    </row>
    <row r="17846">
      <c r="A17846" t="n">
        <v>14461107</v>
      </c>
      <c r="B17846" t="n">
        <v>61389</v>
      </c>
      <c r="C17846" t="inlineStr">
        <is>
          <t>1446/11/07</t>
        </is>
      </c>
    </row>
    <row r="17847">
      <c r="A17847" t="n">
        <v>14461108</v>
      </c>
      <c r="B17847" t="n">
        <v>61390</v>
      </c>
      <c r="C17847" t="inlineStr">
        <is>
          <t>1446/11/08</t>
        </is>
      </c>
    </row>
    <row r="17848">
      <c r="A17848" t="n">
        <v>14461109</v>
      </c>
      <c r="B17848" t="n">
        <v>61391</v>
      </c>
      <c r="C17848" t="inlineStr">
        <is>
          <t>1446/11/09</t>
        </is>
      </c>
    </row>
    <row r="17849">
      <c r="A17849" t="n">
        <v>14461110</v>
      </c>
      <c r="B17849" t="n">
        <v>61392</v>
      </c>
      <c r="C17849" t="inlineStr">
        <is>
          <t>1446/11/10</t>
        </is>
      </c>
    </row>
    <row r="17850">
      <c r="A17850" t="n">
        <v>14461111</v>
      </c>
      <c r="B17850" t="n">
        <v>61393</v>
      </c>
      <c r="C17850" t="inlineStr">
        <is>
          <t>1446/11/11</t>
        </is>
      </c>
    </row>
    <row r="17851">
      <c r="A17851" t="n">
        <v>14461112</v>
      </c>
      <c r="B17851" t="n">
        <v>61394</v>
      </c>
      <c r="C17851" t="inlineStr">
        <is>
          <t>1446/11/12</t>
        </is>
      </c>
    </row>
    <row r="17852">
      <c r="A17852" t="n">
        <v>14461113</v>
      </c>
      <c r="B17852" t="n">
        <v>61395</v>
      </c>
      <c r="C17852" t="inlineStr">
        <is>
          <t>1446/11/13</t>
        </is>
      </c>
    </row>
    <row r="17853">
      <c r="A17853" t="n">
        <v>14461114</v>
      </c>
      <c r="B17853" t="n">
        <v>61396</v>
      </c>
      <c r="C17853" t="inlineStr">
        <is>
          <t>1446/11/14</t>
        </is>
      </c>
    </row>
    <row r="17854">
      <c r="A17854" t="n">
        <v>14461115</v>
      </c>
      <c r="B17854" t="n">
        <v>61397</v>
      </c>
      <c r="C17854" t="inlineStr">
        <is>
          <t>1446/11/15</t>
        </is>
      </c>
    </row>
    <row r="17855">
      <c r="A17855" t="n">
        <v>14461116</v>
      </c>
      <c r="B17855" t="n">
        <v>61398</v>
      </c>
      <c r="C17855" t="inlineStr">
        <is>
          <t>1446/11/16</t>
        </is>
      </c>
    </row>
    <row r="17856">
      <c r="A17856" t="n">
        <v>14461117</v>
      </c>
      <c r="B17856" t="n">
        <v>61399</v>
      </c>
      <c r="C17856" t="inlineStr">
        <is>
          <t>1446/11/17</t>
        </is>
      </c>
    </row>
    <row r="17857">
      <c r="A17857" t="n">
        <v>14461118</v>
      </c>
      <c r="B17857" t="n">
        <v>61400</v>
      </c>
      <c r="C17857" t="inlineStr">
        <is>
          <t>1446/11/18</t>
        </is>
      </c>
    </row>
    <row r="17858">
      <c r="A17858" t="n">
        <v>14461119</v>
      </c>
      <c r="B17858" t="n">
        <v>61401</v>
      </c>
      <c r="C17858" t="inlineStr">
        <is>
          <t>1446/11/19</t>
        </is>
      </c>
    </row>
    <row r="17859">
      <c r="A17859" t="n">
        <v>14461120</v>
      </c>
      <c r="B17859" t="n">
        <v>61402</v>
      </c>
      <c r="C17859" t="inlineStr">
        <is>
          <t>1446/11/20</t>
        </is>
      </c>
    </row>
    <row r="17860">
      <c r="A17860" t="n">
        <v>14461121</v>
      </c>
      <c r="B17860" t="n">
        <v>61403</v>
      </c>
      <c r="C17860" t="inlineStr">
        <is>
          <t>1446/11/21</t>
        </is>
      </c>
    </row>
    <row r="17861">
      <c r="A17861" t="n">
        <v>14461122</v>
      </c>
      <c r="B17861" t="n">
        <v>61404</v>
      </c>
      <c r="C17861" t="inlineStr">
        <is>
          <t>1446/11/22</t>
        </is>
      </c>
    </row>
    <row r="17862">
      <c r="A17862" t="n">
        <v>14461123</v>
      </c>
      <c r="B17862" t="n">
        <v>61405</v>
      </c>
      <c r="C17862" t="inlineStr">
        <is>
          <t>1446/11/23</t>
        </is>
      </c>
    </row>
    <row r="17863">
      <c r="A17863" t="n">
        <v>14461124</v>
      </c>
      <c r="B17863" t="n">
        <v>61406</v>
      </c>
      <c r="C17863" t="inlineStr">
        <is>
          <t>1446/11/24</t>
        </is>
      </c>
    </row>
    <row r="17864">
      <c r="A17864" t="n">
        <v>14461125</v>
      </c>
      <c r="B17864" t="n">
        <v>61407</v>
      </c>
      <c r="C17864" t="inlineStr">
        <is>
          <t>1446/11/25</t>
        </is>
      </c>
    </row>
    <row r="17865">
      <c r="A17865" t="n">
        <v>14461126</v>
      </c>
      <c r="B17865" t="n">
        <v>61408</v>
      </c>
      <c r="C17865" t="inlineStr">
        <is>
          <t>1446/11/26</t>
        </is>
      </c>
    </row>
    <row r="17866">
      <c r="A17866" t="n">
        <v>14461127</v>
      </c>
      <c r="B17866" t="n">
        <v>61409</v>
      </c>
      <c r="C17866" t="inlineStr">
        <is>
          <t>1446/11/27</t>
        </is>
      </c>
    </row>
    <row r="17867">
      <c r="A17867" t="n">
        <v>14461128</v>
      </c>
      <c r="B17867" t="n">
        <v>61410</v>
      </c>
      <c r="C17867" t="inlineStr">
        <is>
          <t>1446/11/28</t>
        </is>
      </c>
    </row>
    <row r="17868">
      <c r="A17868" t="n">
        <v>14461129</v>
      </c>
      <c r="B17868" t="n">
        <v>61411</v>
      </c>
      <c r="C17868" t="inlineStr">
        <is>
          <t>1446/11/29</t>
        </is>
      </c>
    </row>
    <row r="17869">
      <c r="A17869" t="n">
        <v>14461130</v>
      </c>
      <c r="B17869" t="n">
        <v>61412</v>
      </c>
      <c r="C17869" t="inlineStr">
        <is>
          <t>1446/11/30</t>
        </is>
      </c>
    </row>
    <row r="17870">
      <c r="A17870" t="n">
        <v>14461201</v>
      </c>
      <c r="B17870" t="n">
        <v>61413</v>
      </c>
      <c r="C17870" t="inlineStr">
        <is>
          <t>1446/12/01</t>
        </is>
      </c>
    </row>
    <row r="17871">
      <c r="A17871" t="n">
        <v>14461202</v>
      </c>
      <c r="B17871" t="n">
        <v>61414</v>
      </c>
      <c r="C17871" t="inlineStr">
        <is>
          <t>1446/12/02</t>
        </is>
      </c>
    </row>
    <row r="17872">
      <c r="A17872" t="n">
        <v>14461203</v>
      </c>
      <c r="B17872" t="n">
        <v>61415</v>
      </c>
      <c r="C17872" t="inlineStr">
        <is>
          <t>1446/12/03</t>
        </is>
      </c>
    </row>
    <row r="17873">
      <c r="A17873" t="n">
        <v>14461204</v>
      </c>
      <c r="B17873" t="n">
        <v>61416</v>
      </c>
      <c r="C17873" t="inlineStr">
        <is>
          <t>1446/12/04</t>
        </is>
      </c>
    </row>
    <row r="17874">
      <c r="A17874" t="n">
        <v>14461205</v>
      </c>
      <c r="B17874" t="n">
        <v>61417</v>
      </c>
      <c r="C17874" t="inlineStr">
        <is>
          <t>1446/12/05</t>
        </is>
      </c>
    </row>
    <row r="17875">
      <c r="A17875" t="n">
        <v>14461206</v>
      </c>
      <c r="B17875" t="n">
        <v>61418</v>
      </c>
      <c r="C17875" t="inlineStr">
        <is>
          <t>1446/12/06</t>
        </is>
      </c>
    </row>
    <row r="17876">
      <c r="A17876" t="n">
        <v>14461207</v>
      </c>
      <c r="B17876" t="n">
        <v>61419</v>
      </c>
      <c r="C17876" t="inlineStr">
        <is>
          <t>1446/12/07</t>
        </is>
      </c>
    </row>
    <row r="17877">
      <c r="A17877" t="n">
        <v>14461208</v>
      </c>
      <c r="B17877" t="n">
        <v>61420</v>
      </c>
      <c r="C17877" t="inlineStr">
        <is>
          <t>1446/12/08</t>
        </is>
      </c>
    </row>
    <row r="17878">
      <c r="A17878" t="n">
        <v>14461209</v>
      </c>
      <c r="B17878" t="n">
        <v>61421</v>
      </c>
      <c r="C17878" t="inlineStr">
        <is>
          <t>1446/12/09</t>
        </is>
      </c>
    </row>
    <row r="17879">
      <c r="A17879" t="n">
        <v>14461210</v>
      </c>
      <c r="B17879" t="n">
        <v>61422</v>
      </c>
      <c r="C17879" t="inlineStr">
        <is>
          <t>1446/12/10</t>
        </is>
      </c>
    </row>
    <row r="17880">
      <c r="A17880" t="n">
        <v>14461211</v>
      </c>
      <c r="B17880" t="n">
        <v>61423</v>
      </c>
      <c r="C17880" t="inlineStr">
        <is>
          <t>1446/12/11</t>
        </is>
      </c>
    </row>
    <row r="17881">
      <c r="A17881" t="n">
        <v>14461212</v>
      </c>
      <c r="B17881" t="n">
        <v>61424</v>
      </c>
      <c r="C17881" t="inlineStr">
        <is>
          <t>1446/12/12</t>
        </is>
      </c>
    </row>
    <row r="17882">
      <c r="A17882" t="n">
        <v>14461213</v>
      </c>
      <c r="B17882" t="n">
        <v>61425</v>
      </c>
      <c r="C17882" t="inlineStr">
        <is>
          <t>1446/12/13</t>
        </is>
      </c>
    </row>
    <row r="17883">
      <c r="A17883" t="n">
        <v>14461214</v>
      </c>
      <c r="B17883" t="n">
        <v>61426</v>
      </c>
      <c r="C17883" t="inlineStr">
        <is>
          <t>1446/12/14</t>
        </is>
      </c>
    </row>
    <row r="17884">
      <c r="A17884" t="n">
        <v>14461215</v>
      </c>
      <c r="B17884" t="n">
        <v>61427</v>
      </c>
      <c r="C17884" t="inlineStr">
        <is>
          <t>1446/12/15</t>
        </is>
      </c>
    </row>
    <row r="17885">
      <c r="A17885" t="n">
        <v>14461216</v>
      </c>
      <c r="B17885" t="n">
        <v>61428</v>
      </c>
      <c r="C17885" t="inlineStr">
        <is>
          <t>1446/12/16</t>
        </is>
      </c>
    </row>
    <row r="17886">
      <c r="A17886" t="n">
        <v>14461217</v>
      </c>
      <c r="B17886" t="n">
        <v>61429</v>
      </c>
      <c r="C17886" t="inlineStr">
        <is>
          <t>1446/12/17</t>
        </is>
      </c>
    </row>
    <row r="17887">
      <c r="A17887" t="n">
        <v>14461218</v>
      </c>
      <c r="B17887" t="n">
        <v>61430</v>
      </c>
      <c r="C17887" t="inlineStr">
        <is>
          <t>1446/12/18</t>
        </is>
      </c>
    </row>
    <row r="17888">
      <c r="A17888" t="n">
        <v>14461219</v>
      </c>
      <c r="B17888" t="n">
        <v>61431</v>
      </c>
      <c r="C17888" t="inlineStr">
        <is>
          <t>1446/12/19</t>
        </is>
      </c>
    </row>
    <row r="17889">
      <c r="A17889" t="n">
        <v>14461220</v>
      </c>
      <c r="B17889" t="n">
        <v>61432</v>
      </c>
      <c r="C17889" t="inlineStr">
        <is>
          <t>1446/12/20</t>
        </is>
      </c>
    </row>
    <row r="17890">
      <c r="A17890" t="n">
        <v>14461221</v>
      </c>
      <c r="B17890" t="n">
        <v>61433</v>
      </c>
      <c r="C17890" t="inlineStr">
        <is>
          <t>1446/12/21</t>
        </is>
      </c>
    </row>
    <row r="17891">
      <c r="A17891" t="n">
        <v>14461222</v>
      </c>
      <c r="B17891" t="n">
        <v>61434</v>
      </c>
      <c r="C17891" t="inlineStr">
        <is>
          <t>1446/12/22</t>
        </is>
      </c>
    </row>
    <row r="17892">
      <c r="A17892" t="n">
        <v>14461223</v>
      </c>
      <c r="B17892" t="n">
        <v>61435</v>
      </c>
      <c r="C17892" t="inlineStr">
        <is>
          <t>1446/12/23</t>
        </is>
      </c>
    </row>
    <row r="17893">
      <c r="A17893" t="n">
        <v>14461224</v>
      </c>
      <c r="B17893" t="n">
        <v>61436</v>
      </c>
      <c r="C17893" t="inlineStr">
        <is>
          <t>1446/12/24</t>
        </is>
      </c>
    </row>
    <row r="17894">
      <c r="A17894" t="n">
        <v>14461225</v>
      </c>
      <c r="B17894" t="n">
        <v>61437</v>
      </c>
      <c r="C17894" t="inlineStr">
        <is>
          <t>1446/12/25</t>
        </is>
      </c>
    </row>
    <row r="17895">
      <c r="A17895" t="n">
        <v>14461226</v>
      </c>
      <c r="B17895" t="n">
        <v>61438</v>
      </c>
      <c r="C17895" t="inlineStr">
        <is>
          <t>1446/12/26</t>
        </is>
      </c>
    </row>
    <row r="17896">
      <c r="A17896" t="n">
        <v>14461227</v>
      </c>
      <c r="B17896" t="n">
        <v>61439</v>
      </c>
      <c r="C17896" t="inlineStr">
        <is>
          <t>1446/12/27</t>
        </is>
      </c>
    </row>
    <row r="17897">
      <c r="A17897" t="n">
        <v>14461228</v>
      </c>
      <c r="B17897" t="n">
        <v>61440</v>
      </c>
      <c r="C17897" t="inlineStr">
        <is>
          <t>1446/12/28</t>
        </is>
      </c>
    </row>
    <row r="17898">
      <c r="A17898" t="n">
        <v>14461229</v>
      </c>
      <c r="B17898" t="n">
        <v>61441</v>
      </c>
      <c r="C17898" t="inlineStr">
        <is>
          <t>1446/12/29</t>
        </is>
      </c>
    </row>
    <row r="17899">
      <c r="A17899" t="n">
        <v>14470101</v>
      </c>
      <c r="B17899" t="n">
        <v>61442</v>
      </c>
      <c r="C17899" t="inlineStr">
        <is>
          <t>1447/01/01</t>
        </is>
      </c>
    </row>
    <row r="17900">
      <c r="A17900" t="n">
        <v>14470102</v>
      </c>
      <c r="B17900" t="n">
        <v>61443</v>
      </c>
      <c r="C17900" t="inlineStr">
        <is>
          <t>1447/01/02</t>
        </is>
      </c>
    </row>
    <row r="17901">
      <c r="A17901" t="n">
        <v>14470103</v>
      </c>
      <c r="B17901" t="n">
        <v>61444</v>
      </c>
      <c r="C17901" t="inlineStr">
        <is>
          <t>1447/01/03</t>
        </is>
      </c>
    </row>
    <row r="17902">
      <c r="A17902" t="n">
        <v>14470104</v>
      </c>
      <c r="B17902" t="n">
        <v>61445</v>
      </c>
      <c r="C17902" t="inlineStr">
        <is>
          <t>1447/01/04</t>
        </is>
      </c>
    </row>
    <row r="17903">
      <c r="A17903" t="n">
        <v>14470105</v>
      </c>
      <c r="B17903" t="n">
        <v>61446</v>
      </c>
      <c r="C17903" t="inlineStr">
        <is>
          <t>1447/01/05</t>
        </is>
      </c>
    </row>
    <row r="17904">
      <c r="A17904" t="n">
        <v>14470106</v>
      </c>
      <c r="B17904" t="n">
        <v>61447</v>
      </c>
      <c r="C17904" t="inlineStr">
        <is>
          <t>1447/01/06</t>
        </is>
      </c>
    </row>
    <row r="17905">
      <c r="A17905" t="n">
        <v>14470107</v>
      </c>
      <c r="B17905" t="n">
        <v>61448</v>
      </c>
      <c r="C17905" t="inlineStr">
        <is>
          <t>1447/01/07</t>
        </is>
      </c>
    </row>
    <row r="17906">
      <c r="A17906" t="n">
        <v>14470108</v>
      </c>
      <c r="B17906" t="n">
        <v>61449</v>
      </c>
      <c r="C17906" t="inlineStr">
        <is>
          <t>1447/01/08</t>
        </is>
      </c>
    </row>
    <row r="17907">
      <c r="A17907" t="n">
        <v>14470109</v>
      </c>
      <c r="B17907" t="n">
        <v>61450</v>
      </c>
      <c r="C17907" t="inlineStr">
        <is>
          <t>1447/01/09</t>
        </is>
      </c>
    </row>
    <row r="17908">
      <c r="A17908" t="n">
        <v>14470110</v>
      </c>
      <c r="B17908" t="n">
        <v>61451</v>
      </c>
      <c r="C17908" t="inlineStr">
        <is>
          <t>1447/01/10</t>
        </is>
      </c>
    </row>
    <row r="17909">
      <c r="A17909" t="n">
        <v>14470111</v>
      </c>
      <c r="B17909" t="n">
        <v>61452</v>
      </c>
      <c r="C17909" t="inlineStr">
        <is>
          <t>1447/01/11</t>
        </is>
      </c>
    </row>
    <row r="17910">
      <c r="A17910" t="n">
        <v>14470112</v>
      </c>
      <c r="B17910" t="n">
        <v>61453</v>
      </c>
      <c r="C17910" t="inlineStr">
        <is>
          <t>1447/01/12</t>
        </is>
      </c>
    </row>
    <row r="17911">
      <c r="A17911" t="n">
        <v>14470113</v>
      </c>
      <c r="B17911" t="n">
        <v>61454</v>
      </c>
      <c r="C17911" t="inlineStr">
        <is>
          <t>1447/01/13</t>
        </is>
      </c>
    </row>
    <row r="17912">
      <c r="A17912" t="n">
        <v>14470114</v>
      </c>
      <c r="B17912" t="n">
        <v>61455</v>
      </c>
      <c r="C17912" t="inlineStr">
        <is>
          <t>1447/01/14</t>
        </is>
      </c>
    </row>
    <row r="17913">
      <c r="A17913" t="n">
        <v>14470115</v>
      </c>
      <c r="B17913" t="n">
        <v>61456</v>
      </c>
      <c r="C17913" t="inlineStr">
        <is>
          <t>1447/01/15</t>
        </is>
      </c>
    </row>
    <row r="17914">
      <c r="A17914" t="n">
        <v>14470116</v>
      </c>
      <c r="B17914" t="n">
        <v>61457</v>
      </c>
      <c r="C17914" t="inlineStr">
        <is>
          <t>1447/01/16</t>
        </is>
      </c>
    </row>
    <row r="17915">
      <c r="A17915" t="n">
        <v>14470117</v>
      </c>
      <c r="B17915" t="n">
        <v>61458</v>
      </c>
      <c r="C17915" t="inlineStr">
        <is>
          <t>1447/01/17</t>
        </is>
      </c>
    </row>
    <row r="17916">
      <c r="A17916" t="n">
        <v>14470118</v>
      </c>
      <c r="B17916" t="n">
        <v>61459</v>
      </c>
      <c r="C17916" t="inlineStr">
        <is>
          <t>1447/01/18</t>
        </is>
      </c>
    </row>
    <row r="17917">
      <c r="A17917" t="n">
        <v>14470119</v>
      </c>
      <c r="B17917" t="n">
        <v>61460</v>
      </c>
      <c r="C17917" t="inlineStr">
        <is>
          <t>1447/01/19</t>
        </is>
      </c>
    </row>
    <row r="17918">
      <c r="A17918" t="n">
        <v>14470120</v>
      </c>
      <c r="B17918" t="n">
        <v>61461</v>
      </c>
      <c r="C17918" t="inlineStr">
        <is>
          <t>1447/01/20</t>
        </is>
      </c>
    </row>
    <row r="17919">
      <c r="A17919" t="n">
        <v>14470121</v>
      </c>
      <c r="B17919" t="n">
        <v>61462</v>
      </c>
      <c r="C17919" t="inlineStr">
        <is>
          <t>1447/01/21</t>
        </is>
      </c>
    </row>
    <row r="17920">
      <c r="A17920" t="n">
        <v>14470122</v>
      </c>
      <c r="B17920" t="n">
        <v>61463</v>
      </c>
      <c r="C17920" t="inlineStr">
        <is>
          <t>1447/01/22</t>
        </is>
      </c>
    </row>
    <row r="17921">
      <c r="A17921" t="n">
        <v>14470123</v>
      </c>
      <c r="B17921" t="n">
        <v>61464</v>
      </c>
      <c r="C17921" t="inlineStr">
        <is>
          <t>1447/01/23</t>
        </is>
      </c>
    </row>
    <row r="17922">
      <c r="A17922" t="n">
        <v>14470124</v>
      </c>
      <c r="B17922" t="n">
        <v>61465</v>
      </c>
      <c r="C17922" t="inlineStr">
        <is>
          <t>1447/01/24</t>
        </is>
      </c>
    </row>
    <row r="17923">
      <c r="A17923" t="n">
        <v>14470125</v>
      </c>
      <c r="B17923" t="n">
        <v>61466</v>
      </c>
      <c r="C17923" t="inlineStr">
        <is>
          <t>1447/01/25</t>
        </is>
      </c>
    </row>
    <row r="17924">
      <c r="A17924" t="n">
        <v>14470126</v>
      </c>
      <c r="B17924" t="n">
        <v>61467</v>
      </c>
      <c r="C17924" t="inlineStr">
        <is>
          <t>1447/01/26</t>
        </is>
      </c>
    </row>
    <row r="17925">
      <c r="A17925" t="n">
        <v>14470127</v>
      </c>
      <c r="B17925" t="n">
        <v>61468</v>
      </c>
      <c r="C17925" t="inlineStr">
        <is>
          <t>1447/01/27</t>
        </is>
      </c>
    </row>
    <row r="17926">
      <c r="A17926" t="n">
        <v>14470128</v>
      </c>
      <c r="B17926" t="n">
        <v>61469</v>
      </c>
      <c r="C17926" t="inlineStr">
        <is>
          <t>1447/01/28</t>
        </is>
      </c>
    </row>
    <row r="17927">
      <c r="A17927" t="n">
        <v>14470129</v>
      </c>
      <c r="B17927" t="n">
        <v>61470</v>
      </c>
      <c r="C17927" t="inlineStr">
        <is>
          <t>1447/01/29</t>
        </is>
      </c>
    </row>
    <row r="17928">
      <c r="A17928" t="n">
        <v>14470130</v>
      </c>
      <c r="B17928" t="n">
        <v>61471</v>
      </c>
      <c r="C17928" t="inlineStr">
        <is>
          <t>1447/01/30</t>
        </is>
      </c>
    </row>
    <row r="17929">
      <c r="A17929" t="n">
        <v>14470131</v>
      </c>
      <c r="B17929" t="n">
        <v>61472</v>
      </c>
      <c r="C17929" t="inlineStr">
        <is>
          <t>1447/01/31</t>
        </is>
      </c>
    </row>
    <row r="17930">
      <c r="A17930" t="n">
        <v>14470201</v>
      </c>
      <c r="B17930" t="n">
        <v>61473</v>
      </c>
      <c r="C17930" t="inlineStr">
        <is>
          <t>1447/02/01</t>
        </is>
      </c>
    </row>
    <row r="17931">
      <c r="A17931" t="n">
        <v>14470202</v>
      </c>
      <c r="B17931" t="n">
        <v>61474</v>
      </c>
      <c r="C17931" t="inlineStr">
        <is>
          <t>1447/02/02</t>
        </is>
      </c>
    </row>
    <row r="17932">
      <c r="A17932" t="n">
        <v>14470203</v>
      </c>
      <c r="B17932" t="n">
        <v>61475</v>
      </c>
      <c r="C17932" t="inlineStr">
        <is>
          <t>1447/02/03</t>
        </is>
      </c>
    </row>
    <row r="17933">
      <c r="A17933" t="n">
        <v>14470204</v>
      </c>
      <c r="B17933" t="n">
        <v>61476</v>
      </c>
      <c r="C17933" t="inlineStr">
        <is>
          <t>1447/02/04</t>
        </is>
      </c>
    </row>
    <row r="17934">
      <c r="A17934" t="n">
        <v>14470205</v>
      </c>
      <c r="B17934" t="n">
        <v>61477</v>
      </c>
      <c r="C17934" t="inlineStr">
        <is>
          <t>1447/02/05</t>
        </is>
      </c>
    </row>
    <row r="17935">
      <c r="A17935" t="n">
        <v>14470206</v>
      </c>
      <c r="B17935" t="n">
        <v>61478</v>
      </c>
      <c r="C17935" t="inlineStr">
        <is>
          <t>1447/02/06</t>
        </is>
      </c>
    </row>
    <row r="17936">
      <c r="A17936" t="n">
        <v>14470207</v>
      </c>
      <c r="B17936" t="n">
        <v>61479</v>
      </c>
      <c r="C17936" t="inlineStr">
        <is>
          <t>1447/02/07</t>
        </is>
      </c>
    </row>
    <row r="17937">
      <c r="A17937" t="n">
        <v>14470208</v>
      </c>
      <c r="B17937" t="n">
        <v>61480</v>
      </c>
      <c r="C17937" t="inlineStr">
        <is>
          <t>1447/02/08</t>
        </is>
      </c>
    </row>
    <row r="17938">
      <c r="A17938" t="n">
        <v>14470209</v>
      </c>
      <c r="B17938" t="n">
        <v>61481</v>
      </c>
      <c r="C17938" t="inlineStr">
        <is>
          <t>1447/02/09</t>
        </is>
      </c>
    </row>
    <row r="17939">
      <c r="A17939" t="n">
        <v>14470210</v>
      </c>
      <c r="B17939" t="n">
        <v>61482</v>
      </c>
      <c r="C17939" t="inlineStr">
        <is>
          <t>1447/02/10</t>
        </is>
      </c>
    </row>
    <row r="17940">
      <c r="A17940" t="n">
        <v>14470211</v>
      </c>
      <c r="B17940" t="n">
        <v>61483</v>
      </c>
      <c r="C17940" t="inlineStr">
        <is>
          <t>1447/02/11</t>
        </is>
      </c>
    </row>
    <row r="17941">
      <c r="A17941" t="n">
        <v>14470212</v>
      </c>
      <c r="B17941" t="n">
        <v>61484</v>
      </c>
      <c r="C17941" t="inlineStr">
        <is>
          <t>1447/02/12</t>
        </is>
      </c>
    </row>
    <row r="17942">
      <c r="A17942" t="n">
        <v>14470213</v>
      </c>
      <c r="B17942" t="n">
        <v>61485</v>
      </c>
      <c r="C17942" t="inlineStr">
        <is>
          <t>1447/02/13</t>
        </is>
      </c>
    </row>
    <row r="17943">
      <c r="A17943" t="n">
        <v>14470214</v>
      </c>
      <c r="B17943" t="n">
        <v>61486</v>
      </c>
      <c r="C17943" t="inlineStr">
        <is>
          <t>1447/02/14</t>
        </is>
      </c>
    </row>
    <row r="17944">
      <c r="A17944" t="n">
        <v>14470215</v>
      </c>
      <c r="B17944" t="n">
        <v>61487</v>
      </c>
      <c r="C17944" t="inlineStr">
        <is>
          <t>1447/02/15</t>
        </is>
      </c>
    </row>
    <row r="17945">
      <c r="A17945" t="n">
        <v>14470216</v>
      </c>
      <c r="B17945" t="n">
        <v>61488</v>
      </c>
      <c r="C17945" t="inlineStr">
        <is>
          <t>1447/02/16</t>
        </is>
      </c>
    </row>
    <row r="17946">
      <c r="A17946" t="n">
        <v>14470217</v>
      </c>
      <c r="B17946" t="n">
        <v>61489</v>
      </c>
      <c r="C17946" t="inlineStr">
        <is>
          <t>1447/02/17</t>
        </is>
      </c>
    </row>
    <row r="17947">
      <c r="A17947" t="n">
        <v>14470218</v>
      </c>
      <c r="B17947" t="n">
        <v>61490</v>
      </c>
      <c r="C17947" t="inlineStr">
        <is>
          <t>1447/02/18</t>
        </is>
      </c>
    </row>
    <row r="17948">
      <c r="A17948" t="n">
        <v>14470219</v>
      </c>
      <c r="B17948" t="n">
        <v>61491</v>
      </c>
      <c r="C17948" t="inlineStr">
        <is>
          <t>1447/02/19</t>
        </is>
      </c>
    </row>
    <row r="17949">
      <c r="A17949" t="n">
        <v>14470220</v>
      </c>
      <c r="B17949" t="n">
        <v>61492</v>
      </c>
      <c r="C17949" t="inlineStr">
        <is>
          <t>1447/02/20</t>
        </is>
      </c>
    </row>
    <row r="17950">
      <c r="A17950" t="n">
        <v>14470221</v>
      </c>
      <c r="B17950" t="n">
        <v>61493</v>
      </c>
      <c r="C17950" t="inlineStr">
        <is>
          <t>1447/02/21</t>
        </is>
      </c>
    </row>
    <row r="17951">
      <c r="A17951" t="n">
        <v>14470222</v>
      </c>
      <c r="B17951" t="n">
        <v>61494</v>
      </c>
      <c r="C17951" t="inlineStr">
        <is>
          <t>1447/02/22</t>
        </is>
      </c>
    </row>
    <row r="17952">
      <c r="A17952" t="n">
        <v>14470223</v>
      </c>
      <c r="B17952" t="n">
        <v>61495</v>
      </c>
      <c r="C17952" t="inlineStr">
        <is>
          <t>1447/02/23</t>
        </is>
      </c>
    </row>
    <row r="17953">
      <c r="A17953" t="n">
        <v>14470224</v>
      </c>
      <c r="B17953" t="n">
        <v>61496</v>
      </c>
      <c r="C17953" t="inlineStr">
        <is>
          <t>1447/02/24</t>
        </is>
      </c>
    </row>
    <row r="17954">
      <c r="A17954" t="n">
        <v>14470225</v>
      </c>
      <c r="B17954" t="n">
        <v>61497</v>
      </c>
      <c r="C17954" t="inlineStr">
        <is>
          <t>1447/02/25</t>
        </is>
      </c>
    </row>
    <row r="17955">
      <c r="A17955" t="n">
        <v>14470226</v>
      </c>
      <c r="B17955" t="n">
        <v>61498</v>
      </c>
      <c r="C17955" t="inlineStr">
        <is>
          <t>1447/02/26</t>
        </is>
      </c>
    </row>
    <row r="17956">
      <c r="A17956" t="n">
        <v>14470227</v>
      </c>
      <c r="B17956" t="n">
        <v>61499</v>
      </c>
      <c r="C17956" t="inlineStr">
        <is>
          <t>1447/02/27</t>
        </is>
      </c>
    </row>
    <row r="17957">
      <c r="A17957" t="n">
        <v>14470228</v>
      </c>
      <c r="B17957" t="n">
        <v>61500</v>
      </c>
      <c r="C17957" t="inlineStr">
        <is>
          <t>1447/02/28</t>
        </is>
      </c>
    </row>
    <row r="17958">
      <c r="A17958" t="n">
        <v>14470229</v>
      </c>
      <c r="B17958" t="n">
        <v>61501</v>
      </c>
      <c r="C17958" t="inlineStr">
        <is>
          <t>1447/02/29</t>
        </is>
      </c>
    </row>
    <row r="17959">
      <c r="A17959" t="n">
        <v>14470230</v>
      </c>
      <c r="B17959" t="n">
        <v>61502</v>
      </c>
      <c r="C17959" t="inlineStr">
        <is>
          <t>1447/02/30</t>
        </is>
      </c>
    </row>
    <row r="17960">
      <c r="A17960" t="n">
        <v>14470231</v>
      </c>
      <c r="B17960" t="n">
        <v>61503</v>
      </c>
      <c r="C17960" t="inlineStr">
        <is>
          <t>1447/02/31</t>
        </is>
      </c>
    </row>
    <row r="17961">
      <c r="A17961" t="n">
        <v>14470301</v>
      </c>
      <c r="B17961" t="n">
        <v>61504</v>
      </c>
      <c r="C17961" t="inlineStr">
        <is>
          <t>1447/03/01</t>
        </is>
      </c>
    </row>
    <row r="17962">
      <c r="A17962" t="n">
        <v>14470302</v>
      </c>
      <c r="B17962" t="n">
        <v>61505</v>
      </c>
      <c r="C17962" t="inlineStr">
        <is>
          <t>1447/03/02</t>
        </is>
      </c>
    </row>
    <row r="17963">
      <c r="A17963" t="n">
        <v>14470303</v>
      </c>
      <c r="B17963" t="n">
        <v>61506</v>
      </c>
      <c r="C17963" t="inlineStr">
        <is>
          <t>1447/03/03</t>
        </is>
      </c>
    </row>
    <row r="17964">
      <c r="A17964" t="n">
        <v>14470304</v>
      </c>
      <c r="B17964" t="n">
        <v>61507</v>
      </c>
      <c r="C17964" t="inlineStr">
        <is>
          <t>1447/03/04</t>
        </is>
      </c>
    </row>
    <row r="17965">
      <c r="A17965" t="n">
        <v>14470305</v>
      </c>
      <c r="B17965" t="n">
        <v>61508</v>
      </c>
      <c r="C17965" t="inlineStr">
        <is>
          <t>1447/03/05</t>
        </is>
      </c>
    </row>
    <row r="17966">
      <c r="A17966" t="n">
        <v>14470306</v>
      </c>
      <c r="B17966" t="n">
        <v>61509</v>
      </c>
      <c r="C17966" t="inlineStr">
        <is>
          <t>1447/03/06</t>
        </is>
      </c>
    </row>
    <row r="17967">
      <c r="A17967" t="n">
        <v>14470307</v>
      </c>
      <c r="B17967" t="n">
        <v>61510</v>
      </c>
      <c r="C17967" t="inlineStr">
        <is>
          <t>1447/03/07</t>
        </is>
      </c>
    </row>
    <row r="17968">
      <c r="A17968" t="n">
        <v>14470308</v>
      </c>
      <c r="B17968" t="n">
        <v>61511</v>
      </c>
      <c r="C17968" t="inlineStr">
        <is>
          <t>1447/03/08</t>
        </is>
      </c>
    </row>
    <row r="17969">
      <c r="A17969" t="n">
        <v>14470309</v>
      </c>
      <c r="B17969" t="n">
        <v>61512</v>
      </c>
      <c r="C17969" t="inlineStr">
        <is>
          <t>1447/03/09</t>
        </is>
      </c>
    </row>
    <row r="17970">
      <c r="A17970" t="n">
        <v>14470310</v>
      </c>
      <c r="B17970" t="n">
        <v>61513</v>
      </c>
      <c r="C17970" t="inlineStr">
        <is>
          <t>1447/03/10</t>
        </is>
      </c>
    </row>
    <row r="17971">
      <c r="A17971" t="n">
        <v>14470311</v>
      </c>
      <c r="B17971" t="n">
        <v>61514</v>
      </c>
      <c r="C17971" t="inlineStr">
        <is>
          <t>1447/03/11</t>
        </is>
      </c>
    </row>
    <row r="17972">
      <c r="A17972" t="n">
        <v>14470312</v>
      </c>
      <c r="B17972" t="n">
        <v>61515</v>
      </c>
      <c r="C17972" t="inlineStr">
        <is>
          <t>1447/03/12</t>
        </is>
      </c>
    </row>
    <row r="17973">
      <c r="A17973" t="n">
        <v>14470313</v>
      </c>
      <c r="B17973" t="n">
        <v>61516</v>
      </c>
      <c r="C17973" t="inlineStr">
        <is>
          <t>1447/03/13</t>
        </is>
      </c>
    </row>
    <row r="17974">
      <c r="A17974" t="n">
        <v>14470314</v>
      </c>
      <c r="B17974" t="n">
        <v>61517</v>
      </c>
      <c r="C17974" t="inlineStr">
        <is>
          <t>1447/03/14</t>
        </is>
      </c>
    </row>
    <row r="17975">
      <c r="A17975" t="n">
        <v>14470315</v>
      </c>
      <c r="B17975" t="n">
        <v>61518</v>
      </c>
      <c r="C17975" t="inlineStr">
        <is>
          <t>1447/03/15</t>
        </is>
      </c>
    </row>
    <row r="17976">
      <c r="A17976" t="n">
        <v>14470316</v>
      </c>
      <c r="B17976" t="n">
        <v>61519</v>
      </c>
      <c r="C17976" t="inlineStr">
        <is>
          <t>1447/03/16</t>
        </is>
      </c>
    </row>
    <row r="17977">
      <c r="A17977" t="n">
        <v>14470317</v>
      </c>
      <c r="B17977" t="n">
        <v>61520</v>
      </c>
      <c r="C17977" t="inlineStr">
        <is>
          <t>1447/03/17</t>
        </is>
      </c>
    </row>
    <row r="17978">
      <c r="A17978" t="n">
        <v>14470318</v>
      </c>
      <c r="B17978" t="n">
        <v>61521</v>
      </c>
      <c r="C17978" t="inlineStr">
        <is>
          <t>1447/03/18</t>
        </is>
      </c>
    </row>
    <row r="17979">
      <c r="A17979" t="n">
        <v>14470319</v>
      </c>
      <c r="B17979" t="n">
        <v>61522</v>
      </c>
      <c r="C17979" t="inlineStr">
        <is>
          <t>1447/03/19</t>
        </is>
      </c>
    </row>
    <row r="17980">
      <c r="A17980" t="n">
        <v>14470320</v>
      </c>
      <c r="B17980" t="n">
        <v>61523</v>
      </c>
      <c r="C17980" t="inlineStr">
        <is>
          <t>1447/03/20</t>
        </is>
      </c>
    </row>
    <row r="17981">
      <c r="A17981" t="n">
        <v>14470321</v>
      </c>
      <c r="B17981" t="n">
        <v>61524</v>
      </c>
      <c r="C17981" t="inlineStr">
        <is>
          <t>1447/03/21</t>
        </is>
      </c>
    </row>
    <row r="17982">
      <c r="A17982" t="n">
        <v>14470322</v>
      </c>
      <c r="B17982" t="n">
        <v>61525</v>
      </c>
      <c r="C17982" t="inlineStr">
        <is>
          <t>1447/03/22</t>
        </is>
      </c>
    </row>
    <row r="17983">
      <c r="A17983" t="n">
        <v>14470323</v>
      </c>
      <c r="B17983" t="n">
        <v>61526</v>
      </c>
      <c r="C17983" t="inlineStr">
        <is>
          <t>1447/03/23</t>
        </is>
      </c>
    </row>
    <row r="17984">
      <c r="A17984" t="n">
        <v>14470324</v>
      </c>
      <c r="B17984" t="n">
        <v>61527</v>
      </c>
      <c r="C17984" t="inlineStr">
        <is>
          <t>1447/03/24</t>
        </is>
      </c>
    </row>
    <row r="17985">
      <c r="A17985" t="n">
        <v>14470325</v>
      </c>
      <c r="B17985" t="n">
        <v>61528</v>
      </c>
      <c r="C17985" t="inlineStr">
        <is>
          <t>1447/03/25</t>
        </is>
      </c>
    </row>
    <row r="17986">
      <c r="A17986" t="n">
        <v>14470326</v>
      </c>
      <c r="B17986" t="n">
        <v>61529</v>
      </c>
      <c r="C17986" t="inlineStr">
        <is>
          <t>1447/03/26</t>
        </is>
      </c>
    </row>
    <row r="17987">
      <c r="A17987" t="n">
        <v>14470327</v>
      </c>
      <c r="B17987" t="n">
        <v>61530</v>
      </c>
      <c r="C17987" t="inlineStr">
        <is>
          <t>1447/03/27</t>
        </is>
      </c>
    </row>
    <row r="17988">
      <c r="A17988" t="n">
        <v>14470328</v>
      </c>
      <c r="B17988" t="n">
        <v>61531</v>
      </c>
      <c r="C17988" t="inlineStr">
        <is>
          <t>1447/03/28</t>
        </is>
      </c>
    </row>
    <row r="17989">
      <c r="A17989" t="n">
        <v>14470329</v>
      </c>
      <c r="B17989" t="n">
        <v>61532</v>
      </c>
      <c r="C17989" t="inlineStr">
        <is>
          <t>1447/03/29</t>
        </is>
      </c>
    </row>
    <row r="17990">
      <c r="A17990" t="n">
        <v>14470330</v>
      </c>
      <c r="B17990" t="n">
        <v>61533</v>
      </c>
      <c r="C17990" t="inlineStr">
        <is>
          <t>1447/03/30</t>
        </is>
      </c>
    </row>
    <row r="17991">
      <c r="A17991" t="n">
        <v>14470331</v>
      </c>
      <c r="B17991" t="n">
        <v>61534</v>
      </c>
      <c r="C17991" t="inlineStr">
        <is>
          <t>1447/03/31</t>
        </is>
      </c>
    </row>
    <row r="17992">
      <c r="A17992" t="n">
        <v>14470401</v>
      </c>
      <c r="B17992" t="n">
        <v>61535</v>
      </c>
      <c r="C17992" t="inlineStr">
        <is>
          <t>1447/04/01</t>
        </is>
      </c>
    </row>
    <row r="17993">
      <c r="A17993" t="n">
        <v>14470402</v>
      </c>
      <c r="B17993" t="n">
        <v>61536</v>
      </c>
      <c r="C17993" t="inlineStr">
        <is>
          <t>1447/04/02</t>
        </is>
      </c>
    </row>
    <row r="17994">
      <c r="A17994" t="n">
        <v>14470403</v>
      </c>
      <c r="B17994" t="n">
        <v>61537</v>
      </c>
      <c r="C17994" t="inlineStr">
        <is>
          <t>1447/04/03</t>
        </is>
      </c>
    </row>
    <row r="17995">
      <c r="A17995" t="n">
        <v>14470404</v>
      </c>
      <c r="B17995" t="n">
        <v>61538</v>
      </c>
      <c r="C17995" t="inlineStr">
        <is>
          <t>1447/04/04</t>
        </is>
      </c>
    </row>
    <row r="17996">
      <c r="A17996" t="n">
        <v>14470405</v>
      </c>
      <c r="B17996" t="n">
        <v>61539</v>
      </c>
      <c r="C17996" t="inlineStr">
        <is>
          <t>1447/04/05</t>
        </is>
      </c>
    </row>
    <row r="17997">
      <c r="A17997" t="n">
        <v>14470406</v>
      </c>
      <c r="B17997" t="n">
        <v>61540</v>
      </c>
      <c r="C17997" t="inlineStr">
        <is>
          <t>1447/04/06</t>
        </is>
      </c>
    </row>
    <row r="17998">
      <c r="A17998" t="n">
        <v>14470407</v>
      </c>
      <c r="B17998" t="n">
        <v>61541</v>
      </c>
      <c r="C17998" t="inlineStr">
        <is>
          <t>1447/04/07</t>
        </is>
      </c>
    </row>
    <row r="17999">
      <c r="A17999" t="n">
        <v>14470408</v>
      </c>
      <c r="B17999" t="n">
        <v>61542</v>
      </c>
      <c r="C17999" t="inlineStr">
        <is>
          <t>1447/04/08</t>
        </is>
      </c>
    </row>
    <row r="18000">
      <c r="A18000" t="n">
        <v>14470409</v>
      </c>
      <c r="B18000" t="n">
        <v>61543</v>
      </c>
      <c r="C18000" t="inlineStr">
        <is>
          <t>1447/04/09</t>
        </is>
      </c>
    </row>
    <row r="18001">
      <c r="A18001" t="n">
        <v>14470410</v>
      </c>
      <c r="B18001" t="n">
        <v>61544</v>
      </c>
      <c r="C18001" t="inlineStr">
        <is>
          <t>1447/04/10</t>
        </is>
      </c>
    </row>
    <row r="18002">
      <c r="A18002" t="n">
        <v>14470411</v>
      </c>
      <c r="B18002" t="n">
        <v>61545</v>
      </c>
      <c r="C18002" t="inlineStr">
        <is>
          <t>1447/04/11</t>
        </is>
      </c>
    </row>
    <row r="18003">
      <c r="A18003" t="n">
        <v>14470412</v>
      </c>
      <c r="B18003" t="n">
        <v>61546</v>
      </c>
      <c r="C18003" t="inlineStr">
        <is>
          <t>1447/04/12</t>
        </is>
      </c>
    </row>
    <row r="18004">
      <c r="A18004" t="n">
        <v>14470413</v>
      </c>
      <c r="B18004" t="n">
        <v>61547</v>
      </c>
      <c r="C18004" t="inlineStr">
        <is>
          <t>1447/04/13</t>
        </is>
      </c>
    </row>
    <row r="18005">
      <c r="A18005" t="n">
        <v>14470414</v>
      </c>
      <c r="B18005" t="n">
        <v>61548</v>
      </c>
      <c r="C18005" t="inlineStr">
        <is>
          <t>1447/04/14</t>
        </is>
      </c>
    </row>
    <row r="18006">
      <c r="A18006" t="n">
        <v>14470415</v>
      </c>
      <c r="B18006" t="n">
        <v>61549</v>
      </c>
      <c r="C18006" t="inlineStr">
        <is>
          <t>1447/04/15</t>
        </is>
      </c>
    </row>
    <row r="18007">
      <c r="A18007" t="n">
        <v>14470416</v>
      </c>
      <c r="B18007" t="n">
        <v>61550</v>
      </c>
      <c r="C18007" t="inlineStr">
        <is>
          <t>1447/04/16</t>
        </is>
      </c>
    </row>
    <row r="18008">
      <c r="A18008" t="n">
        <v>14470417</v>
      </c>
      <c r="B18008" t="n">
        <v>61551</v>
      </c>
      <c r="C18008" t="inlineStr">
        <is>
          <t>1447/04/17</t>
        </is>
      </c>
    </row>
    <row r="18009">
      <c r="A18009" t="n">
        <v>14470418</v>
      </c>
      <c r="B18009" t="n">
        <v>61552</v>
      </c>
      <c r="C18009" t="inlineStr">
        <is>
          <t>1447/04/18</t>
        </is>
      </c>
    </row>
    <row r="18010">
      <c r="A18010" t="n">
        <v>14470419</v>
      </c>
      <c r="B18010" t="n">
        <v>61553</v>
      </c>
      <c r="C18010" t="inlineStr">
        <is>
          <t>1447/04/19</t>
        </is>
      </c>
    </row>
    <row r="18011">
      <c r="A18011" t="n">
        <v>14470420</v>
      </c>
      <c r="B18011" t="n">
        <v>61554</v>
      </c>
      <c r="C18011" t="inlineStr">
        <is>
          <t>1447/04/20</t>
        </is>
      </c>
    </row>
    <row r="18012">
      <c r="A18012" t="n">
        <v>14470421</v>
      </c>
      <c r="B18012" t="n">
        <v>61555</v>
      </c>
      <c r="C18012" t="inlineStr">
        <is>
          <t>1447/04/21</t>
        </is>
      </c>
    </row>
    <row r="18013">
      <c r="A18013" t="n">
        <v>14470422</v>
      </c>
      <c r="B18013" t="n">
        <v>61556</v>
      </c>
      <c r="C18013" t="inlineStr">
        <is>
          <t>1447/04/22</t>
        </is>
      </c>
    </row>
    <row r="18014">
      <c r="A18014" t="n">
        <v>14470423</v>
      </c>
      <c r="B18014" t="n">
        <v>61557</v>
      </c>
      <c r="C18014" t="inlineStr">
        <is>
          <t>1447/04/23</t>
        </is>
      </c>
    </row>
    <row r="18015">
      <c r="A18015" t="n">
        <v>14470424</v>
      </c>
      <c r="B18015" t="n">
        <v>61558</v>
      </c>
      <c r="C18015" t="inlineStr">
        <is>
          <t>1447/04/24</t>
        </is>
      </c>
    </row>
    <row r="18016">
      <c r="A18016" t="n">
        <v>14470425</v>
      </c>
      <c r="B18016" t="n">
        <v>61559</v>
      </c>
      <c r="C18016" t="inlineStr">
        <is>
          <t>1447/04/25</t>
        </is>
      </c>
    </row>
    <row r="18017">
      <c r="A18017" t="n">
        <v>14470426</v>
      </c>
      <c r="B18017" t="n">
        <v>61560</v>
      </c>
      <c r="C18017" t="inlineStr">
        <is>
          <t>1447/04/26</t>
        </is>
      </c>
    </row>
    <row r="18018">
      <c r="A18018" t="n">
        <v>14470427</v>
      </c>
      <c r="B18018" t="n">
        <v>61561</v>
      </c>
      <c r="C18018" t="inlineStr">
        <is>
          <t>1447/04/27</t>
        </is>
      </c>
    </row>
    <row r="18019">
      <c r="A18019" t="n">
        <v>14470428</v>
      </c>
      <c r="B18019" t="n">
        <v>61562</v>
      </c>
      <c r="C18019" t="inlineStr">
        <is>
          <t>1447/04/28</t>
        </is>
      </c>
    </row>
    <row r="18020">
      <c r="A18020" t="n">
        <v>14470429</v>
      </c>
      <c r="B18020" t="n">
        <v>61563</v>
      </c>
      <c r="C18020" t="inlineStr">
        <is>
          <t>1447/04/29</t>
        </is>
      </c>
    </row>
    <row r="18021">
      <c r="A18021" t="n">
        <v>14470430</v>
      </c>
      <c r="B18021" t="n">
        <v>61564</v>
      </c>
      <c r="C18021" t="inlineStr">
        <is>
          <t>1447/04/30</t>
        </is>
      </c>
    </row>
    <row r="18022">
      <c r="A18022" t="n">
        <v>14470431</v>
      </c>
      <c r="B18022" t="n">
        <v>61565</v>
      </c>
      <c r="C18022" t="inlineStr">
        <is>
          <t>1447/04/31</t>
        </is>
      </c>
    </row>
    <row r="18023">
      <c r="A18023" t="n">
        <v>14470501</v>
      </c>
      <c r="B18023" t="n">
        <v>61566</v>
      </c>
      <c r="C18023" t="inlineStr">
        <is>
          <t>1447/05/01</t>
        </is>
      </c>
    </row>
    <row r="18024">
      <c r="A18024" t="n">
        <v>14470502</v>
      </c>
      <c r="B18024" t="n">
        <v>61567</v>
      </c>
      <c r="C18024" t="inlineStr">
        <is>
          <t>1447/05/02</t>
        </is>
      </c>
    </row>
    <row r="18025">
      <c r="A18025" t="n">
        <v>14470503</v>
      </c>
      <c r="B18025" t="n">
        <v>61568</v>
      </c>
      <c r="C18025" t="inlineStr">
        <is>
          <t>1447/05/03</t>
        </is>
      </c>
    </row>
    <row r="18026">
      <c r="A18026" t="n">
        <v>14470504</v>
      </c>
      <c r="B18026" t="n">
        <v>61569</v>
      </c>
      <c r="C18026" t="inlineStr">
        <is>
          <t>1447/05/04</t>
        </is>
      </c>
    </row>
    <row r="18027">
      <c r="A18027" t="n">
        <v>14470505</v>
      </c>
      <c r="B18027" t="n">
        <v>61570</v>
      </c>
      <c r="C18027" t="inlineStr">
        <is>
          <t>1447/05/05</t>
        </is>
      </c>
    </row>
    <row r="18028">
      <c r="A18028" t="n">
        <v>14470506</v>
      </c>
      <c r="B18028" t="n">
        <v>61571</v>
      </c>
      <c r="C18028" t="inlineStr">
        <is>
          <t>1447/05/06</t>
        </is>
      </c>
    </row>
    <row r="18029">
      <c r="A18029" t="n">
        <v>14470507</v>
      </c>
      <c r="B18029" t="n">
        <v>61572</v>
      </c>
      <c r="C18029" t="inlineStr">
        <is>
          <t>1447/05/07</t>
        </is>
      </c>
    </row>
    <row r="18030">
      <c r="A18030" t="n">
        <v>14470508</v>
      </c>
      <c r="B18030" t="n">
        <v>61573</v>
      </c>
      <c r="C18030" t="inlineStr">
        <is>
          <t>1447/05/08</t>
        </is>
      </c>
    </row>
    <row r="18031">
      <c r="A18031" t="n">
        <v>14470509</v>
      </c>
      <c r="B18031" t="n">
        <v>61574</v>
      </c>
      <c r="C18031" t="inlineStr">
        <is>
          <t>1447/05/09</t>
        </is>
      </c>
    </row>
    <row r="18032">
      <c r="A18032" t="n">
        <v>14470510</v>
      </c>
      <c r="B18032" t="n">
        <v>61575</v>
      </c>
      <c r="C18032" t="inlineStr">
        <is>
          <t>1447/05/10</t>
        </is>
      </c>
    </row>
    <row r="18033">
      <c r="A18033" t="n">
        <v>14470511</v>
      </c>
      <c r="B18033" t="n">
        <v>61576</v>
      </c>
      <c r="C18033" t="inlineStr">
        <is>
          <t>1447/05/11</t>
        </is>
      </c>
    </row>
    <row r="18034">
      <c r="A18034" t="n">
        <v>14470512</v>
      </c>
      <c r="B18034" t="n">
        <v>61577</v>
      </c>
      <c r="C18034" t="inlineStr">
        <is>
          <t>1447/05/12</t>
        </is>
      </c>
    </row>
    <row r="18035">
      <c r="A18035" t="n">
        <v>14470513</v>
      </c>
      <c r="B18035" t="n">
        <v>61578</v>
      </c>
      <c r="C18035" t="inlineStr">
        <is>
          <t>1447/05/13</t>
        </is>
      </c>
    </row>
    <row r="18036">
      <c r="A18036" t="n">
        <v>14470514</v>
      </c>
      <c r="B18036" t="n">
        <v>61579</v>
      </c>
      <c r="C18036" t="inlineStr">
        <is>
          <t>1447/05/14</t>
        </is>
      </c>
    </row>
    <row r="18037">
      <c r="A18037" t="n">
        <v>14470515</v>
      </c>
      <c r="B18037" t="n">
        <v>61580</v>
      </c>
      <c r="C18037" t="inlineStr">
        <is>
          <t>1447/05/15</t>
        </is>
      </c>
    </row>
    <row r="18038">
      <c r="A18038" t="n">
        <v>14470516</v>
      </c>
      <c r="B18038" t="n">
        <v>61581</v>
      </c>
      <c r="C18038" t="inlineStr">
        <is>
          <t>1447/05/16</t>
        </is>
      </c>
    </row>
    <row r="18039">
      <c r="A18039" t="n">
        <v>14470517</v>
      </c>
      <c r="B18039" t="n">
        <v>61582</v>
      </c>
      <c r="C18039" t="inlineStr">
        <is>
          <t>1447/05/17</t>
        </is>
      </c>
    </row>
    <row r="18040">
      <c r="A18040" t="n">
        <v>14470518</v>
      </c>
      <c r="B18040" t="n">
        <v>61583</v>
      </c>
      <c r="C18040" t="inlineStr">
        <is>
          <t>1447/05/18</t>
        </is>
      </c>
    </row>
    <row r="18041">
      <c r="A18041" t="n">
        <v>14470519</v>
      </c>
      <c r="B18041" t="n">
        <v>61584</v>
      </c>
      <c r="C18041" t="inlineStr">
        <is>
          <t>1447/05/19</t>
        </is>
      </c>
    </row>
    <row r="18042">
      <c r="A18042" t="n">
        <v>14470520</v>
      </c>
      <c r="B18042" t="n">
        <v>61585</v>
      </c>
      <c r="C18042" t="inlineStr">
        <is>
          <t>1447/05/20</t>
        </is>
      </c>
    </row>
    <row r="18043">
      <c r="A18043" t="n">
        <v>14470521</v>
      </c>
      <c r="B18043" t="n">
        <v>61586</v>
      </c>
      <c r="C18043" t="inlineStr">
        <is>
          <t>1447/05/21</t>
        </is>
      </c>
    </row>
    <row r="18044">
      <c r="A18044" t="n">
        <v>14470522</v>
      </c>
      <c r="B18044" t="n">
        <v>61587</v>
      </c>
      <c r="C18044" t="inlineStr">
        <is>
          <t>1447/05/22</t>
        </is>
      </c>
    </row>
    <row r="18045">
      <c r="A18045" t="n">
        <v>14470523</v>
      </c>
      <c r="B18045" t="n">
        <v>61588</v>
      </c>
      <c r="C18045" t="inlineStr">
        <is>
          <t>1447/05/23</t>
        </is>
      </c>
    </row>
    <row r="18046">
      <c r="A18046" t="n">
        <v>14470524</v>
      </c>
      <c r="B18046" t="n">
        <v>61589</v>
      </c>
      <c r="C18046" t="inlineStr">
        <is>
          <t>1447/05/24</t>
        </is>
      </c>
    </row>
    <row r="18047">
      <c r="A18047" t="n">
        <v>14470525</v>
      </c>
      <c r="B18047" t="n">
        <v>61590</v>
      </c>
      <c r="C18047" t="inlineStr">
        <is>
          <t>1447/05/25</t>
        </is>
      </c>
    </row>
    <row r="18048">
      <c r="A18048" t="n">
        <v>14470526</v>
      </c>
      <c r="B18048" t="n">
        <v>61591</v>
      </c>
      <c r="C18048" t="inlineStr">
        <is>
          <t>1447/05/26</t>
        </is>
      </c>
    </row>
    <row r="18049">
      <c r="A18049" t="n">
        <v>14470527</v>
      </c>
      <c r="B18049" t="n">
        <v>61592</v>
      </c>
      <c r="C18049" t="inlineStr">
        <is>
          <t>1447/05/27</t>
        </is>
      </c>
    </row>
    <row r="18050">
      <c r="A18050" t="n">
        <v>14470528</v>
      </c>
      <c r="B18050" t="n">
        <v>61593</v>
      </c>
      <c r="C18050" t="inlineStr">
        <is>
          <t>1447/05/28</t>
        </is>
      </c>
    </row>
    <row r="18051">
      <c r="A18051" t="n">
        <v>14470529</v>
      </c>
      <c r="B18051" t="n">
        <v>61594</v>
      </c>
      <c r="C18051" t="inlineStr">
        <is>
          <t>1447/05/29</t>
        </is>
      </c>
    </row>
    <row r="18052">
      <c r="A18052" t="n">
        <v>14470530</v>
      </c>
      <c r="B18052" t="n">
        <v>61595</v>
      </c>
      <c r="C18052" t="inlineStr">
        <is>
          <t>1447/05/30</t>
        </is>
      </c>
    </row>
    <row r="18053">
      <c r="A18053" t="n">
        <v>14470531</v>
      </c>
      <c r="B18053" t="n">
        <v>61596</v>
      </c>
      <c r="C18053" t="inlineStr">
        <is>
          <t>1447/05/31</t>
        </is>
      </c>
    </row>
    <row r="18054">
      <c r="A18054" t="n">
        <v>14470601</v>
      </c>
      <c r="B18054" t="n">
        <v>61597</v>
      </c>
      <c r="C18054" t="inlineStr">
        <is>
          <t>1447/06/01</t>
        </is>
      </c>
    </row>
    <row r="18055">
      <c r="A18055" t="n">
        <v>14470602</v>
      </c>
      <c r="B18055" t="n">
        <v>61598</v>
      </c>
      <c r="C18055" t="inlineStr">
        <is>
          <t>1447/06/02</t>
        </is>
      </c>
    </row>
    <row r="18056">
      <c r="A18056" t="n">
        <v>14470603</v>
      </c>
      <c r="B18056" t="n">
        <v>61599</v>
      </c>
      <c r="C18056" t="inlineStr">
        <is>
          <t>1447/06/03</t>
        </is>
      </c>
    </row>
    <row r="18057">
      <c r="A18057" t="n">
        <v>14470604</v>
      </c>
      <c r="B18057" t="n">
        <v>61600</v>
      </c>
      <c r="C18057" t="inlineStr">
        <is>
          <t>1447/06/04</t>
        </is>
      </c>
    </row>
    <row r="18058">
      <c r="A18058" t="n">
        <v>14470605</v>
      </c>
      <c r="B18058" t="n">
        <v>61601</v>
      </c>
      <c r="C18058" t="inlineStr">
        <is>
          <t>1447/06/05</t>
        </is>
      </c>
    </row>
    <row r="18059">
      <c r="A18059" t="n">
        <v>14470606</v>
      </c>
      <c r="B18059" t="n">
        <v>61602</v>
      </c>
      <c r="C18059" t="inlineStr">
        <is>
          <t>1447/06/06</t>
        </is>
      </c>
    </row>
    <row r="18060">
      <c r="A18060" t="n">
        <v>14470607</v>
      </c>
      <c r="B18060" t="n">
        <v>61603</v>
      </c>
      <c r="C18060" t="inlineStr">
        <is>
          <t>1447/06/07</t>
        </is>
      </c>
    </row>
    <row r="18061">
      <c r="A18061" t="n">
        <v>14470608</v>
      </c>
      <c r="B18061" t="n">
        <v>61604</v>
      </c>
      <c r="C18061" t="inlineStr">
        <is>
          <t>1447/06/08</t>
        </is>
      </c>
    </row>
    <row r="18062">
      <c r="A18062" t="n">
        <v>14470609</v>
      </c>
      <c r="B18062" t="n">
        <v>61605</v>
      </c>
      <c r="C18062" t="inlineStr">
        <is>
          <t>1447/06/09</t>
        </is>
      </c>
    </row>
    <row r="18063">
      <c r="A18063" t="n">
        <v>14470610</v>
      </c>
      <c r="B18063" t="n">
        <v>61606</v>
      </c>
      <c r="C18063" t="inlineStr">
        <is>
          <t>1447/06/10</t>
        </is>
      </c>
    </row>
    <row r="18064">
      <c r="A18064" t="n">
        <v>14470611</v>
      </c>
      <c r="B18064" t="n">
        <v>61607</v>
      </c>
      <c r="C18064" t="inlineStr">
        <is>
          <t>1447/06/11</t>
        </is>
      </c>
    </row>
    <row r="18065">
      <c r="A18065" t="n">
        <v>14470612</v>
      </c>
      <c r="B18065" t="n">
        <v>61608</v>
      </c>
      <c r="C18065" t="inlineStr">
        <is>
          <t>1447/06/12</t>
        </is>
      </c>
    </row>
    <row r="18066">
      <c r="A18066" t="n">
        <v>14470613</v>
      </c>
      <c r="B18066" t="n">
        <v>61609</v>
      </c>
      <c r="C18066" t="inlineStr">
        <is>
          <t>1447/06/13</t>
        </is>
      </c>
    </row>
    <row r="18067">
      <c r="A18067" t="n">
        <v>14470614</v>
      </c>
      <c r="B18067" t="n">
        <v>61610</v>
      </c>
      <c r="C18067" t="inlineStr">
        <is>
          <t>1447/06/14</t>
        </is>
      </c>
    </row>
    <row r="18068">
      <c r="A18068" t="n">
        <v>14470615</v>
      </c>
      <c r="B18068" t="n">
        <v>61611</v>
      </c>
      <c r="C18068" t="inlineStr">
        <is>
          <t>1447/06/15</t>
        </is>
      </c>
    </row>
    <row r="18069">
      <c r="A18069" t="n">
        <v>14470616</v>
      </c>
      <c r="B18069" t="n">
        <v>61612</v>
      </c>
      <c r="C18069" t="inlineStr">
        <is>
          <t>1447/06/16</t>
        </is>
      </c>
    </row>
    <row r="18070">
      <c r="A18070" t="n">
        <v>14470617</v>
      </c>
      <c r="B18070" t="n">
        <v>61613</v>
      </c>
      <c r="C18070" t="inlineStr">
        <is>
          <t>1447/06/17</t>
        </is>
      </c>
    </row>
    <row r="18071">
      <c r="A18071" t="n">
        <v>14470618</v>
      </c>
      <c r="B18071" t="n">
        <v>61614</v>
      </c>
      <c r="C18071" t="inlineStr">
        <is>
          <t>1447/06/18</t>
        </is>
      </c>
    </row>
    <row r="18072">
      <c r="A18072" t="n">
        <v>14470619</v>
      </c>
      <c r="B18072" t="n">
        <v>61615</v>
      </c>
      <c r="C18072" t="inlineStr">
        <is>
          <t>1447/06/19</t>
        </is>
      </c>
    </row>
    <row r="18073">
      <c r="A18073" t="n">
        <v>14470620</v>
      </c>
      <c r="B18073" t="n">
        <v>61616</v>
      </c>
      <c r="C18073" t="inlineStr">
        <is>
          <t>1447/06/20</t>
        </is>
      </c>
    </row>
    <row r="18074">
      <c r="A18074" t="n">
        <v>14470621</v>
      </c>
      <c r="B18074" t="n">
        <v>61617</v>
      </c>
      <c r="C18074" t="inlineStr">
        <is>
          <t>1447/06/21</t>
        </is>
      </c>
    </row>
    <row r="18075">
      <c r="A18075" t="n">
        <v>14470622</v>
      </c>
      <c r="B18075" t="n">
        <v>61618</v>
      </c>
      <c r="C18075" t="inlineStr">
        <is>
          <t>1447/06/22</t>
        </is>
      </c>
    </row>
    <row r="18076">
      <c r="A18076" t="n">
        <v>14470623</v>
      </c>
      <c r="B18076" t="n">
        <v>61619</v>
      </c>
      <c r="C18076" t="inlineStr">
        <is>
          <t>1447/06/23</t>
        </is>
      </c>
    </row>
    <row r="18077">
      <c r="A18077" t="n">
        <v>14470624</v>
      </c>
      <c r="B18077" t="n">
        <v>61620</v>
      </c>
      <c r="C18077" t="inlineStr">
        <is>
          <t>1447/06/24</t>
        </is>
      </c>
    </row>
    <row r="18078">
      <c r="A18078" t="n">
        <v>14470625</v>
      </c>
      <c r="B18078" t="n">
        <v>61621</v>
      </c>
      <c r="C18078" t="inlineStr">
        <is>
          <t>1447/06/25</t>
        </is>
      </c>
    </row>
    <row r="18079">
      <c r="A18079" t="n">
        <v>14470626</v>
      </c>
      <c r="B18079" t="n">
        <v>61622</v>
      </c>
      <c r="C18079" t="inlineStr">
        <is>
          <t>1447/06/26</t>
        </is>
      </c>
    </row>
    <row r="18080">
      <c r="A18080" t="n">
        <v>14470627</v>
      </c>
      <c r="B18080" t="n">
        <v>61623</v>
      </c>
      <c r="C18080" t="inlineStr">
        <is>
          <t>1447/06/27</t>
        </is>
      </c>
    </row>
    <row r="18081">
      <c r="A18081" t="n">
        <v>14470628</v>
      </c>
      <c r="B18081" t="n">
        <v>61624</v>
      </c>
      <c r="C18081" t="inlineStr">
        <is>
          <t>1447/06/28</t>
        </is>
      </c>
    </row>
    <row r="18082">
      <c r="A18082" t="n">
        <v>14470629</v>
      </c>
      <c r="B18082" t="n">
        <v>61625</v>
      </c>
      <c r="C18082" t="inlineStr">
        <is>
          <t>1447/06/29</t>
        </is>
      </c>
    </row>
    <row r="18083">
      <c r="A18083" t="n">
        <v>14470630</v>
      </c>
      <c r="B18083" t="n">
        <v>61626</v>
      </c>
      <c r="C18083" t="inlineStr">
        <is>
          <t>1447/06/30</t>
        </is>
      </c>
    </row>
    <row r="18084">
      <c r="A18084" t="n">
        <v>14470631</v>
      </c>
      <c r="B18084" t="n">
        <v>61627</v>
      </c>
      <c r="C18084" t="inlineStr">
        <is>
          <t>1447/06/31</t>
        </is>
      </c>
    </row>
    <row r="18085">
      <c r="A18085" t="n">
        <v>14470701</v>
      </c>
      <c r="B18085" t="n">
        <v>61628</v>
      </c>
      <c r="C18085" t="inlineStr">
        <is>
          <t>1447/07/01</t>
        </is>
      </c>
    </row>
    <row r="18086">
      <c r="A18086" t="n">
        <v>14470702</v>
      </c>
      <c r="B18086" t="n">
        <v>61629</v>
      </c>
      <c r="C18086" t="inlineStr">
        <is>
          <t>1447/07/02</t>
        </is>
      </c>
    </row>
    <row r="18087">
      <c r="A18087" t="n">
        <v>14470703</v>
      </c>
      <c r="B18087" t="n">
        <v>61630</v>
      </c>
      <c r="C18087" t="inlineStr">
        <is>
          <t>1447/07/03</t>
        </is>
      </c>
    </row>
    <row r="18088">
      <c r="A18088" t="n">
        <v>14470704</v>
      </c>
      <c r="B18088" t="n">
        <v>61631</v>
      </c>
      <c r="C18088" t="inlineStr">
        <is>
          <t>1447/07/04</t>
        </is>
      </c>
    </row>
    <row r="18089">
      <c r="A18089" t="n">
        <v>14470705</v>
      </c>
      <c r="B18089" t="n">
        <v>61632</v>
      </c>
      <c r="C18089" t="inlineStr">
        <is>
          <t>1447/07/05</t>
        </is>
      </c>
    </row>
    <row r="18090">
      <c r="A18090" t="n">
        <v>14470706</v>
      </c>
      <c r="B18090" t="n">
        <v>61633</v>
      </c>
      <c r="C18090" t="inlineStr">
        <is>
          <t>1447/07/06</t>
        </is>
      </c>
    </row>
    <row r="18091">
      <c r="A18091" t="n">
        <v>14470707</v>
      </c>
      <c r="B18091" t="n">
        <v>61634</v>
      </c>
      <c r="C18091" t="inlineStr">
        <is>
          <t>1447/07/07</t>
        </is>
      </c>
    </row>
    <row r="18092">
      <c r="A18092" t="n">
        <v>14470708</v>
      </c>
      <c r="B18092" t="n">
        <v>61635</v>
      </c>
      <c r="C18092" t="inlineStr">
        <is>
          <t>1447/07/08</t>
        </is>
      </c>
    </row>
    <row r="18093">
      <c r="A18093" t="n">
        <v>14470709</v>
      </c>
      <c r="B18093" t="n">
        <v>61636</v>
      </c>
      <c r="C18093" t="inlineStr">
        <is>
          <t>1447/07/09</t>
        </is>
      </c>
    </row>
    <row r="18094">
      <c r="A18094" t="n">
        <v>14470710</v>
      </c>
      <c r="B18094" t="n">
        <v>61637</v>
      </c>
      <c r="C18094" t="inlineStr">
        <is>
          <t>1447/07/10</t>
        </is>
      </c>
    </row>
    <row r="18095">
      <c r="A18095" t="n">
        <v>14470711</v>
      </c>
      <c r="B18095" t="n">
        <v>61638</v>
      </c>
      <c r="C18095" t="inlineStr">
        <is>
          <t>1447/07/11</t>
        </is>
      </c>
    </row>
    <row r="18096">
      <c r="A18096" t="n">
        <v>14470712</v>
      </c>
      <c r="B18096" t="n">
        <v>61639</v>
      </c>
      <c r="C18096" t="inlineStr">
        <is>
          <t>1447/07/12</t>
        </is>
      </c>
    </row>
    <row r="18097">
      <c r="A18097" t="n">
        <v>14470713</v>
      </c>
      <c r="B18097" t="n">
        <v>61640</v>
      </c>
      <c r="C18097" t="inlineStr">
        <is>
          <t>1447/07/13</t>
        </is>
      </c>
    </row>
    <row r="18098">
      <c r="A18098" t="n">
        <v>14470714</v>
      </c>
      <c r="B18098" t="n">
        <v>61641</v>
      </c>
      <c r="C18098" t="inlineStr">
        <is>
          <t>1447/07/14</t>
        </is>
      </c>
    </row>
    <row r="18099">
      <c r="A18099" t="n">
        <v>14470715</v>
      </c>
      <c r="B18099" t="n">
        <v>61642</v>
      </c>
      <c r="C18099" t="inlineStr">
        <is>
          <t>1447/07/15</t>
        </is>
      </c>
    </row>
    <row r="18100">
      <c r="A18100" t="n">
        <v>14470716</v>
      </c>
      <c r="B18100" t="n">
        <v>61643</v>
      </c>
      <c r="C18100" t="inlineStr">
        <is>
          <t>1447/07/16</t>
        </is>
      </c>
    </row>
    <row r="18101">
      <c r="A18101" t="n">
        <v>14470717</v>
      </c>
      <c r="B18101" t="n">
        <v>61644</v>
      </c>
      <c r="C18101" t="inlineStr">
        <is>
          <t>1447/07/17</t>
        </is>
      </c>
    </row>
    <row r="18102">
      <c r="A18102" t="n">
        <v>14470718</v>
      </c>
      <c r="B18102" t="n">
        <v>61645</v>
      </c>
      <c r="C18102" t="inlineStr">
        <is>
          <t>1447/07/18</t>
        </is>
      </c>
    </row>
    <row r="18103">
      <c r="A18103" t="n">
        <v>14470719</v>
      </c>
      <c r="B18103" t="n">
        <v>61646</v>
      </c>
      <c r="C18103" t="inlineStr">
        <is>
          <t>1447/07/19</t>
        </is>
      </c>
    </row>
    <row r="18104">
      <c r="A18104" t="n">
        <v>14470720</v>
      </c>
      <c r="B18104" t="n">
        <v>61647</v>
      </c>
      <c r="C18104" t="inlineStr">
        <is>
          <t>1447/07/20</t>
        </is>
      </c>
    </row>
    <row r="18105">
      <c r="A18105" t="n">
        <v>14470721</v>
      </c>
      <c r="B18105" t="n">
        <v>61648</v>
      </c>
      <c r="C18105" t="inlineStr">
        <is>
          <t>1447/07/21</t>
        </is>
      </c>
    </row>
    <row r="18106">
      <c r="A18106" t="n">
        <v>14470722</v>
      </c>
      <c r="B18106" t="n">
        <v>61649</v>
      </c>
      <c r="C18106" t="inlineStr">
        <is>
          <t>1447/07/22</t>
        </is>
      </c>
    </row>
    <row r="18107">
      <c r="A18107" t="n">
        <v>14470723</v>
      </c>
      <c r="B18107" t="n">
        <v>61650</v>
      </c>
      <c r="C18107" t="inlineStr">
        <is>
          <t>1447/07/23</t>
        </is>
      </c>
    </row>
    <row r="18108">
      <c r="A18108" t="n">
        <v>14470724</v>
      </c>
      <c r="B18108" t="n">
        <v>61651</v>
      </c>
      <c r="C18108" t="inlineStr">
        <is>
          <t>1447/07/24</t>
        </is>
      </c>
    </row>
    <row r="18109">
      <c r="A18109" t="n">
        <v>14470725</v>
      </c>
      <c r="B18109" t="n">
        <v>61652</v>
      </c>
      <c r="C18109" t="inlineStr">
        <is>
          <t>1447/07/25</t>
        </is>
      </c>
    </row>
    <row r="18110">
      <c r="A18110" t="n">
        <v>14470726</v>
      </c>
      <c r="B18110" t="n">
        <v>61653</v>
      </c>
      <c r="C18110" t="inlineStr">
        <is>
          <t>1447/07/26</t>
        </is>
      </c>
    </row>
    <row r="18111">
      <c r="A18111" t="n">
        <v>14470727</v>
      </c>
      <c r="B18111" t="n">
        <v>61654</v>
      </c>
      <c r="C18111" t="inlineStr">
        <is>
          <t>1447/07/27</t>
        </is>
      </c>
    </row>
    <row r="18112">
      <c r="A18112" t="n">
        <v>14470728</v>
      </c>
      <c r="B18112" t="n">
        <v>61655</v>
      </c>
      <c r="C18112" t="inlineStr">
        <is>
          <t>1447/07/28</t>
        </is>
      </c>
    </row>
    <row r="18113">
      <c r="A18113" t="n">
        <v>14470729</v>
      </c>
      <c r="B18113" t="n">
        <v>61656</v>
      </c>
      <c r="C18113" t="inlineStr">
        <is>
          <t>1447/07/29</t>
        </is>
      </c>
    </row>
    <row r="18114">
      <c r="A18114" t="n">
        <v>14470730</v>
      </c>
      <c r="B18114" t="n">
        <v>61657</v>
      </c>
      <c r="C18114" t="inlineStr">
        <is>
          <t>1447/07/30</t>
        </is>
      </c>
    </row>
    <row r="18115">
      <c r="A18115" t="n">
        <v>14470801</v>
      </c>
      <c r="B18115" t="n">
        <v>61658</v>
      </c>
      <c r="C18115" t="inlineStr">
        <is>
          <t>1447/08/01</t>
        </is>
      </c>
    </row>
    <row r="18116">
      <c r="A18116" t="n">
        <v>14470802</v>
      </c>
      <c r="B18116" t="n">
        <v>61659</v>
      </c>
      <c r="C18116" t="inlineStr">
        <is>
          <t>1447/08/02</t>
        </is>
      </c>
    </row>
    <row r="18117">
      <c r="A18117" t="n">
        <v>14470803</v>
      </c>
      <c r="B18117" t="n">
        <v>61660</v>
      </c>
      <c r="C18117" t="inlineStr">
        <is>
          <t>1447/08/03</t>
        </is>
      </c>
    </row>
    <row r="18118">
      <c r="A18118" t="n">
        <v>14470804</v>
      </c>
      <c r="B18118" t="n">
        <v>61661</v>
      </c>
      <c r="C18118" t="inlineStr">
        <is>
          <t>1447/08/04</t>
        </is>
      </c>
    </row>
    <row r="18119">
      <c r="A18119" t="n">
        <v>14470805</v>
      </c>
      <c r="B18119" t="n">
        <v>61662</v>
      </c>
      <c r="C18119" t="inlineStr">
        <is>
          <t>1447/08/05</t>
        </is>
      </c>
    </row>
    <row r="18120">
      <c r="A18120" t="n">
        <v>14470806</v>
      </c>
      <c r="B18120" t="n">
        <v>61663</v>
      </c>
      <c r="C18120" t="inlineStr">
        <is>
          <t>1447/08/06</t>
        </is>
      </c>
    </row>
    <row r="18121">
      <c r="A18121" t="n">
        <v>14470807</v>
      </c>
      <c r="B18121" t="n">
        <v>61664</v>
      </c>
      <c r="C18121" t="inlineStr">
        <is>
          <t>1447/08/07</t>
        </is>
      </c>
    </row>
    <row r="18122">
      <c r="A18122" t="n">
        <v>14470808</v>
      </c>
      <c r="B18122" t="n">
        <v>61665</v>
      </c>
      <c r="C18122" t="inlineStr">
        <is>
          <t>1447/08/08</t>
        </is>
      </c>
    </row>
    <row r="18123">
      <c r="A18123" t="n">
        <v>14470809</v>
      </c>
      <c r="B18123" t="n">
        <v>61666</v>
      </c>
      <c r="C18123" t="inlineStr">
        <is>
          <t>1447/08/09</t>
        </is>
      </c>
    </row>
    <row r="18124">
      <c r="A18124" t="n">
        <v>14470810</v>
      </c>
      <c r="B18124" t="n">
        <v>61667</v>
      </c>
      <c r="C18124" t="inlineStr">
        <is>
          <t>1447/08/10</t>
        </is>
      </c>
    </row>
    <row r="18125">
      <c r="A18125" t="n">
        <v>14470811</v>
      </c>
      <c r="B18125" t="n">
        <v>61668</v>
      </c>
      <c r="C18125" t="inlineStr">
        <is>
          <t>1447/08/11</t>
        </is>
      </c>
    </row>
    <row r="18126">
      <c r="A18126" t="n">
        <v>14470812</v>
      </c>
      <c r="B18126" t="n">
        <v>61669</v>
      </c>
      <c r="C18126" t="inlineStr">
        <is>
          <t>1447/08/12</t>
        </is>
      </c>
    </row>
    <row r="18127">
      <c r="A18127" t="n">
        <v>14470813</v>
      </c>
      <c r="B18127" t="n">
        <v>61670</v>
      </c>
      <c r="C18127" t="inlineStr">
        <is>
          <t>1447/08/13</t>
        </is>
      </c>
    </row>
    <row r="18128">
      <c r="A18128" t="n">
        <v>14470814</v>
      </c>
      <c r="B18128" t="n">
        <v>61671</v>
      </c>
      <c r="C18128" t="inlineStr">
        <is>
          <t>1447/08/14</t>
        </is>
      </c>
    </row>
    <row r="18129">
      <c r="A18129" t="n">
        <v>14470815</v>
      </c>
      <c r="B18129" t="n">
        <v>61672</v>
      </c>
      <c r="C18129" t="inlineStr">
        <is>
          <t>1447/08/15</t>
        </is>
      </c>
    </row>
    <row r="18130">
      <c r="A18130" t="n">
        <v>14470816</v>
      </c>
      <c r="B18130" t="n">
        <v>61673</v>
      </c>
      <c r="C18130" t="inlineStr">
        <is>
          <t>1447/08/16</t>
        </is>
      </c>
    </row>
    <row r="18131">
      <c r="A18131" t="n">
        <v>14470817</v>
      </c>
      <c r="B18131" t="n">
        <v>61674</v>
      </c>
      <c r="C18131" t="inlineStr">
        <is>
          <t>1447/08/17</t>
        </is>
      </c>
    </row>
    <row r="18132">
      <c r="A18132" t="n">
        <v>14470818</v>
      </c>
      <c r="B18132" t="n">
        <v>61675</v>
      </c>
      <c r="C18132" t="inlineStr">
        <is>
          <t>1447/08/18</t>
        </is>
      </c>
    </row>
    <row r="18133">
      <c r="A18133" t="n">
        <v>14470819</v>
      </c>
      <c r="B18133" t="n">
        <v>61676</v>
      </c>
      <c r="C18133" t="inlineStr">
        <is>
          <t>1447/08/19</t>
        </is>
      </c>
    </row>
    <row r="18134">
      <c r="A18134" t="n">
        <v>14470820</v>
      </c>
      <c r="B18134" t="n">
        <v>61677</v>
      </c>
      <c r="C18134" t="inlineStr">
        <is>
          <t>1447/08/20</t>
        </is>
      </c>
    </row>
    <row r="18135">
      <c r="A18135" t="n">
        <v>14470821</v>
      </c>
      <c r="B18135" t="n">
        <v>61678</v>
      </c>
      <c r="C18135" t="inlineStr">
        <is>
          <t>1447/08/21</t>
        </is>
      </c>
    </row>
    <row r="18136">
      <c r="A18136" t="n">
        <v>14470822</v>
      </c>
      <c r="B18136" t="n">
        <v>61679</v>
      </c>
      <c r="C18136" t="inlineStr">
        <is>
          <t>1447/08/22</t>
        </is>
      </c>
    </row>
    <row r="18137">
      <c r="A18137" t="n">
        <v>14470823</v>
      </c>
      <c r="B18137" t="n">
        <v>61680</v>
      </c>
      <c r="C18137" t="inlineStr">
        <is>
          <t>1447/08/23</t>
        </is>
      </c>
    </row>
    <row r="18138">
      <c r="A18138" t="n">
        <v>14470824</v>
      </c>
      <c r="B18138" t="n">
        <v>61681</v>
      </c>
      <c r="C18138" t="inlineStr">
        <is>
          <t>1447/08/24</t>
        </is>
      </c>
    </row>
    <row r="18139">
      <c r="A18139" t="n">
        <v>14470825</v>
      </c>
      <c r="B18139" t="n">
        <v>61682</v>
      </c>
      <c r="C18139" t="inlineStr">
        <is>
          <t>1447/08/25</t>
        </is>
      </c>
    </row>
    <row r="18140">
      <c r="A18140" t="n">
        <v>14470826</v>
      </c>
      <c r="B18140" t="n">
        <v>61683</v>
      </c>
      <c r="C18140" t="inlineStr">
        <is>
          <t>1447/08/26</t>
        </is>
      </c>
    </row>
    <row r="18141">
      <c r="A18141" t="n">
        <v>14470827</v>
      </c>
      <c r="B18141" t="n">
        <v>61684</v>
      </c>
      <c r="C18141" t="inlineStr">
        <is>
          <t>1447/08/27</t>
        </is>
      </c>
    </row>
    <row r="18142">
      <c r="A18142" t="n">
        <v>14470828</v>
      </c>
      <c r="B18142" t="n">
        <v>61685</v>
      </c>
      <c r="C18142" t="inlineStr">
        <is>
          <t>1447/08/28</t>
        </is>
      </c>
    </row>
    <row r="18143">
      <c r="A18143" t="n">
        <v>14470829</v>
      </c>
      <c r="B18143" t="n">
        <v>61686</v>
      </c>
      <c r="C18143" t="inlineStr">
        <is>
          <t>1447/08/29</t>
        </is>
      </c>
    </row>
    <row r="18144">
      <c r="A18144" t="n">
        <v>14470830</v>
      </c>
      <c r="B18144" t="n">
        <v>61687</v>
      </c>
      <c r="C18144" t="inlineStr">
        <is>
          <t>1447/08/30</t>
        </is>
      </c>
    </row>
    <row r="18145">
      <c r="A18145" t="n">
        <v>14470901</v>
      </c>
      <c r="B18145" t="n">
        <v>61688</v>
      </c>
      <c r="C18145" t="inlineStr">
        <is>
          <t>1447/09/01</t>
        </is>
      </c>
    </row>
    <row r="18146">
      <c r="A18146" t="n">
        <v>14470902</v>
      </c>
      <c r="B18146" t="n">
        <v>61689</v>
      </c>
      <c r="C18146" t="inlineStr">
        <is>
          <t>1447/09/02</t>
        </is>
      </c>
    </row>
    <row r="18147">
      <c r="A18147" t="n">
        <v>14470903</v>
      </c>
      <c r="B18147" t="n">
        <v>61690</v>
      </c>
      <c r="C18147" t="inlineStr">
        <is>
          <t>1447/09/03</t>
        </is>
      </c>
    </row>
    <row r="18148">
      <c r="A18148" t="n">
        <v>14470904</v>
      </c>
      <c r="B18148" t="n">
        <v>61691</v>
      </c>
      <c r="C18148" t="inlineStr">
        <is>
          <t>1447/09/04</t>
        </is>
      </c>
    </row>
    <row r="18149">
      <c r="A18149" t="n">
        <v>14470905</v>
      </c>
      <c r="B18149" t="n">
        <v>61692</v>
      </c>
      <c r="C18149" t="inlineStr">
        <is>
          <t>1447/09/05</t>
        </is>
      </c>
    </row>
    <row r="18150">
      <c r="A18150" t="n">
        <v>14470906</v>
      </c>
      <c r="B18150" t="n">
        <v>61693</v>
      </c>
      <c r="C18150" t="inlineStr">
        <is>
          <t>1447/09/06</t>
        </is>
      </c>
    </row>
    <row r="18151">
      <c r="A18151" t="n">
        <v>14470907</v>
      </c>
      <c r="B18151" t="n">
        <v>61694</v>
      </c>
      <c r="C18151" t="inlineStr">
        <is>
          <t>1447/09/07</t>
        </is>
      </c>
    </row>
    <row r="18152">
      <c r="A18152" t="n">
        <v>14470908</v>
      </c>
      <c r="B18152" t="n">
        <v>61695</v>
      </c>
      <c r="C18152" t="inlineStr">
        <is>
          <t>1447/09/08</t>
        </is>
      </c>
    </row>
    <row r="18153">
      <c r="A18153" t="n">
        <v>14470909</v>
      </c>
      <c r="B18153" t="n">
        <v>61696</v>
      </c>
      <c r="C18153" t="inlineStr">
        <is>
          <t>1447/09/09</t>
        </is>
      </c>
    </row>
    <row r="18154">
      <c r="A18154" t="n">
        <v>14470910</v>
      </c>
      <c r="B18154" t="n">
        <v>61697</v>
      </c>
      <c r="C18154" t="inlineStr">
        <is>
          <t>1447/09/10</t>
        </is>
      </c>
    </row>
    <row r="18155">
      <c r="A18155" t="n">
        <v>14470911</v>
      </c>
      <c r="B18155" t="n">
        <v>61698</v>
      </c>
      <c r="C18155" t="inlineStr">
        <is>
          <t>1447/09/11</t>
        </is>
      </c>
    </row>
    <row r="18156">
      <c r="A18156" t="n">
        <v>14470912</v>
      </c>
      <c r="B18156" t="n">
        <v>61699</v>
      </c>
      <c r="C18156" t="inlineStr">
        <is>
          <t>1447/09/12</t>
        </is>
      </c>
    </row>
    <row r="18157">
      <c r="A18157" t="n">
        <v>14470913</v>
      </c>
      <c r="B18157" t="n">
        <v>61700</v>
      </c>
      <c r="C18157" t="inlineStr">
        <is>
          <t>1447/09/13</t>
        </is>
      </c>
    </row>
    <row r="18158">
      <c r="A18158" t="n">
        <v>14470914</v>
      </c>
      <c r="B18158" t="n">
        <v>61701</v>
      </c>
      <c r="C18158" t="inlineStr">
        <is>
          <t>1447/09/14</t>
        </is>
      </c>
    </row>
    <row r="18159">
      <c r="A18159" t="n">
        <v>14470915</v>
      </c>
      <c r="B18159" t="n">
        <v>61702</v>
      </c>
      <c r="C18159" t="inlineStr">
        <is>
          <t>1447/09/15</t>
        </is>
      </c>
    </row>
    <row r="18160">
      <c r="A18160" t="n">
        <v>14470916</v>
      </c>
      <c r="B18160" t="n">
        <v>61703</v>
      </c>
      <c r="C18160" t="inlineStr">
        <is>
          <t>1447/09/16</t>
        </is>
      </c>
    </row>
    <row r="18161">
      <c r="A18161" t="n">
        <v>14470917</v>
      </c>
      <c r="B18161" t="n">
        <v>61704</v>
      </c>
      <c r="C18161" t="inlineStr">
        <is>
          <t>1447/09/17</t>
        </is>
      </c>
    </row>
    <row r="18162">
      <c r="A18162" t="n">
        <v>14470918</v>
      </c>
      <c r="B18162" t="n">
        <v>61705</v>
      </c>
      <c r="C18162" t="inlineStr">
        <is>
          <t>1447/09/18</t>
        </is>
      </c>
    </row>
    <row r="18163">
      <c r="A18163" t="n">
        <v>14470919</v>
      </c>
      <c r="B18163" t="n">
        <v>61706</v>
      </c>
      <c r="C18163" t="inlineStr">
        <is>
          <t>1447/09/19</t>
        </is>
      </c>
    </row>
    <row r="18164">
      <c r="A18164" t="n">
        <v>14470920</v>
      </c>
      <c r="B18164" t="n">
        <v>61707</v>
      </c>
      <c r="C18164" t="inlineStr">
        <is>
          <t>1447/09/20</t>
        </is>
      </c>
    </row>
    <row r="18165">
      <c r="A18165" t="n">
        <v>14470921</v>
      </c>
      <c r="B18165" t="n">
        <v>61708</v>
      </c>
      <c r="C18165" t="inlineStr">
        <is>
          <t>1447/09/21</t>
        </is>
      </c>
    </row>
    <row r="18166">
      <c r="A18166" t="n">
        <v>14470922</v>
      </c>
      <c r="B18166" t="n">
        <v>61709</v>
      </c>
      <c r="C18166" t="inlineStr">
        <is>
          <t>1447/09/22</t>
        </is>
      </c>
    </row>
    <row r="18167">
      <c r="A18167" t="n">
        <v>14470923</v>
      </c>
      <c r="B18167" t="n">
        <v>61710</v>
      </c>
      <c r="C18167" t="inlineStr">
        <is>
          <t>1447/09/23</t>
        </is>
      </c>
    </row>
    <row r="18168">
      <c r="A18168" t="n">
        <v>14470924</v>
      </c>
      <c r="B18168" t="n">
        <v>61711</v>
      </c>
      <c r="C18168" t="inlineStr">
        <is>
          <t>1447/09/24</t>
        </is>
      </c>
    </row>
    <row r="18169">
      <c r="A18169" t="n">
        <v>14470925</v>
      </c>
      <c r="B18169" t="n">
        <v>61712</v>
      </c>
      <c r="C18169" t="inlineStr">
        <is>
          <t>1447/09/25</t>
        </is>
      </c>
    </row>
    <row r="18170">
      <c r="A18170" t="n">
        <v>14470926</v>
      </c>
      <c r="B18170" t="n">
        <v>61713</v>
      </c>
      <c r="C18170" t="inlineStr">
        <is>
          <t>1447/09/26</t>
        </is>
      </c>
    </row>
    <row r="18171">
      <c r="A18171" t="n">
        <v>14470927</v>
      </c>
      <c r="B18171" t="n">
        <v>61714</v>
      </c>
      <c r="C18171" t="inlineStr">
        <is>
          <t>1447/09/27</t>
        </is>
      </c>
    </row>
    <row r="18172">
      <c r="A18172" t="n">
        <v>14470928</v>
      </c>
      <c r="B18172" t="n">
        <v>61715</v>
      </c>
      <c r="C18172" t="inlineStr">
        <is>
          <t>1447/09/28</t>
        </is>
      </c>
    </row>
    <row r="18173">
      <c r="A18173" t="n">
        <v>14470929</v>
      </c>
      <c r="B18173" t="n">
        <v>61716</v>
      </c>
      <c r="C18173" t="inlineStr">
        <is>
          <t>1447/09/29</t>
        </is>
      </c>
    </row>
    <row r="18174">
      <c r="A18174" t="n">
        <v>14470930</v>
      </c>
      <c r="B18174" t="n">
        <v>61717</v>
      </c>
      <c r="C18174" t="inlineStr">
        <is>
          <t>1447/09/30</t>
        </is>
      </c>
    </row>
    <row r="18175">
      <c r="A18175" t="n">
        <v>14471001</v>
      </c>
      <c r="B18175" t="n">
        <v>61718</v>
      </c>
      <c r="C18175" t="inlineStr">
        <is>
          <t>1447/10/01</t>
        </is>
      </c>
    </row>
    <row r="18176">
      <c r="A18176" t="n">
        <v>14471002</v>
      </c>
      <c r="B18176" t="n">
        <v>61719</v>
      </c>
      <c r="C18176" t="inlineStr">
        <is>
          <t>1447/10/02</t>
        </is>
      </c>
    </row>
    <row r="18177">
      <c r="A18177" t="n">
        <v>14471003</v>
      </c>
      <c r="B18177" t="n">
        <v>61720</v>
      </c>
      <c r="C18177" t="inlineStr">
        <is>
          <t>1447/10/03</t>
        </is>
      </c>
    </row>
    <row r="18178">
      <c r="A18178" t="n">
        <v>14471004</v>
      </c>
      <c r="B18178" t="n">
        <v>61721</v>
      </c>
      <c r="C18178" t="inlineStr">
        <is>
          <t>1447/10/04</t>
        </is>
      </c>
    </row>
    <row r="18179">
      <c r="A18179" t="n">
        <v>14471005</v>
      </c>
      <c r="B18179" t="n">
        <v>61722</v>
      </c>
      <c r="C18179" t="inlineStr">
        <is>
          <t>1447/10/05</t>
        </is>
      </c>
    </row>
    <row r="18180">
      <c r="A18180" t="n">
        <v>14471006</v>
      </c>
      <c r="B18180" t="n">
        <v>61723</v>
      </c>
      <c r="C18180" t="inlineStr">
        <is>
          <t>1447/10/06</t>
        </is>
      </c>
    </row>
    <row r="18181">
      <c r="A18181" t="n">
        <v>14471007</v>
      </c>
      <c r="B18181" t="n">
        <v>61724</v>
      </c>
      <c r="C18181" t="inlineStr">
        <is>
          <t>1447/10/07</t>
        </is>
      </c>
    </row>
    <row r="18182">
      <c r="A18182" t="n">
        <v>14471008</v>
      </c>
      <c r="B18182" t="n">
        <v>61725</v>
      </c>
      <c r="C18182" t="inlineStr">
        <is>
          <t>1447/10/08</t>
        </is>
      </c>
    </row>
    <row r="18183">
      <c r="A18183" t="n">
        <v>14471009</v>
      </c>
      <c r="B18183" t="n">
        <v>61726</v>
      </c>
      <c r="C18183" t="inlineStr">
        <is>
          <t>1447/10/09</t>
        </is>
      </c>
    </row>
    <row r="18184">
      <c r="A18184" t="n">
        <v>14471010</v>
      </c>
      <c r="B18184" t="n">
        <v>61727</v>
      </c>
      <c r="C18184" t="inlineStr">
        <is>
          <t>1447/10/10</t>
        </is>
      </c>
    </row>
    <row r="18185">
      <c r="A18185" t="n">
        <v>14471011</v>
      </c>
      <c r="B18185" t="n">
        <v>61728</v>
      </c>
      <c r="C18185" t="inlineStr">
        <is>
          <t>1447/10/11</t>
        </is>
      </c>
    </row>
    <row r="18186">
      <c r="A18186" t="n">
        <v>14471012</v>
      </c>
      <c r="B18186" t="n">
        <v>61729</v>
      </c>
      <c r="C18186" t="inlineStr">
        <is>
          <t>1447/10/12</t>
        </is>
      </c>
    </row>
    <row r="18187">
      <c r="A18187" t="n">
        <v>14471013</v>
      </c>
      <c r="B18187" t="n">
        <v>61730</v>
      </c>
      <c r="C18187" t="inlineStr">
        <is>
          <t>1447/10/13</t>
        </is>
      </c>
    </row>
    <row r="18188">
      <c r="A18188" t="n">
        <v>14471014</v>
      </c>
      <c r="B18188" t="n">
        <v>61731</v>
      </c>
      <c r="C18188" t="inlineStr">
        <is>
          <t>1447/10/14</t>
        </is>
      </c>
    </row>
    <row r="18189">
      <c r="A18189" t="n">
        <v>14471015</v>
      </c>
      <c r="B18189" t="n">
        <v>61732</v>
      </c>
      <c r="C18189" t="inlineStr">
        <is>
          <t>1447/10/15</t>
        </is>
      </c>
    </row>
    <row r="18190">
      <c r="A18190" t="n">
        <v>14471016</v>
      </c>
      <c r="B18190" t="n">
        <v>61733</v>
      </c>
      <c r="C18190" t="inlineStr">
        <is>
          <t>1447/10/16</t>
        </is>
      </c>
    </row>
    <row r="18191">
      <c r="A18191" t="n">
        <v>14471017</v>
      </c>
      <c r="B18191" t="n">
        <v>61734</v>
      </c>
      <c r="C18191" t="inlineStr">
        <is>
          <t>1447/10/17</t>
        </is>
      </c>
    </row>
    <row r="18192">
      <c r="A18192" t="n">
        <v>14471018</v>
      </c>
      <c r="B18192" t="n">
        <v>61735</v>
      </c>
      <c r="C18192" t="inlineStr">
        <is>
          <t>1447/10/18</t>
        </is>
      </c>
    </row>
    <row r="18193">
      <c r="A18193" t="n">
        <v>14471019</v>
      </c>
      <c r="B18193" t="n">
        <v>61736</v>
      </c>
      <c r="C18193" t="inlineStr">
        <is>
          <t>1447/10/19</t>
        </is>
      </c>
    </row>
    <row r="18194">
      <c r="A18194" t="n">
        <v>14471020</v>
      </c>
      <c r="B18194" t="n">
        <v>61737</v>
      </c>
      <c r="C18194" t="inlineStr">
        <is>
          <t>1447/10/20</t>
        </is>
      </c>
    </row>
    <row r="18195">
      <c r="A18195" t="n">
        <v>14471021</v>
      </c>
      <c r="B18195" t="n">
        <v>61738</v>
      </c>
      <c r="C18195" t="inlineStr">
        <is>
          <t>1447/10/21</t>
        </is>
      </c>
    </row>
    <row r="18196">
      <c r="A18196" t="n">
        <v>14471022</v>
      </c>
      <c r="B18196" t="n">
        <v>61739</v>
      </c>
      <c r="C18196" t="inlineStr">
        <is>
          <t>1447/10/22</t>
        </is>
      </c>
    </row>
    <row r="18197">
      <c r="A18197" t="n">
        <v>14471023</v>
      </c>
      <c r="B18197" t="n">
        <v>61740</v>
      </c>
      <c r="C18197" t="inlineStr">
        <is>
          <t>1447/10/23</t>
        </is>
      </c>
    </row>
    <row r="18198">
      <c r="A18198" t="n">
        <v>14471024</v>
      </c>
      <c r="B18198" t="n">
        <v>61741</v>
      </c>
      <c r="C18198" t="inlineStr">
        <is>
          <t>1447/10/24</t>
        </is>
      </c>
    </row>
    <row r="18199">
      <c r="A18199" t="n">
        <v>14471025</v>
      </c>
      <c r="B18199" t="n">
        <v>61742</v>
      </c>
      <c r="C18199" t="inlineStr">
        <is>
          <t>1447/10/25</t>
        </is>
      </c>
    </row>
    <row r="18200">
      <c r="A18200" t="n">
        <v>14471026</v>
      </c>
      <c r="B18200" t="n">
        <v>61743</v>
      </c>
      <c r="C18200" t="inlineStr">
        <is>
          <t>1447/10/26</t>
        </is>
      </c>
    </row>
    <row r="18201">
      <c r="A18201" t="n">
        <v>14471027</v>
      </c>
      <c r="B18201" t="n">
        <v>61744</v>
      </c>
      <c r="C18201" t="inlineStr">
        <is>
          <t>1447/10/27</t>
        </is>
      </c>
    </row>
    <row r="18202">
      <c r="A18202" t="n">
        <v>14471028</v>
      </c>
      <c r="B18202" t="n">
        <v>61745</v>
      </c>
      <c r="C18202" t="inlineStr">
        <is>
          <t>1447/10/28</t>
        </is>
      </c>
    </row>
    <row r="18203">
      <c r="A18203" t="n">
        <v>14471029</v>
      </c>
      <c r="B18203" t="n">
        <v>61746</v>
      </c>
      <c r="C18203" t="inlineStr">
        <is>
          <t>1447/10/29</t>
        </is>
      </c>
    </row>
    <row r="18204">
      <c r="A18204" t="n">
        <v>14471030</v>
      </c>
      <c r="B18204" t="n">
        <v>61747</v>
      </c>
      <c r="C18204" t="inlineStr">
        <is>
          <t>1447/10/30</t>
        </is>
      </c>
    </row>
    <row r="18205">
      <c r="A18205" t="n">
        <v>14471101</v>
      </c>
      <c r="B18205" t="n">
        <v>61748</v>
      </c>
      <c r="C18205" t="inlineStr">
        <is>
          <t>1447/11/01</t>
        </is>
      </c>
    </row>
    <row r="18206">
      <c r="A18206" t="n">
        <v>14471102</v>
      </c>
      <c r="B18206" t="n">
        <v>61749</v>
      </c>
      <c r="C18206" t="inlineStr">
        <is>
          <t>1447/11/02</t>
        </is>
      </c>
    </row>
    <row r="18207">
      <c r="A18207" t="n">
        <v>14471103</v>
      </c>
      <c r="B18207" t="n">
        <v>61750</v>
      </c>
      <c r="C18207" t="inlineStr">
        <is>
          <t>1447/11/03</t>
        </is>
      </c>
    </row>
    <row r="18208">
      <c r="A18208" t="n">
        <v>14471104</v>
      </c>
      <c r="B18208" t="n">
        <v>61751</v>
      </c>
      <c r="C18208" t="inlineStr">
        <is>
          <t>1447/11/04</t>
        </is>
      </c>
    </row>
    <row r="18209">
      <c r="A18209" t="n">
        <v>14471105</v>
      </c>
      <c r="B18209" t="n">
        <v>61752</v>
      </c>
      <c r="C18209" t="inlineStr">
        <is>
          <t>1447/11/05</t>
        </is>
      </c>
    </row>
    <row r="18210">
      <c r="A18210" t="n">
        <v>14471106</v>
      </c>
      <c r="B18210" t="n">
        <v>61753</v>
      </c>
      <c r="C18210" t="inlineStr">
        <is>
          <t>1447/11/06</t>
        </is>
      </c>
    </row>
    <row r="18211">
      <c r="A18211" t="n">
        <v>14471107</v>
      </c>
      <c r="B18211" t="n">
        <v>61754</v>
      </c>
      <c r="C18211" t="inlineStr">
        <is>
          <t>1447/11/07</t>
        </is>
      </c>
    </row>
    <row r="18212">
      <c r="A18212" t="n">
        <v>14471108</v>
      </c>
      <c r="B18212" t="n">
        <v>61755</v>
      </c>
      <c r="C18212" t="inlineStr">
        <is>
          <t>1447/11/08</t>
        </is>
      </c>
    </row>
    <row r="18213">
      <c r="A18213" t="n">
        <v>14471109</v>
      </c>
      <c r="B18213" t="n">
        <v>61756</v>
      </c>
      <c r="C18213" t="inlineStr">
        <is>
          <t>1447/11/09</t>
        </is>
      </c>
    </row>
    <row r="18214">
      <c r="A18214" t="n">
        <v>14471110</v>
      </c>
      <c r="B18214" t="n">
        <v>61757</v>
      </c>
      <c r="C18214" t="inlineStr">
        <is>
          <t>1447/11/10</t>
        </is>
      </c>
    </row>
    <row r="18215">
      <c r="A18215" t="n">
        <v>14471111</v>
      </c>
      <c r="B18215" t="n">
        <v>61758</v>
      </c>
      <c r="C18215" t="inlineStr">
        <is>
          <t>1447/11/11</t>
        </is>
      </c>
    </row>
    <row r="18216">
      <c r="A18216" t="n">
        <v>14471112</v>
      </c>
      <c r="B18216" t="n">
        <v>61759</v>
      </c>
      <c r="C18216" t="inlineStr">
        <is>
          <t>1447/11/12</t>
        </is>
      </c>
    </row>
    <row r="18217">
      <c r="A18217" t="n">
        <v>14471113</v>
      </c>
      <c r="B18217" t="n">
        <v>61760</v>
      </c>
      <c r="C18217" t="inlineStr">
        <is>
          <t>1447/11/13</t>
        </is>
      </c>
    </row>
    <row r="18218">
      <c r="A18218" t="n">
        <v>14471114</v>
      </c>
      <c r="B18218" t="n">
        <v>61761</v>
      </c>
      <c r="C18218" t="inlineStr">
        <is>
          <t>1447/11/14</t>
        </is>
      </c>
    </row>
    <row r="18219">
      <c r="A18219" t="n">
        <v>14471115</v>
      </c>
      <c r="B18219" t="n">
        <v>61762</v>
      </c>
      <c r="C18219" t="inlineStr">
        <is>
          <t>1447/11/15</t>
        </is>
      </c>
    </row>
    <row r="18220">
      <c r="A18220" t="n">
        <v>14471116</v>
      </c>
      <c r="B18220" t="n">
        <v>61763</v>
      </c>
      <c r="C18220" t="inlineStr">
        <is>
          <t>1447/11/16</t>
        </is>
      </c>
    </row>
    <row r="18221">
      <c r="A18221" t="n">
        <v>14471117</v>
      </c>
      <c r="B18221" t="n">
        <v>61764</v>
      </c>
      <c r="C18221" t="inlineStr">
        <is>
          <t>1447/11/17</t>
        </is>
      </c>
    </row>
    <row r="18222">
      <c r="A18222" t="n">
        <v>14471118</v>
      </c>
      <c r="B18222" t="n">
        <v>61765</v>
      </c>
      <c r="C18222" t="inlineStr">
        <is>
          <t>1447/11/18</t>
        </is>
      </c>
    </row>
    <row r="18223">
      <c r="A18223" t="n">
        <v>14471119</v>
      </c>
      <c r="B18223" t="n">
        <v>61766</v>
      </c>
      <c r="C18223" t="inlineStr">
        <is>
          <t>1447/11/19</t>
        </is>
      </c>
    </row>
    <row r="18224">
      <c r="A18224" t="n">
        <v>14471120</v>
      </c>
      <c r="B18224" t="n">
        <v>61767</v>
      </c>
      <c r="C18224" t="inlineStr">
        <is>
          <t>1447/11/20</t>
        </is>
      </c>
    </row>
    <row r="18225">
      <c r="A18225" t="n">
        <v>14471121</v>
      </c>
      <c r="B18225" t="n">
        <v>61768</v>
      </c>
      <c r="C18225" t="inlineStr">
        <is>
          <t>1447/11/21</t>
        </is>
      </c>
    </row>
    <row r="18226">
      <c r="A18226" t="n">
        <v>14471122</v>
      </c>
      <c r="B18226" t="n">
        <v>61769</v>
      </c>
      <c r="C18226" t="inlineStr">
        <is>
          <t>1447/11/22</t>
        </is>
      </c>
    </row>
    <row r="18227">
      <c r="A18227" t="n">
        <v>14471123</v>
      </c>
      <c r="B18227" t="n">
        <v>61770</v>
      </c>
      <c r="C18227" t="inlineStr">
        <is>
          <t>1447/11/23</t>
        </is>
      </c>
    </row>
    <row r="18228">
      <c r="A18228" t="n">
        <v>14471124</v>
      </c>
      <c r="B18228" t="n">
        <v>61771</v>
      </c>
      <c r="C18228" t="inlineStr">
        <is>
          <t>1447/11/24</t>
        </is>
      </c>
    </row>
    <row r="18229">
      <c r="A18229" t="n">
        <v>14471125</v>
      </c>
      <c r="B18229" t="n">
        <v>61772</v>
      </c>
      <c r="C18229" t="inlineStr">
        <is>
          <t>1447/11/25</t>
        </is>
      </c>
    </row>
    <row r="18230">
      <c r="A18230" t="n">
        <v>14471126</v>
      </c>
      <c r="B18230" t="n">
        <v>61773</v>
      </c>
      <c r="C18230" t="inlineStr">
        <is>
          <t>1447/11/26</t>
        </is>
      </c>
    </row>
    <row r="18231">
      <c r="A18231" t="n">
        <v>14471127</v>
      </c>
      <c r="B18231" t="n">
        <v>61774</v>
      </c>
      <c r="C18231" t="inlineStr">
        <is>
          <t>1447/11/27</t>
        </is>
      </c>
    </row>
    <row r="18232">
      <c r="A18232" t="n">
        <v>14471128</v>
      </c>
      <c r="B18232" t="n">
        <v>61775</v>
      </c>
      <c r="C18232" t="inlineStr">
        <is>
          <t>1447/11/28</t>
        </is>
      </c>
    </row>
    <row r="18233">
      <c r="A18233" t="n">
        <v>14471129</v>
      </c>
      <c r="B18233" t="n">
        <v>61776</v>
      </c>
      <c r="C18233" t="inlineStr">
        <is>
          <t>1447/11/29</t>
        </is>
      </c>
    </row>
    <row r="18234">
      <c r="A18234" t="n">
        <v>14471130</v>
      </c>
      <c r="B18234" t="n">
        <v>61777</v>
      </c>
      <c r="C18234" t="inlineStr">
        <is>
          <t>1447/11/30</t>
        </is>
      </c>
    </row>
    <row r="18235">
      <c r="A18235" t="n">
        <v>14471201</v>
      </c>
      <c r="B18235" t="n">
        <v>61778</v>
      </c>
      <c r="C18235" t="inlineStr">
        <is>
          <t>1447/12/01</t>
        </is>
      </c>
    </row>
    <row r="18236">
      <c r="A18236" t="n">
        <v>14471202</v>
      </c>
      <c r="B18236" t="n">
        <v>61779</v>
      </c>
      <c r="C18236" t="inlineStr">
        <is>
          <t>1447/12/02</t>
        </is>
      </c>
    </row>
    <row r="18237">
      <c r="A18237" t="n">
        <v>14471203</v>
      </c>
      <c r="B18237" t="n">
        <v>61780</v>
      </c>
      <c r="C18237" t="inlineStr">
        <is>
          <t>1447/12/03</t>
        </is>
      </c>
    </row>
    <row r="18238">
      <c r="A18238" t="n">
        <v>14471204</v>
      </c>
      <c r="B18238" t="n">
        <v>61781</v>
      </c>
      <c r="C18238" t="inlineStr">
        <is>
          <t>1447/12/04</t>
        </is>
      </c>
    </row>
    <row r="18239">
      <c r="A18239" t="n">
        <v>14471205</v>
      </c>
      <c r="B18239" t="n">
        <v>61782</v>
      </c>
      <c r="C18239" t="inlineStr">
        <is>
          <t>1447/12/05</t>
        </is>
      </c>
    </row>
    <row r="18240">
      <c r="A18240" t="n">
        <v>14471206</v>
      </c>
      <c r="B18240" t="n">
        <v>61783</v>
      </c>
      <c r="C18240" t="inlineStr">
        <is>
          <t>1447/12/06</t>
        </is>
      </c>
    </row>
    <row r="18241">
      <c r="A18241" t="n">
        <v>14471207</v>
      </c>
      <c r="B18241" t="n">
        <v>61784</v>
      </c>
      <c r="C18241" t="inlineStr">
        <is>
          <t>1447/12/07</t>
        </is>
      </c>
    </row>
    <row r="18242">
      <c r="A18242" t="n">
        <v>14471208</v>
      </c>
      <c r="B18242" t="n">
        <v>61785</v>
      </c>
      <c r="C18242" t="inlineStr">
        <is>
          <t>1447/12/08</t>
        </is>
      </c>
    </row>
    <row r="18243">
      <c r="A18243" t="n">
        <v>14471209</v>
      </c>
      <c r="B18243" t="n">
        <v>61786</v>
      </c>
      <c r="C18243" t="inlineStr">
        <is>
          <t>1447/12/09</t>
        </is>
      </c>
    </row>
    <row r="18244">
      <c r="A18244" t="n">
        <v>14471210</v>
      </c>
      <c r="B18244" t="n">
        <v>61787</v>
      </c>
      <c r="C18244" t="inlineStr">
        <is>
          <t>1447/12/10</t>
        </is>
      </c>
    </row>
    <row r="18245">
      <c r="A18245" t="n">
        <v>14471211</v>
      </c>
      <c r="B18245" t="n">
        <v>61788</v>
      </c>
      <c r="C18245" t="inlineStr">
        <is>
          <t>1447/12/11</t>
        </is>
      </c>
    </row>
    <row r="18246">
      <c r="A18246" t="n">
        <v>14471212</v>
      </c>
      <c r="B18246" t="n">
        <v>61789</v>
      </c>
      <c r="C18246" t="inlineStr">
        <is>
          <t>1447/12/12</t>
        </is>
      </c>
    </row>
    <row r="18247">
      <c r="A18247" t="n">
        <v>14471213</v>
      </c>
      <c r="B18247" t="n">
        <v>61790</v>
      </c>
      <c r="C18247" t="inlineStr">
        <is>
          <t>1447/12/13</t>
        </is>
      </c>
    </row>
    <row r="18248">
      <c r="A18248" t="n">
        <v>14471214</v>
      </c>
      <c r="B18248" t="n">
        <v>61791</v>
      </c>
      <c r="C18248" t="inlineStr">
        <is>
          <t>1447/12/14</t>
        </is>
      </c>
    </row>
    <row r="18249">
      <c r="A18249" t="n">
        <v>14471215</v>
      </c>
      <c r="B18249" t="n">
        <v>61792</v>
      </c>
      <c r="C18249" t="inlineStr">
        <is>
          <t>1447/12/15</t>
        </is>
      </c>
    </row>
    <row r="18250">
      <c r="A18250" t="n">
        <v>14471216</v>
      </c>
      <c r="B18250" t="n">
        <v>61793</v>
      </c>
      <c r="C18250" t="inlineStr">
        <is>
          <t>1447/12/16</t>
        </is>
      </c>
    </row>
    <row r="18251">
      <c r="A18251" t="n">
        <v>14471217</v>
      </c>
      <c r="B18251" t="n">
        <v>61794</v>
      </c>
      <c r="C18251" t="inlineStr">
        <is>
          <t>1447/12/17</t>
        </is>
      </c>
    </row>
    <row r="18252">
      <c r="A18252" t="n">
        <v>14471218</v>
      </c>
      <c r="B18252" t="n">
        <v>61795</v>
      </c>
      <c r="C18252" t="inlineStr">
        <is>
          <t>1447/12/18</t>
        </is>
      </c>
    </row>
    <row r="18253">
      <c r="A18253" t="n">
        <v>14471219</v>
      </c>
      <c r="B18253" t="n">
        <v>61796</v>
      </c>
      <c r="C18253" t="inlineStr">
        <is>
          <t>1447/12/19</t>
        </is>
      </c>
    </row>
    <row r="18254">
      <c r="A18254" t="n">
        <v>14471220</v>
      </c>
      <c r="B18254" t="n">
        <v>61797</v>
      </c>
      <c r="C18254" t="inlineStr">
        <is>
          <t>1447/12/20</t>
        </is>
      </c>
    </row>
    <row r="18255">
      <c r="A18255" t="n">
        <v>14471221</v>
      </c>
      <c r="B18255" t="n">
        <v>61798</v>
      </c>
      <c r="C18255" t="inlineStr">
        <is>
          <t>1447/12/21</t>
        </is>
      </c>
    </row>
    <row r="18256">
      <c r="A18256" t="n">
        <v>14471222</v>
      </c>
      <c r="B18256" t="n">
        <v>61799</v>
      </c>
      <c r="C18256" t="inlineStr">
        <is>
          <t>1447/12/22</t>
        </is>
      </c>
    </row>
    <row r="18257">
      <c r="A18257" t="n">
        <v>14471223</v>
      </c>
      <c r="B18257" t="n">
        <v>61800</v>
      </c>
      <c r="C18257" t="inlineStr">
        <is>
          <t>1447/12/23</t>
        </is>
      </c>
    </row>
    <row r="18258">
      <c r="A18258" t="n">
        <v>14471224</v>
      </c>
      <c r="B18258" t="n">
        <v>61801</v>
      </c>
      <c r="C18258" t="inlineStr">
        <is>
          <t>1447/12/24</t>
        </is>
      </c>
    </row>
    <row r="18259">
      <c r="A18259" t="n">
        <v>14471225</v>
      </c>
      <c r="B18259" t="n">
        <v>61802</v>
      </c>
      <c r="C18259" t="inlineStr">
        <is>
          <t>1447/12/25</t>
        </is>
      </c>
    </row>
    <row r="18260">
      <c r="A18260" t="n">
        <v>14471226</v>
      </c>
      <c r="B18260" t="n">
        <v>61803</v>
      </c>
      <c r="C18260" t="inlineStr">
        <is>
          <t>1447/12/26</t>
        </is>
      </c>
    </row>
    <row r="18261">
      <c r="A18261" t="n">
        <v>14471227</v>
      </c>
      <c r="B18261" t="n">
        <v>61804</v>
      </c>
      <c r="C18261" t="inlineStr">
        <is>
          <t>1447/12/27</t>
        </is>
      </c>
    </row>
    <row r="18262">
      <c r="A18262" t="n">
        <v>14471228</v>
      </c>
      <c r="B18262" t="n">
        <v>61805</v>
      </c>
      <c r="C18262" t="inlineStr">
        <is>
          <t>1447/12/28</t>
        </is>
      </c>
    </row>
    <row r="18263">
      <c r="A18263" t="n">
        <v>14471229</v>
      </c>
      <c r="B18263" t="n">
        <v>61806</v>
      </c>
      <c r="C18263" t="inlineStr">
        <is>
          <t>1447/12/29</t>
        </is>
      </c>
    </row>
    <row r="18264">
      <c r="A18264" t="n">
        <v>14480101</v>
      </c>
      <c r="B18264" t="n">
        <v>61807</v>
      </c>
      <c r="C18264" t="inlineStr">
        <is>
          <t>1448/01/01</t>
        </is>
      </c>
    </row>
    <row r="18265">
      <c r="A18265" t="n">
        <v>14480102</v>
      </c>
      <c r="B18265" t="n">
        <v>61808</v>
      </c>
      <c r="C18265" t="inlineStr">
        <is>
          <t>1448/01/02</t>
        </is>
      </c>
    </row>
    <row r="18266">
      <c r="A18266" t="n">
        <v>14480103</v>
      </c>
      <c r="B18266" t="n">
        <v>61809</v>
      </c>
      <c r="C18266" t="inlineStr">
        <is>
          <t>1448/01/03</t>
        </is>
      </c>
    </row>
    <row r="18267">
      <c r="A18267" t="n">
        <v>14480104</v>
      </c>
      <c r="B18267" t="n">
        <v>61810</v>
      </c>
      <c r="C18267" t="inlineStr">
        <is>
          <t>1448/01/04</t>
        </is>
      </c>
    </row>
    <row r="18268">
      <c r="A18268" t="n">
        <v>14480105</v>
      </c>
      <c r="B18268" t="n">
        <v>61811</v>
      </c>
      <c r="C18268" t="inlineStr">
        <is>
          <t>1448/01/05</t>
        </is>
      </c>
    </row>
    <row r="18269">
      <c r="A18269" t="n">
        <v>14480106</v>
      </c>
      <c r="B18269" t="n">
        <v>61812</v>
      </c>
      <c r="C18269" t="inlineStr">
        <is>
          <t>1448/01/06</t>
        </is>
      </c>
    </row>
    <row r="18270">
      <c r="A18270" t="n">
        <v>14480107</v>
      </c>
      <c r="B18270" t="n">
        <v>61813</v>
      </c>
      <c r="C18270" t="inlineStr">
        <is>
          <t>1448/01/07</t>
        </is>
      </c>
    </row>
    <row r="18271">
      <c r="A18271" t="n">
        <v>14480108</v>
      </c>
      <c r="B18271" t="n">
        <v>61814</v>
      </c>
      <c r="C18271" t="inlineStr">
        <is>
          <t>1448/01/08</t>
        </is>
      </c>
    </row>
    <row r="18272">
      <c r="A18272" t="n">
        <v>14480109</v>
      </c>
      <c r="B18272" t="n">
        <v>61815</v>
      </c>
      <c r="C18272" t="inlineStr">
        <is>
          <t>1448/01/09</t>
        </is>
      </c>
    </row>
    <row r="18273">
      <c r="A18273" t="n">
        <v>14480110</v>
      </c>
      <c r="B18273" t="n">
        <v>61816</v>
      </c>
      <c r="C18273" t="inlineStr">
        <is>
          <t>1448/01/10</t>
        </is>
      </c>
    </row>
    <row r="18274">
      <c r="A18274" t="n">
        <v>14480111</v>
      </c>
      <c r="B18274" t="n">
        <v>61817</v>
      </c>
      <c r="C18274" t="inlineStr">
        <is>
          <t>1448/01/11</t>
        </is>
      </c>
    </row>
    <row r="18275">
      <c r="A18275" t="n">
        <v>14480112</v>
      </c>
      <c r="B18275" t="n">
        <v>61818</v>
      </c>
      <c r="C18275" t="inlineStr">
        <is>
          <t>1448/01/12</t>
        </is>
      </c>
    </row>
    <row r="18276">
      <c r="A18276" t="n">
        <v>14480113</v>
      </c>
      <c r="B18276" t="n">
        <v>61819</v>
      </c>
      <c r="C18276" t="inlineStr">
        <is>
          <t>1448/01/13</t>
        </is>
      </c>
    </row>
    <row r="18277">
      <c r="A18277" t="n">
        <v>14480114</v>
      </c>
      <c r="B18277" t="n">
        <v>61820</v>
      </c>
      <c r="C18277" t="inlineStr">
        <is>
          <t>1448/01/14</t>
        </is>
      </c>
    </row>
    <row r="18278">
      <c r="A18278" t="n">
        <v>14480115</v>
      </c>
      <c r="B18278" t="n">
        <v>61821</v>
      </c>
      <c r="C18278" t="inlineStr">
        <is>
          <t>1448/01/15</t>
        </is>
      </c>
    </row>
    <row r="18279">
      <c r="A18279" t="n">
        <v>14480116</v>
      </c>
      <c r="B18279" t="n">
        <v>61822</v>
      </c>
      <c r="C18279" t="inlineStr">
        <is>
          <t>1448/01/16</t>
        </is>
      </c>
    </row>
    <row r="18280">
      <c r="A18280" t="n">
        <v>14480117</v>
      </c>
      <c r="B18280" t="n">
        <v>61823</v>
      </c>
      <c r="C18280" t="inlineStr">
        <is>
          <t>1448/01/17</t>
        </is>
      </c>
    </row>
    <row r="18281">
      <c r="A18281" t="n">
        <v>14480118</v>
      </c>
      <c r="B18281" t="n">
        <v>61824</v>
      </c>
      <c r="C18281" t="inlineStr">
        <is>
          <t>1448/01/18</t>
        </is>
      </c>
    </row>
    <row r="18282">
      <c r="A18282" t="n">
        <v>14480119</v>
      </c>
      <c r="B18282" t="n">
        <v>61825</v>
      </c>
      <c r="C18282" t="inlineStr">
        <is>
          <t>1448/01/19</t>
        </is>
      </c>
    </row>
    <row r="18283">
      <c r="A18283" t="n">
        <v>14480120</v>
      </c>
      <c r="B18283" t="n">
        <v>61826</v>
      </c>
      <c r="C18283" t="inlineStr">
        <is>
          <t>1448/01/20</t>
        </is>
      </c>
    </row>
    <row r="18284">
      <c r="A18284" t="n">
        <v>14480121</v>
      </c>
      <c r="B18284" t="n">
        <v>61827</v>
      </c>
      <c r="C18284" t="inlineStr">
        <is>
          <t>1448/01/21</t>
        </is>
      </c>
    </row>
    <row r="18285">
      <c r="A18285" t="n">
        <v>14480122</v>
      </c>
      <c r="B18285" t="n">
        <v>61828</v>
      </c>
      <c r="C18285" t="inlineStr">
        <is>
          <t>1448/01/22</t>
        </is>
      </c>
    </row>
    <row r="18286">
      <c r="A18286" t="n">
        <v>14480123</v>
      </c>
      <c r="B18286" t="n">
        <v>61829</v>
      </c>
      <c r="C18286" t="inlineStr">
        <is>
          <t>1448/01/23</t>
        </is>
      </c>
    </row>
    <row r="18287">
      <c r="A18287" t="n">
        <v>14480124</v>
      </c>
      <c r="B18287" t="n">
        <v>61830</v>
      </c>
      <c r="C18287" t="inlineStr">
        <is>
          <t>1448/01/24</t>
        </is>
      </c>
    </row>
    <row r="18288">
      <c r="A18288" t="n">
        <v>14480125</v>
      </c>
      <c r="B18288" t="n">
        <v>61831</v>
      </c>
      <c r="C18288" t="inlineStr">
        <is>
          <t>1448/01/25</t>
        </is>
      </c>
    </row>
    <row r="18289">
      <c r="A18289" t="n">
        <v>14480126</v>
      </c>
      <c r="B18289" t="n">
        <v>61832</v>
      </c>
      <c r="C18289" t="inlineStr">
        <is>
          <t>1448/01/26</t>
        </is>
      </c>
    </row>
    <row r="18290">
      <c r="A18290" t="n">
        <v>14480127</v>
      </c>
      <c r="B18290" t="n">
        <v>61833</v>
      </c>
      <c r="C18290" t="inlineStr">
        <is>
          <t>1448/01/27</t>
        </is>
      </c>
    </row>
    <row r="18291">
      <c r="A18291" t="n">
        <v>14480128</v>
      </c>
      <c r="B18291" t="n">
        <v>61834</v>
      </c>
      <c r="C18291" t="inlineStr">
        <is>
          <t>1448/01/28</t>
        </is>
      </c>
    </row>
    <row r="18292">
      <c r="A18292" t="n">
        <v>14480129</v>
      </c>
      <c r="B18292" t="n">
        <v>61835</v>
      </c>
      <c r="C18292" t="inlineStr">
        <is>
          <t>1448/01/29</t>
        </is>
      </c>
    </row>
    <row r="18293">
      <c r="A18293" t="n">
        <v>14480130</v>
      </c>
      <c r="B18293" t="n">
        <v>61836</v>
      </c>
      <c r="C18293" t="inlineStr">
        <is>
          <t>1448/01/30</t>
        </is>
      </c>
    </row>
    <row r="18294">
      <c r="A18294" t="n">
        <v>14480131</v>
      </c>
      <c r="B18294" t="n">
        <v>61837</v>
      </c>
      <c r="C18294" t="inlineStr">
        <is>
          <t>1448/01/31</t>
        </is>
      </c>
    </row>
    <row r="18295">
      <c r="A18295" t="n">
        <v>14480201</v>
      </c>
      <c r="B18295" t="n">
        <v>61838</v>
      </c>
      <c r="C18295" t="inlineStr">
        <is>
          <t>1448/02/01</t>
        </is>
      </c>
    </row>
    <row r="18296">
      <c r="A18296" t="n">
        <v>14480202</v>
      </c>
      <c r="B18296" t="n">
        <v>61839</v>
      </c>
      <c r="C18296" t="inlineStr">
        <is>
          <t>1448/02/02</t>
        </is>
      </c>
    </row>
    <row r="18297">
      <c r="A18297" t="n">
        <v>14480203</v>
      </c>
      <c r="B18297" t="n">
        <v>61840</v>
      </c>
      <c r="C18297" t="inlineStr">
        <is>
          <t>1448/02/03</t>
        </is>
      </c>
    </row>
    <row r="18298">
      <c r="A18298" t="n">
        <v>14480204</v>
      </c>
      <c r="B18298" t="n">
        <v>61841</v>
      </c>
      <c r="C18298" t="inlineStr">
        <is>
          <t>1448/02/04</t>
        </is>
      </c>
    </row>
    <row r="18299">
      <c r="A18299" t="n">
        <v>14480205</v>
      </c>
      <c r="B18299" t="n">
        <v>61842</v>
      </c>
      <c r="C18299" t="inlineStr">
        <is>
          <t>1448/02/05</t>
        </is>
      </c>
    </row>
    <row r="18300">
      <c r="A18300" t="n">
        <v>14480206</v>
      </c>
      <c r="B18300" t="n">
        <v>61843</v>
      </c>
      <c r="C18300" t="inlineStr">
        <is>
          <t>1448/02/06</t>
        </is>
      </c>
    </row>
    <row r="18301">
      <c r="A18301" t="n">
        <v>14480207</v>
      </c>
      <c r="B18301" t="n">
        <v>61844</v>
      </c>
      <c r="C18301" t="inlineStr">
        <is>
          <t>1448/02/07</t>
        </is>
      </c>
    </row>
    <row r="18302">
      <c r="A18302" t="n">
        <v>14480208</v>
      </c>
      <c r="B18302" t="n">
        <v>61845</v>
      </c>
      <c r="C18302" t="inlineStr">
        <is>
          <t>1448/02/08</t>
        </is>
      </c>
    </row>
    <row r="18303">
      <c r="A18303" t="n">
        <v>14480209</v>
      </c>
      <c r="B18303" t="n">
        <v>61846</v>
      </c>
      <c r="C18303" t="inlineStr">
        <is>
          <t>1448/02/09</t>
        </is>
      </c>
    </row>
    <row r="18304">
      <c r="A18304" t="n">
        <v>14480210</v>
      </c>
      <c r="B18304" t="n">
        <v>61847</v>
      </c>
      <c r="C18304" t="inlineStr">
        <is>
          <t>1448/02/10</t>
        </is>
      </c>
    </row>
    <row r="18305">
      <c r="A18305" t="n">
        <v>14480211</v>
      </c>
      <c r="B18305" t="n">
        <v>61848</v>
      </c>
      <c r="C18305" t="inlineStr">
        <is>
          <t>1448/02/11</t>
        </is>
      </c>
    </row>
    <row r="18306">
      <c r="A18306" t="n">
        <v>14480212</v>
      </c>
      <c r="B18306" t="n">
        <v>61849</v>
      </c>
      <c r="C18306" t="inlineStr">
        <is>
          <t>1448/02/12</t>
        </is>
      </c>
    </row>
    <row r="18307">
      <c r="A18307" t="n">
        <v>14480213</v>
      </c>
      <c r="B18307" t="n">
        <v>61850</v>
      </c>
      <c r="C18307" t="inlineStr">
        <is>
          <t>1448/02/13</t>
        </is>
      </c>
    </row>
    <row r="18308">
      <c r="A18308" t="n">
        <v>14480214</v>
      </c>
      <c r="B18308" t="n">
        <v>61851</v>
      </c>
      <c r="C18308" t="inlineStr">
        <is>
          <t>1448/02/14</t>
        </is>
      </c>
    </row>
    <row r="18309">
      <c r="A18309" t="n">
        <v>14480215</v>
      </c>
      <c r="B18309" t="n">
        <v>61852</v>
      </c>
      <c r="C18309" t="inlineStr">
        <is>
          <t>1448/02/15</t>
        </is>
      </c>
    </row>
    <row r="18310">
      <c r="A18310" t="n">
        <v>14480216</v>
      </c>
      <c r="B18310" t="n">
        <v>61853</v>
      </c>
      <c r="C18310" t="inlineStr">
        <is>
          <t>1448/02/16</t>
        </is>
      </c>
    </row>
    <row r="18311">
      <c r="A18311" t="n">
        <v>14480217</v>
      </c>
      <c r="B18311" t="n">
        <v>61854</v>
      </c>
      <c r="C18311" t="inlineStr">
        <is>
          <t>1448/02/17</t>
        </is>
      </c>
    </row>
    <row r="18312">
      <c r="A18312" t="n">
        <v>14480218</v>
      </c>
      <c r="B18312" t="n">
        <v>61855</v>
      </c>
      <c r="C18312" t="inlineStr">
        <is>
          <t>1448/02/18</t>
        </is>
      </c>
    </row>
    <row r="18313">
      <c r="A18313" t="n">
        <v>14480219</v>
      </c>
      <c r="B18313" t="n">
        <v>61856</v>
      </c>
      <c r="C18313" t="inlineStr">
        <is>
          <t>1448/02/19</t>
        </is>
      </c>
    </row>
    <row r="18314">
      <c r="A18314" t="n">
        <v>14480220</v>
      </c>
      <c r="B18314" t="n">
        <v>61857</v>
      </c>
      <c r="C18314" t="inlineStr">
        <is>
          <t>1448/02/20</t>
        </is>
      </c>
    </row>
    <row r="18315">
      <c r="A18315" t="n">
        <v>14480221</v>
      </c>
      <c r="B18315" t="n">
        <v>61858</v>
      </c>
      <c r="C18315" t="inlineStr">
        <is>
          <t>1448/02/21</t>
        </is>
      </c>
    </row>
    <row r="18316">
      <c r="A18316" t="n">
        <v>14480222</v>
      </c>
      <c r="B18316" t="n">
        <v>61859</v>
      </c>
      <c r="C18316" t="inlineStr">
        <is>
          <t>1448/02/22</t>
        </is>
      </c>
    </row>
    <row r="18317">
      <c r="A18317" t="n">
        <v>14480223</v>
      </c>
      <c r="B18317" t="n">
        <v>61860</v>
      </c>
      <c r="C18317" t="inlineStr">
        <is>
          <t>1448/02/23</t>
        </is>
      </c>
    </row>
    <row r="18318">
      <c r="A18318" t="n">
        <v>14480224</v>
      </c>
      <c r="B18318" t="n">
        <v>61861</v>
      </c>
      <c r="C18318" t="inlineStr">
        <is>
          <t>1448/02/24</t>
        </is>
      </c>
    </row>
    <row r="18319">
      <c r="A18319" t="n">
        <v>14480225</v>
      </c>
      <c r="B18319" t="n">
        <v>61862</v>
      </c>
      <c r="C18319" t="inlineStr">
        <is>
          <t>1448/02/25</t>
        </is>
      </c>
    </row>
    <row r="18320">
      <c r="A18320" t="n">
        <v>14480226</v>
      </c>
      <c r="B18320" t="n">
        <v>61863</v>
      </c>
      <c r="C18320" t="inlineStr">
        <is>
          <t>1448/02/26</t>
        </is>
      </c>
    </row>
    <row r="18321">
      <c r="A18321" t="n">
        <v>14480227</v>
      </c>
      <c r="B18321" t="n">
        <v>61864</v>
      </c>
      <c r="C18321" t="inlineStr">
        <is>
          <t>1448/02/27</t>
        </is>
      </c>
    </row>
    <row r="18322">
      <c r="A18322" t="n">
        <v>14480228</v>
      </c>
      <c r="B18322" t="n">
        <v>61865</v>
      </c>
      <c r="C18322" t="inlineStr">
        <is>
          <t>1448/02/28</t>
        </is>
      </c>
    </row>
    <row r="18323">
      <c r="A18323" t="n">
        <v>14480229</v>
      </c>
      <c r="B18323" t="n">
        <v>61866</v>
      </c>
      <c r="C18323" t="inlineStr">
        <is>
          <t>1448/02/29</t>
        </is>
      </c>
    </row>
    <row r="18324">
      <c r="A18324" t="n">
        <v>14480230</v>
      </c>
      <c r="B18324" t="n">
        <v>61867</v>
      </c>
      <c r="C18324" t="inlineStr">
        <is>
          <t>1448/02/30</t>
        </is>
      </c>
    </row>
    <row r="18325">
      <c r="A18325" t="n">
        <v>14480231</v>
      </c>
      <c r="B18325" t="n">
        <v>61868</v>
      </c>
      <c r="C18325" t="inlineStr">
        <is>
          <t>1448/02/31</t>
        </is>
      </c>
    </row>
    <row r="18326">
      <c r="A18326" t="n">
        <v>14480301</v>
      </c>
      <c r="B18326" t="n">
        <v>61869</v>
      </c>
      <c r="C18326" t="inlineStr">
        <is>
          <t>1448/03/01</t>
        </is>
      </c>
    </row>
    <row r="18327">
      <c r="A18327" t="n">
        <v>14480302</v>
      </c>
      <c r="B18327" t="n">
        <v>61870</v>
      </c>
      <c r="C18327" t="inlineStr">
        <is>
          <t>1448/03/02</t>
        </is>
      </c>
    </row>
    <row r="18328">
      <c r="A18328" t="n">
        <v>14480303</v>
      </c>
      <c r="B18328" t="n">
        <v>61871</v>
      </c>
      <c r="C18328" t="inlineStr">
        <is>
          <t>1448/03/03</t>
        </is>
      </c>
    </row>
    <row r="18329">
      <c r="A18329" t="n">
        <v>14480304</v>
      </c>
      <c r="B18329" t="n">
        <v>61872</v>
      </c>
      <c r="C18329" t="inlineStr">
        <is>
          <t>1448/03/04</t>
        </is>
      </c>
    </row>
    <row r="18330">
      <c r="A18330" t="n">
        <v>14480305</v>
      </c>
      <c r="B18330" t="n">
        <v>61873</v>
      </c>
      <c r="C18330" t="inlineStr">
        <is>
          <t>1448/03/05</t>
        </is>
      </c>
    </row>
    <row r="18331">
      <c r="A18331" t="n">
        <v>14480306</v>
      </c>
      <c r="B18331" t="n">
        <v>61874</v>
      </c>
      <c r="C18331" t="inlineStr">
        <is>
          <t>1448/03/06</t>
        </is>
      </c>
    </row>
    <row r="18332">
      <c r="A18332" t="n">
        <v>14480307</v>
      </c>
      <c r="B18332" t="n">
        <v>61875</v>
      </c>
      <c r="C18332" t="inlineStr">
        <is>
          <t>1448/03/07</t>
        </is>
      </c>
    </row>
    <row r="18333">
      <c r="A18333" t="n">
        <v>14480308</v>
      </c>
      <c r="B18333" t="n">
        <v>61876</v>
      </c>
      <c r="C18333" t="inlineStr">
        <is>
          <t>1448/03/08</t>
        </is>
      </c>
    </row>
    <row r="18334">
      <c r="A18334" t="n">
        <v>14480309</v>
      </c>
      <c r="B18334" t="n">
        <v>61877</v>
      </c>
      <c r="C18334" t="inlineStr">
        <is>
          <t>1448/03/09</t>
        </is>
      </c>
    </row>
    <row r="18335">
      <c r="A18335" t="n">
        <v>14480310</v>
      </c>
      <c r="B18335" t="n">
        <v>61878</v>
      </c>
      <c r="C18335" t="inlineStr">
        <is>
          <t>1448/03/10</t>
        </is>
      </c>
    </row>
    <row r="18336">
      <c r="A18336" t="n">
        <v>14480311</v>
      </c>
      <c r="B18336" t="n">
        <v>61879</v>
      </c>
      <c r="C18336" t="inlineStr">
        <is>
          <t>1448/03/11</t>
        </is>
      </c>
    </row>
    <row r="18337">
      <c r="A18337" t="n">
        <v>14480312</v>
      </c>
      <c r="B18337" t="n">
        <v>61880</v>
      </c>
      <c r="C18337" t="inlineStr">
        <is>
          <t>1448/03/12</t>
        </is>
      </c>
    </row>
    <row r="18338">
      <c r="A18338" t="n">
        <v>14480313</v>
      </c>
      <c r="B18338" t="n">
        <v>61881</v>
      </c>
      <c r="C18338" t="inlineStr">
        <is>
          <t>1448/03/13</t>
        </is>
      </c>
    </row>
    <row r="18339">
      <c r="A18339" t="n">
        <v>14480314</v>
      </c>
      <c r="B18339" t="n">
        <v>61882</v>
      </c>
      <c r="C18339" t="inlineStr">
        <is>
          <t>1448/03/14</t>
        </is>
      </c>
    </row>
    <row r="18340">
      <c r="A18340" t="n">
        <v>14480315</v>
      </c>
      <c r="B18340" t="n">
        <v>61883</v>
      </c>
      <c r="C18340" t="inlineStr">
        <is>
          <t>1448/03/15</t>
        </is>
      </c>
    </row>
    <row r="18341">
      <c r="A18341" t="n">
        <v>14480316</v>
      </c>
      <c r="B18341" t="n">
        <v>61884</v>
      </c>
      <c r="C18341" t="inlineStr">
        <is>
          <t>1448/03/16</t>
        </is>
      </c>
    </row>
    <row r="18342">
      <c r="A18342" t="n">
        <v>14480317</v>
      </c>
      <c r="B18342" t="n">
        <v>61885</v>
      </c>
      <c r="C18342" t="inlineStr">
        <is>
          <t>1448/03/17</t>
        </is>
      </c>
    </row>
    <row r="18343">
      <c r="A18343" t="n">
        <v>14480318</v>
      </c>
      <c r="B18343" t="n">
        <v>61886</v>
      </c>
      <c r="C18343" t="inlineStr">
        <is>
          <t>1448/03/18</t>
        </is>
      </c>
    </row>
    <row r="18344">
      <c r="A18344" t="n">
        <v>14480319</v>
      </c>
      <c r="B18344" t="n">
        <v>61887</v>
      </c>
      <c r="C18344" t="inlineStr">
        <is>
          <t>1448/03/19</t>
        </is>
      </c>
    </row>
    <row r="18345">
      <c r="A18345" t="n">
        <v>14480320</v>
      </c>
      <c r="B18345" t="n">
        <v>61888</v>
      </c>
      <c r="C18345" t="inlineStr">
        <is>
          <t>1448/03/20</t>
        </is>
      </c>
    </row>
    <row r="18346">
      <c r="A18346" t="n">
        <v>14480321</v>
      </c>
      <c r="B18346" t="n">
        <v>61889</v>
      </c>
      <c r="C18346" t="inlineStr">
        <is>
          <t>1448/03/21</t>
        </is>
      </c>
    </row>
    <row r="18347">
      <c r="A18347" t="n">
        <v>14480322</v>
      </c>
      <c r="B18347" t="n">
        <v>61890</v>
      </c>
      <c r="C18347" t="inlineStr">
        <is>
          <t>1448/03/22</t>
        </is>
      </c>
    </row>
    <row r="18348">
      <c r="A18348" t="n">
        <v>14480323</v>
      </c>
      <c r="B18348" t="n">
        <v>61891</v>
      </c>
      <c r="C18348" t="inlineStr">
        <is>
          <t>1448/03/23</t>
        </is>
      </c>
    </row>
    <row r="18349">
      <c r="A18349" t="n">
        <v>14480324</v>
      </c>
      <c r="B18349" t="n">
        <v>61892</v>
      </c>
      <c r="C18349" t="inlineStr">
        <is>
          <t>1448/03/24</t>
        </is>
      </c>
    </row>
    <row r="18350">
      <c r="A18350" t="n">
        <v>14480325</v>
      </c>
      <c r="B18350" t="n">
        <v>61893</v>
      </c>
      <c r="C18350" t="inlineStr">
        <is>
          <t>1448/03/25</t>
        </is>
      </c>
    </row>
    <row r="18351">
      <c r="A18351" t="n">
        <v>14480326</v>
      </c>
      <c r="B18351" t="n">
        <v>61894</v>
      </c>
      <c r="C18351" t="inlineStr">
        <is>
          <t>1448/03/26</t>
        </is>
      </c>
    </row>
    <row r="18352">
      <c r="A18352" t="n">
        <v>14480327</v>
      </c>
      <c r="B18352" t="n">
        <v>61895</v>
      </c>
      <c r="C18352" t="inlineStr">
        <is>
          <t>1448/03/27</t>
        </is>
      </c>
    </row>
    <row r="18353">
      <c r="A18353" t="n">
        <v>14480328</v>
      </c>
      <c r="B18353" t="n">
        <v>61896</v>
      </c>
      <c r="C18353" t="inlineStr">
        <is>
          <t>1448/03/28</t>
        </is>
      </c>
    </row>
    <row r="18354">
      <c r="A18354" t="n">
        <v>14480329</v>
      </c>
      <c r="B18354" t="n">
        <v>61897</v>
      </c>
      <c r="C18354" t="inlineStr">
        <is>
          <t>1448/03/29</t>
        </is>
      </c>
    </row>
    <row r="18355">
      <c r="A18355" t="n">
        <v>14480330</v>
      </c>
      <c r="B18355" t="n">
        <v>61898</v>
      </c>
      <c r="C18355" t="inlineStr">
        <is>
          <t>1448/03/30</t>
        </is>
      </c>
    </row>
    <row r="18356">
      <c r="A18356" t="n">
        <v>14480331</v>
      </c>
      <c r="B18356" t="n">
        <v>61899</v>
      </c>
      <c r="C18356" t="inlineStr">
        <is>
          <t>1448/03/31</t>
        </is>
      </c>
    </row>
    <row r="18357">
      <c r="A18357" t="n">
        <v>14480401</v>
      </c>
      <c r="B18357" t="n">
        <v>61900</v>
      </c>
      <c r="C18357" t="inlineStr">
        <is>
          <t>1448/04/01</t>
        </is>
      </c>
    </row>
    <row r="18358">
      <c r="A18358" t="n">
        <v>14480402</v>
      </c>
      <c r="B18358" t="n">
        <v>61901</v>
      </c>
      <c r="C18358" t="inlineStr">
        <is>
          <t>1448/04/02</t>
        </is>
      </c>
    </row>
    <row r="18359">
      <c r="A18359" t="n">
        <v>14480403</v>
      </c>
      <c r="B18359" t="n">
        <v>61902</v>
      </c>
      <c r="C18359" t="inlineStr">
        <is>
          <t>1448/04/03</t>
        </is>
      </c>
    </row>
    <row r="18360">
      <c r="A18360" t="n">
        <v>14480404</v>
      </c>
      <c r="B18360" t="n">
        <v>61903</v>
      </c>
      <c r="C18360" t="inlineStr">
        <is>
          <t>1448/04/04</t>
        </is>
      </c>
    </row>
    <row r="18361">
      <c r="A18361" t="n">
        <v>14480405</v>
      </c>
      <c r="B18361" t="n">
        <v>61904</v>
      </c>
      <c r="C18361" t="inlineStr">
        <is>
          <t>1448/04/05</t>
        </is>
      </c>
    </row>
    <row r="18362">
      <c r="A18362" t="n">
        <v>14480406</v>
      </c>
      <c r="B18362" t="n">
        <v>61905</v>
      </c>
      <c r="C18362" t="inlineStr">
        <is>
          <t>1448/04/06</t>
        </is>
      </c>
    </row>
    <row r="18363">
      <c r="A18363" t="n">
        <v>14480407</v>
      </c>
      <c r="B18363" t="n">
        <v>61906</v>
      </c>
      <c r="C18363" t="inlineStr">
        <is>
          <t>1448/04/07</t>
        </is>
      </c>
    </row>
    <row r="18364">
      <c r="A18364" t="n">
        <v>14480408</v>
      </c>
      <c r="B18364" t="n">
        <v>61907</v>
      </c>
      <c r="C18364" t="inlineStr">
        <is>
          <t>1448/04/08</t>
        </is>
      </c>
    </row>
    <row r="18365">
      <c r="A18365" t="n">
        <v>14480409</v>
      </c>
      <c r="B18365" t="n">
        <v>61908</v>
      </c>
      <c r="C18365" t="inlineStr">
        <is>
          <t>1448/04/09</t>
        </is>
      </c>
    </row>
    <row r="18366">
      <c r="A18366" t="n">
        <v>14480410</v>
      </c>
      <c r="B18366" t="n">
        <v>61909</v>
      </c>
      <c r="C18366" t="inlineStr">
        <is>
          <t>1448/04/10</t>
        </is>
      </c>
    </row>
    <row r="18367">
      <c r="A18367" t="n">
        <v>14480411</v>
      </c>
      <c r="B18367" t="n">
        <v>61910</v>
      </c>
      <c r="C18367" t="inlineStr">
        <is>
          <t>1448/04/11</t>
        </is>
      </c>
    </row>
    <row r="18368">
      <c r="A18368" t="n">
        <v>14480412</v>
      </c>
      <c r="B18368" t="n">
        <v>61911</v>
      </c>
      <c r="C18368" t="inlineStr">
        <is>
          <t>1448/04/12</t>
        </is>
      </c>
    </row>
    <row r="18369">
      <c r="A18369" t="n">
        <v>14480413</v>
      </c>
      <c r="B18369" t="n">
        <v>61912</v>
      </c>
      <c r="C18369" t="inlineStr">
        <is>
          <t>1448/04/13</t>
        </is>
      </c>
    </row>
    <row r="18370">
      <c r="A18370" t="n">
        <v>14480414</v>
      </c>
      <c r="B18370" t="n">
        <v>61913</v>
      </c>
      <c r="C18370" t="inlineStr">
        <is>
          <t>1448/04/14</t>
        </is>
      </c>
    </row>
    <row r="18371">
      <c r="A18371" t="n">
        <v>14480415</v>
      </c>
      <c r="B18371" t="n">
        <v>61914</v>
      </c>
      <c r="C18371" t="inlineStr">
        <is>
          <t>1448/04/15</t>
        </is>
      </c>
    </row>
    <row r="18372">
      <c r="A18372" t="n">
        <v>14480416</v>
      </c>
      <c r="B18372" t="n">
        <v>61915</v>
      </c>
      <c r="C18372" t="inlineStr">
        <is>
          <t>1448/04/16</t>
        </is>
      </c>
    </row>
    <row r="18373">
      <c r="A18373" t="n">
        <v>14480417</v>
      </c>
      <c r="B18373" t="n">
        <v>61916</v>
      </c>
      <c r="C18373" t="inlineStr">
        <is>
          <t>1448/04/17</t>
        </is>
      </c>
    </row>
    <row r="18374">
      <c r="A18374" t="n">
        <v>14480418</v>
      </c>
      <c r="B18374" t="n">
        <v>61917</v>
      </c>
      <c r="C18374" t="inlineStr">
        <is>
          <t>1448/04/18</t>
        </is>
      </c>
    </row>
    <row r="18375">
      <c r="A18375" t="n">
        <v>14480419</v>
      </c>
      <c r="B18375" t="n">
        <v>61918</v>
      </c>
      <c r="C18375" t="inlineStr">
        <is>
          <t>1448/04/19</t>
        </is>
      </c>
    </row>
    <row r="18376">
      <c r="A18376" t="n">
        <v>14480420</v>
      </c>
      <c r="B18376" t="n">
        <v>61919</v>
      </c>
      <c r="C18376" t="inlineStr">
        <is>
          <t>1448/04/20</t>
        </is>
      </c>
    </row>
    <row r="18377">
      <c r="A18377" t="n">
        <v>14480421</v>
      </c>
      <c r="B18377" t="n">
        <v>61920</v>
      </c>
      <c r="C18377" t="inlineStr">
        <is>
          <t>1448/04/21</t>
        </is>
      </c>
    </row>
    <row r="18378">
      <c r="A18378" t="n">
        <v>14480422</v>
      </c>
      <c r="B18378" t="n">
        <v>61921</v>
      </c>
      <c r="C18378" t="inlineStr">
        <is>
          <t>1448/04/22</t>
        </is>
      </c>
    </row>
    <row r="18379">
      <c r="A18379" t="n">
        <v>14480423</v>
      </c>
      <c r="B18379" t="n">
        <v>61922</v>
      </c>
      <c r="C18379" t="inlineStr">
        <is>
          <t>1448/04/23</t>
        </is>
      </c>
    </row>
    <row r="18380">
      <c r="A18380" t="n">
        <v>14480424</v>
      </c>
      <c r="B18380" t="n">
        <v>61923</v>
      </c>
      <c r="C18380" t="inlineStr">
        <is>
          <t>1448/04/24</t>
        </is>
      </c>
    </row>
    <row r="18381">
      <c r="A18381" t="n">
        <v>14480425</v>
      </c>
      <c r="B18381" t="n">
        <v>61924</v>
      </c>
      <c r="C18381" t="inlineStr">
        <is>
          <t>1448/04/25</t>
        </is>
      </c>
    </row>
    <row r="18382">
      <c r="A18382" t="n">
        <v>14480426</v>
      </c>
      <c r="B18382" t="n">
        <v>61925</v>
      </c>
      <c r="C18382" t="inlineStr">
        <is>
          <t>1448/04/26</t>
        </is>
      </c>
    </row>
    <row r="18383">
      <c r="A18383" t="n">
        <v>14480427</v>
      </c>
      <c r="B18383" t="n">
        <v>61926</v>
      </c>
      <c r="C18383" t="inlineStr">
        <is>
          <t>1448/04/27</t>
        </is>
      </c>
    </row>
    <row r="18384">
      <c r="A18384" t="n">
        <v>14480428</v>
      </c>
      <c r="B18384" t="n">
        <v>61927</v>
      </c>
      <c r="C18384" t="inlineStr">
        <is>
          <t>1448/04/28</t>
        </is>
      </c>
    </row>
    <row r="18385">
      <c r="A18385" t="n">
        <v>14480429</v>
      </c>
      <c r="B18385" t="n">
        <v>61928</v>
      </c>
      <c r="C18385" t="inlineStr">
        <is>
          <t>1448/04/29</t>
        </is>
      </c>
    </row>
    <row r="18386">
      <c r="A18386" t="n">
        <v>14480430</v>
      </c>
      <c r="B18386" t="n">
        <v>61929</v>
      </c>
      <c r="C18386" t="inlineStr">
        <is>
          <t>1448/04/30</t>
        </is>
      </c>
    </row>
    <row r="18387">
      <c r="A18387" t="n">
        <v>14480431</v>
      </c>
      <c r="B18387" t="n">
        <v>61930</v>
      </c>
      <c r="C18387" t="inlineStr">
        <is>
          <t>1448/04/31</t>
        </is>
      </c>
    </row>
    <row r="18388">
      <c r="A18388" t="n">
        <v>14480501</v>
      </c>
      <c r="B18388" t="n">
        <v>61931</v>
      </c>
      <c r="C18388" t="inlineStr">
        <is>
          <t>1448/05/01</t>
        </is>
      </c>
    </row>
    <row r="18389">
      <c r="A18389" t="n">
        <v>14480502</v>
      </c>
      <c r="B18389" t="n">
        <v>61932</v>
      </c>
      <c r="C18389" t="inlineStr">
        <is>
          <t>1448/05/02</t>
        </is>
      </c>
    </row>
    <row r="18390">
      <c r="A18390" t="n">
        <v>14480503</v>
      </c>
      <c r="B18390" t="n">
        <v>61933</v>
      </c>
      <c r="C18390" t="inlineStr">
        <is>
          <t>1448/05/03</t>
        </is>
      </c>
    </row>
    <row r="18391">
      <c r="A18391" t="n">
        <v>14480504</v>
      </c>
      <c r="B18391" t="n">
        <v>61934</v>
      </c>
      <c r="C18391" t="inlineStr">
        <is>
          <t>1448/05/04</t>
        </is>
      </c>
    </row>
    <row r="18392">
      <c r="A18392" t="n">
        <v>14480505</v>
      </c>
      <c r="B18392" t="n">
        <v>61935</v>
      </c>
      <c r="C18392" t="inlineStr">
        <is>
          <t>1448/05/05</t>
        </is>
      </c>
    </row>
    <row r="18393">
      <c r="A18393" t="n">
        <v>14480506</v>
      </c>
      <c r="B18393" t="n">
        <v>61936</v>
      </c>
      <c r="C18393" t="inlineStr">
        <is>
          <t>1448/05/06</t>
        </is>
      </c>
    </row>
    <row r="18394">
      <c r="A18394" t="n">
        <v>14480507</v>
      </c>
      <c r="B18394" t="n">
        <v>61937</v>
      </c>
      <c r="C18394" t="inlineStr">
        <is>
          <t>1448/05/07</t>
        </is>
      </c>
    </row>
    <row r="18395">
      <c r="A18395" t="n">
        <v>14480508</v>
      </c>
      <c r="B18395" t="n">
        <v>61938</v>
      </c>
      <c r="C18395" t="inlineStr">
        <is>
          <t>1448/05/08</t>
        </is>
      </c>
    </row>
    <row r="18396">
      <c r="A18396" t="n">
        <v>14480509</v>
      </c>
      <c r="B18396" t="n">
        <v>61939</v>
      </c>
      <c r="C18396" t="inlineStr">
        <is>
          <t>1448/05/09</t>
        </is>
      </c>
    </row>
    <row r="18397">
      <c r="A18397" t="n">
        <v>14480510</v>
      </c>
      <c r="B18397" t="n">
        <v>61940</v>
      </c>
      <c r="C18397" t="inlineStr">
        <is>
          <t>1448/05/10</t>
        </is>
      </c>
    </row>
    <row r="18398">
      <c r="A18398" t="n">
        <v>14480511</v>
      </c>
      <c r="B18398" t="n">
        <v>61941</v>
      </c>
      <c r="C18398" t="inlineStr">
        <is>
          <t>1448/05/11</t>
        </is>
      </c>
    </row>
    <row r="18399">
      <c r="A18399" t="n">
        <v>14480512</v>
      </c>
      <c r="B18399" t="n">
        <v>61942</v>
      </c>
      <c r="C18399" t="inlineStr">
        <is>
          <t>1448/05/12</t>
        </is>
      </c>
    </row>
    <row r="18400">
      <c r="A18400" t="n">
        <v>14480513</v>
      </c>
      <c r="B18400" t="n">
        <v>61943</v>
      </c>
      <c r="C18400" t="inlineStr">
        <is>
          <t>1448/05/13</t>
        </is>
      </c>
    </row>
    <row r="18401">
      <c r="A18401" t="n">
        <v>14480514</v>
      </c>
      <c r="B18401" t="n">
        <v>61944</v>
      </c>
      <c r="C18401" t="inlineStr">
        <is>
          <t>1448/05/14</t>
        </is>
      </c>
    </row>
    <row r="18402">
      <c r="A18402" t="n">
        <v>14480515</v>
      </c>
      <c r="B18402" t="n">
        <v>61945</v>
      </c>
      <c r="C18402" t="inlineStr">
        <is>
          <t>1448/05/15</t>
        </is>
      </c>
    </row>
    <row r="18403">
      <c r="A18403" t="n">
        <v>14480516</v>
      </c>
      <c r="B18403" t="n">
        <v>61946</v>
      </c>
      <c r="C18403" t="inlineStr">
        <is>
          <t>1448/05/16</t>
        </is>
      </c>
    </row>
    <row r="18404">
      <c r="A18404" t="n">
        <v>14480517</v>
      </c>
      <c r="B18404" t="n">
        <v>61947</v>
      </c>
      <c r="C18404" t="inlineStr">
        <is>
          <t>1448/05/17</t>
        </is>
      </c>
    </row>
    <row r="18405">
      <c r="A18405" t="n">
        <v>14480518</v>
      </c>
      <c r="B18405" t="n">
        <v>61948</v>
      </c>
      <c r="C18405" t="inlineStr">
        <is>
          <t>1448/05/18</t>
        </is>
      </c>
    </row>
    <row r="18406">
      <c r="A18406" t="n">
        <v>14480519</v>
      </c>
      <c r="B18406" t="n">
        <v>61949</v>
      </c>
      <c r="C18406" t="inlineStr">
        <is>
          <t>1448/05/19</t>
        </is>
      </c>
    </row>
    <row r="18407">
      <c r="A18407" t="n">
        <v>14480520</v>
      </c>
      <c r="B18407" t="n">
        <v>61950</v>
      </c>
      <c r="C18407" t="inlineStr">
        <is>
          <t>1448/05/20</t>
        </is>
      </c>
    </row>
    <row r="18408">
      <c r="A18408" t="n">
        <v>14480521</v>
      </c>
      <c r="B18408" t="n">
        <v>61951</v>
      </c>
      <c r="C18408" t="inlineStr">
        <is>
          <t>1448/05/21</t>
        </is>
      </c>
    </row>
    <row r="18409">
      <c r="A18409" t="n">
        <v>14480522</v>
      </c>
      <c r="B18409" t="n">
        <v>61952</v>
      </c>
      <c r="C18409" t="inlineStr">
        <is>
          <t>1448/05/22</t>
        </is>
      </c>
    </row>
    <row r="18410">
      <c r="A18410" t="n">
        <v>14480523</v>
      </c>
      <c r="B18410" t="n">
        <v>61953</v>
      </c>
      <c r="C18410" t="inlineStr">
        <is>
          <t>1448/05/23</t>
        </is>
      </c>
    </row>
    <row r="18411">
      <c r="A18411" t="n">
        <v>14480524</v>
      </c>
      <c r="B18411" t="n">
        <v>61954</v>
      </c>
      <c r="C18411" t="inlineStr">
        <is>
          <t>1448/05/24</t>
        </is>
      </c>
    </row>
    <row r="18412">
      <c r="A18412" t="n">
        <v>14480525</v>
      </c>
      <c r="B18412" t="n">
        <v>61955</v>
      </c>
      <c r="C18412" t="inlineStr">
        <is>
          <t>1448/05/25</t>
        </is>
      </c>
    </row>
    <row r="18413">
      <c r="A18413" t="n">
        <v>14480526</v>
      </c>
      <c r="B18413" t="n">
        <v>61956</v>
      </c>
      <c r="C18413" t="inlineStr">
        <is>
          <t>1448/05/26</t>
        </is>
      </c>
    </row>
    <row r="18414">
      <c r="A18414" t="n">
        <v>14480527</v>
      </c>
      <c r="B18414" t="n">
        <v>61957</v>
      </c>
      <c r="C18414" t="inlineStr">
        <is>
          <t>1448/05/27</t>
        </is>
      </c>
    </row>
    <row r="18415">
      <c r="A18415" t="n">
        <v>14480528</v>
      </c>
      <c r="B18415" t="n">
        <v>61958</v>
      </c>
      <c r="C18415" t="inlineStr">
        <is>
          <t>1448/05/28</t>
        </is>
      </c>
    </row>
    <row r="18416">
      <c r="A18416" t="n">
        <v>14480529</v>
      </c>
      <c r="B18416" t="n">
        <v>61959</v>
      </c>
      <c r="C18416" t="inlineStr">
        <is>
          <t>1448/05/29</t>
        </is>
      </c>
    </row>
    <row r="18417">
      <c r="A18417" t="n">
        <v>14480530</v>
      </c>
      <c r="B18417" t="n">
        <v>61960</v>
      </c>
      <c r="C18417" t="inlineStr">
        <is>
          <t>1448/05/30</t>
        </is>
      </c>
    </row>
    <row r="18418">
      <c r="A18418" t="n">
        <v>14480531</v>
      </c>
      <c r="B18418" t="n">
        <v>61961</v>
      </c>
      <c r="C18418" t="inlineStr">
        <is>
          <t>1448/05/31</t>
        </is>
      </c>
    </row>
    <row r="18419">
      <c r="A18419" t="n">
        <v>14480601</v>
      </c>
      <c r="B18419" t="n">
        <v>61962</v>
      </c>
      <c r="C18419" t="inlineStr">
        <is>
          <t>1448/06/01</t>
        </is>
      </c>
    </row>
    <row r="18420">
      <c r="A18420" t="n">
        <v>14480602</v>
      </c>
      <c r="B18420" t="n">
        <v>61963</v>
      </c>
      <c r="C18420" t="inlineStr">
        <is>
          <t>1448/06/02</t>
        </is>
      </c>
    </row>
    <row r="18421">
      <c r="A18421" t="n">
        <v>14480603</v>
      </c>
      <c r="B18421" t="n">
        <v>61964</v>
      </c>
      <c r="C18421" t="inlineStr">
        <is>
          <t>1448/06/03</t>
        </is>
      </c>
    </row>
    <row r="18422">
      <c r="A18422" t="n">
        <v>14480604</v>
      </c>
      <c r="B18422" t="n">
        <v>61965</v>
      </c>
      <c r="C18422" t="inlineStr">
        <is>
          <t>1448/06/04</t>
        </is>
      </c>
    </row>
    <row r="18423">
      <c r="A18423" t="n">
        <v>14480605</v>
      </c>
      <c r="B18423" t="n">
        <v>61966</v>
      </c>
      <c r="C18423" t="inlineStr">
        <is>
          <t>1448/06/05</t>
        </is>
      </c>
    </row>
    <row r="18424">
      <c r="A18424" t="n">
        <v>14480606</v>
      </c>
      <c r="B18424" t="n">
        <v>61967</v>
      </c>
      <c r="C18424" t="inlineStr">
        <is>
          <t>1448/06/06</t>
        </is>
      </c>
    </row>
    <row r="18425">
      <c r="A18425" t="n">
        <v>14480607</v>
      </c>
      <c r="B18425" t="n">
        <v>61968</v>
      </c>
      <c r="C18425" t="inlineStr">
        <is>
          <t>1448/06/07</t>
        </is>
      </c>
    </row>
    <row r="18426">
      <c r="A18426" t="n">
        <v>14480608</v>
      </c>
      <c r="B18426" t="n">
        <v>61969</v>
      </c>
      <c r="C18426" t="inlineStr">
        <is>
          <t>1448/06/08</t>
        </is>
      </c>
    </row>
    <row r="18427">
      <c r="A18427" t="n">
        <v>14480609</v>
      </c>
      <c r="B18427" t="n">
        <v>61970</v>
      </c>
      <c r="C18427" t="inlineStr">
        <is>
          <t>1448/06/09</t>
        </is>
      </c>
    </row>
    <row r="18428">
      <c r="A18428" t="n">
        <v>14480610</v>
      </c>
      <c r="B18428" t="n">
        <v>61971</v>
      </c>
      <c r="C18428" t="inlineStr">
        <is>
          <t>1448/06/10</t>
        </is>
      </c>
    </row>
    <row r="18429">
      <c r="A18429" t="n">
        <v>14480611</v>
      </c>
      <c r="B18429" t="n">
        <v>61972</v>
      </c>
      <c r="C18429" t="inlineStr">
        <is>
          <t>1448/06/11</t>
        </is>
      </c>
    </row>
    <row r="18430">
      <c r="A18430" t="n">
        <v>14480612</v>
      </c>
      <c r="B18430" t="n">
        <v>61973</v>
      </c>
      <c r="C18430" t="inlineStr">
        <is>
          <t>1448/06/12</t>
        </is>
      </c>
    </row>
    <row r="18431">
      <c r="A18431" t="n">
        <v>14480613</v>
      </c>
      <c r="B18431" t="n">
        <v>61974</v>
      </c>
      <c r="C18431" t="inlineStr">
        <is>
          <t>1448/06/13</t>
        </is>
      </c>
    </row>
    <row r="18432">
      <c r="A18432" t="n">
        <v>14480614</v>
      </c>
      <c r="B18432" t="n">
        <v>61975</v>
      </c>
      <c r="C18432" t="inlineStr">
        <is>
          <t>1448/06/14</t>
        </is>
      </c>
    </row>
    <row r="18433">
      <c r="A18433" t="n">
        <v>14480615</v>
      </c>
      <c r="B18433" t="n">
        <v>61976</v>
      </c>
      <c r="C18433" t="inlineStr">
        <is>
          <t>1448/06/15</t>
        </is>
      </c>
    </row>
    <row r="18434">
      <c r="A18434" t="n">
        <v>14480616</v>
      </c>
      <c r="B18434" t="n">
        <v>61977</v>
      </c>
      <c r="C18434" t="inlineStr">
        <is>
          <t>1448/06/16</t>
        </is>
      </c>
    </row>
    <row r="18435">
      <c r="A18435" t="n">
        <v>14480617</v>
      </c>
      <c r="B18435" t="n">
        <v>61978</v>
      </c>
      <c r="C18435" t="inlineStr">
        <is>
          <t>1448/06/17</t>
        </is>
      </c>
    </row>
    <row r="18436">
      <c r="A18436" t="n">
        <v>14480618</v>
      </c>
      <c r="B18436" t="n">
        <v>61979</v>
      </c>
      <c r="C18436" t="inlineStr">
        <is>
          <t>1448/06/18</t>
        </is>
      </c>
    </row>
    <row r="18437">
      <c r="A18437" t="n">
        <v>14480619</v>
      </c>
      <c r="B18437" t="n">
        <v>61980</v>
      </c>
      <c r="C18437" t="inlineStr">
        <is>
          <t>1448/06/19</t>
        </is>
      </c>
    </row>
    <row r="18438">
      <c r="A18438" t="n">
        <v>14480620</v>
      </c>
      <c r="B18438" t="n">
        <v>61981</v>
      </c>
      <c r="C18438" t="inlineStr">
        <is>
          <t>1448/06/20</t>
        </is>
      </c>
    </row>
    <row r="18439">
      <c r="A18439" t="n">
        <v>14480621</v>
      </c>
      <c r="B18439" t="n">
        <v>61982</v>
      </c>
      <c r="C18439" t="inlineStr">
        <is>
          <t>1448/06/21</t>
        </is>
      </c>
    </row>
    <row r="18440">
      <c r="A18440" t="n">
        <v>14480622</v>
      </c>
      <c r="B18440" t="n">
        <v>61983</v>
      </c>
      <c r="C18440" t="inlineStr">
        <is>
          <t>1448/06/22</t>
        </is>
      </c>
    </row>
    <row r="18441">
      <c r="A18441" t="n">
        <v>14480623</v>
      </c>
      <c r="B18441" t="n">
        <v>61984</v>
      </c>
      <c r="C18441" t="inlineStr">
        <is>
          <t>1448/06/23</t>
        </is>
      </c>
    </row>
    <row r="18442">
      <c r="A18442" t="n">
        <v>14480624</v>
      </c>
      <c r="B18442" t="n">
        <v>61985</v>
      </c>
      <c r="C18442" t="inlineStr">
        <is>
          <t>1448/06/24</t>
        </is>
      </c>
    </row>
    <row r="18443">
      <c r="A18443" t="n">
        <v>14480625</v>
      </c>
      <c r="B18443" t="n">
        <v>61986</v>
      </c>
      <c r="C18443" t="inlineStr">
        <is>
          <t>1448/06/25</t>
        </is>
      </c>
    </row>
    <row r="18444">
      <c r="A18444" t="n">
        <v>14480626</v>
      </c>
      <c r="B18444" t="n">
        <v>61987</v>
      </c>
      <c r="C18444" t="inlineStr">
        <is>
          <t>1448/06/26</t>
        </is>
      </c>
    </row>
    <row r="18445">
      <c r="A18445" t="n">
        <v>14480627</v>
      </c>
      <c r="B18445" t="n">
        <v>61988</v>
      </c>
      <c r="C18445" t="inlineStr">
        <is>
          <t>1448/06/27</t>
        </is>
      </c>
    </row>
    <row r="18446">
      <c r="A18446" t="n">
        <v>14480628</v>
      </c>
      <c r="B18446" t="n">
        <v>61989</v>
      </c>
      <c r="C18446" t="inlineStr">
        <is>
          <t>1448/06/28</t>
        </is>
      </c>
    </row>
    <row r="18447">
      <c r="A18447" t="n">
        <v>14480629</v>
      </c>
      <c r="B18447" t="n">
        <v>61990</v>
      </c>
      <c r="C18447" t="inlineStr">
        <is>
          <t>1448/06/29</t>
        </is>
      </c>
    </row>
    <row r="18448">
      <c r="A18448" t="n">
        <v>14480630</v>
      </c>
      <c r="B18448" t="n">
        <v>61991</v>
      </c>
      <c r="C18448" t="inlineStr">
        <is>
          <t>1448/06/30</t>
        </is>
      </c>
    </row>
    <row r="18449">
      <c r="A18449" t="n">
        <v>14480631</v>
      </c>
      <c r="B18449" t="n">
        <v>61992</v>
      </c>
      <c r="C18449" t="inlineStr">
        <is>
          <t>1448/06/31</t>
        </is>
      </c>
    </row>
    <row r="18450">
      <c r="A18450" t="n">
        <v>14480701</v>
      </c>
      <c r="B18450" t="n">
        <v>61993</v>
      </c>
      <c r="C18450" t="inlineStr">
        <is>
          <t>1448/07/01</t>
        </is>
      </c>
    </row>
    <row r="18451">
      <c r="A18451" t="n">
        <v>14480702</v>
      </c>
      <c r="B18451" t="n">
        <v>61994</v>
      </c>
      <c r="C18451" t="inlineStr">
        <is>
          <t>1448/07/02</t>
        </is>
      </c>
    </row>
    <row r="18452">
      <c r="A18452" t="n">
        <v>14480703</v>
      </c>
      <c r="B18452" t="n">
        <v>61995</v>
      </c>
      <c r="C18452" t="inlineStr">
        <is>
          <t>1448/07/03</t>
        </is>
      </c>
    </row>
    <row r="18453">
      <c r="A18453" t="n">
        <v>14480704</v>
      </c>
      <c r="B18453" t="n">
        <v>61996</v>
      </c>
      <c r="C18453" t="inlineStr">
        <is>
          <t>1448/07/04</t>
        </is>
      </c>
    </row>
    <row r="18454">
      <c r="A18454" t="n">
        <v>14480705</v>
      </c>
      <c r="B18454" t="n">
        <v>61997</v>
      </c>
      <c r="C18454" t="inlineStr">
        <is>
          <t>1448/07/05</t>
        </is>
      </c>
    </row>
    <row r="18455">
      <c r="A18455" t="n">
        <v>14480706</v>
      </c>
      <c r="B18455" t="n">
        <v>61998</v>
      </c>
      <c r="C18455" t="inlineStr">
        <is>
          <t>1448/07/06</t>
        </is>
      </c>
    </row>
    <row r="18456">
      <c r="A18456" t="n">
        <v>14480707</v>
      </c>
      <c r="B18456" t="n">
        <v>61999</v>
      </c>
      <c r="C18456" t="inlineStr">
        <is>
          <t>1448/07/07</t>
        </is>
      </c>
    </row>
    <row r="18457">
      <c r="A18457" t="n">
        <v>14480708</v>
      </c>
      <c r="B18457" t="n">
        <v>62000</v>
      </c>
      <c r="C18457" t="inlineStr">
        <is>
          <t>1448/07/08</t>
        </is>
      </c>
    </row>
    <row r="18458">
      <c r="A18458" t="n">
        <v>14480709</v>
      </c>
      <c r="B18458" t="n">
        <v>62001</v>
      </c>
      <c r="C18458" t="inlineStr">
        <is>
          <t>1448/07/09</t>
        </is>
      </c>
    </row>
    <row r="18459">
      <c r="A18459" t="n">
        <v>14480710</v>
      </c>
      <c r="B18459" t="n">
        <v>62002</v>
      </c>
      <c r="C18459" t="inlineStr">
        <is>
          <t>1448/07/10</t>
        </is>
      </c>
    </row>
    <row r="18460">
      <c r="A18460" t="n">
        <v>14480711</v>
      </c>
      <c r="B18460" t="n">
        <v>62003</v>
      </c>
      <c r="C18460" t="inlineStr">
        <is>
          <t>1448/07/11</t>
        </is>
      </c>
    </row>
    <row r="18461">
      <c r="A18461" t="n">
        <v>14480712</v>
      </c>
      <c r="B18461" t="n">
        <v>62004</v>
      </c>
      <c r="C18461" t="inlineStr">
        <is>
          <t>1448/07/12</t>
        </is>
      </c>
    </row>
    <row r="18462">
      <c r="A18462" t="n">
        <v>14480713</v>
      </c>
      <c r="B18462" t="n">
        <v>62005</v>
      </c>
      <c r="C18462" t="inlineStr">
        <is>
          <t>1448/07/13</t>
        </is>
      </c>
    </row>
    <row r="18463">
      <c r="A18463" t="n">
        <v>14480714</v>
      </c>
      <c r="B18463" t="n">
        <v>62006</v>
      </c>
      <c r="C18463" t="inlineStr">
        <is>
          <t>1448/07/14</t>
        </is>
      </c>
    </row>
    <row r="18464">
      <c r="A18464" t="n">
        <v>14480715</v>
      </c>
      <c r="B18464" t="n">
        <v>62007</v>
      </c>
      <c r="C18464" t="inlineStr">
        <is>
          <t>1448/07/15</t>
        </is>
      </c>
    </row>
    <row r="18465">
      <c r="A18465" t="n">
        <v>14480716</v>
      </c>
      <c r="B18465" t="n">
        <v>62008</v>
      </c>
      <c r="C18465" t="inlineStr">
        <is>
          <t>1448/07/16</t>
        </is>
      </c>
    </row>
    <row r="18466">
      <c r="A18466" t="n">
        <v>14480717</v>
      </c>
      <c r="B18466" t="n">
        <v>62009</v>
      </c>
      <c r="C18466" t="inlineStr">
        <is>
          <t>1448/07/17</t>
        </is>
      </c>
    </row>
    <row r="18467">
      <c r="A18467" t="n">
        <v>14480718</v>
      </c>
      <c r="B18467" t="n">
        <v>62010</v>
      </c>
      <c r="C18467" t="inlineStr">
        <is>
          <t>1448/07/18</t>
        </is>
      </c>
    </row>
    <row r="18468">
      <c r="A18468" t="n">
        <v>14480719</v>
      </c>
      <c r="B18468" t="n">
        <v>62011</v>
      </c>
      <c r="C18468" t="inlineStr">
        <is>
          <t>1448/07/19</t>
        </is>
      </c>
    </row>
    <row r="18469">
      <c r="A18469" t="n">
        <v>14480720</v>
      </c>
      <c r="B18469" t="n">
        <v>62012</v>
      </c>
      <c r="C18469" t="inlineStr">
        <is>
          <t>1448/07/20</t>
        </is>
      </c>
    </row>
    <row r="18470">
      <c r="A18470" t="n">
        <v>14480721</v>
      </c>
      <c r="B18470" t="n">
        <v>62013</v>
      </c>
      <c r="C18470" t="inlineStr">
        <is>
          <t>1448/07/21</t>
        </is>
      </c>
    </row>
    <row r="18471">
      <c r="A18471" t="n">
        <v>14480722</v>
      </c>
      <c r="B18471" t="n">
        <v>62014</v>
      </c>
      <c r="C18471" t="inlineStr">
        <is>
          <t>1448/07/22</t>
        </is>
      </c>
    </row>
    <row r="18472">
      <c r="A18472" t="n">
        <v>14480723</v>
      </c>
      <c r="B18472" t="n">
        <v>62015</v>
      </c>
      <c r="C18472" t="inlineStr">
        <is>
          <t>1448/07/23</t>
        </is>
      </c>
    </row>
    <row r="18473">
      <c r="A18473" t="n">
        <v>14480724</v>
      </c>
      <c r="B18473" t="n">
        <v>62016</v>
      </c>
      <c r="C18473" t="inlineStr">
        <is>
          <t>1448/07/24</t>
        </is>
      </c>
    </row>
    <row r="18474">
      <c r="A18474" t="n">
        <v>14480725</v>
      </c>
      <c r="B18474" t="n">
        <v>62017</v>
      </c>
      <c r="C18474" t="inlineStr">
        <is>
          <t>1448/07/25</t>
        </is>
      </c>
    </row>
    <row r="18475">
      <c r="A18475" t="n">
        <v>14480726</v>
      </c>
      <c r="B18475" t="n">
        <v>62018</v>
      </c>
      <c r="C18475" t="inlineStr">
        <is>
          <t>1448/07/26</t>
        </is>
      </c>
    </row>
    <row r="18476">
      <c r="A18476" t="n">
        <v>14480727</v>
      </c>
      <c r="B18476" t="n">
        <v>62019</v>
      </c>
      <c r="C18476" t="inlineStr">
        <is>
          <t>1448/07/27</t>
        </is>
      </c>
    </row>
    <row r="18477">
      <c r="A18477" t="n">
        <v>14480728</v>
      </c>
      <c r="B18477" t="n">
        <v>62020</v>
      </c>
      <c r="C18477" t="inlineStr">
        <is>
          <t>1448/07/28</t>
        </is>
      </c>
    </row>
    <row r="18478">
      <c r="A18478" t="n">
        <v>14480729</v>
      </c>
      <c r="B18478" t="n">
        <v>62021</v>
      </c>
      <c r="C18478" t="inlineStr">
        <is>
          <t>1448/07/29</t>
        </is>
      </c>
    </row>
    <row r="18479">
      <c r="A18479" t="n">
        <v>14480730</v>
      </c>
      <c r="B18479" t="n">
        <v>62022</v>
      </c>
      <c r="C18479" t="inlineStr">
        <is>
          <t>1448/07/30</t>
        </is>
      </c>
    </row>
    <row r="18480">
      <c r="A18480" t="n">
        <v>14480801</v>
      </c>
      <c r="B18480" t="n">
        <v>62023</v>
      </c>
      <c r="C18480" t="inlineStr">
        <is>
          <t>1448/08/01</t>
        </is>
      </c>
    </row>
    <row r="18481">
      <c r="A18481" t="n">
        <v>14480802</v>
      </c>
      <c r="B18481" t="n">
        <v>62024</v>
      </c>
      <c r="C18481" t="inlineStr">
        <is>
          <t>1448/08/02</t>
        </is>
      </c>
    </row>
    <row r="18482">
      <c r="A18482" t="n">
        <v>14480803</v>
      </c>
      <c r="B18482" t="n">
        <v>62025</v>
      </c>
      <c r="C18482" t="inlineStr">
        <is>
          <t>1448/08/03</t>
        </is>
      </c>
    </row>
    <row r="18483">
      <c r="A18483" t="n">
        <v>14480804</v>
      </c>
      <c r="B18483" t="n">
        <v>62026</v>
      </c>
      <c r="C18483" t="inlineStr">
        <is>
          <t>1448/08/04</t>
        </is>
      </c>
    </row>
    <row r="18484">
      <c r="A18484" t="n">
        <v>14480805</v>
      </c>
      <c r="B18484" t="n">
        <v>62027</v>
      </c>
      <c r="C18484" t="inlineStr">
        <is>
          <t>1448/08/05</t>
        </is>
      </c>
    </row>
    <row r="18485">
      <c r="A18485" t="n">
        <v>14480806</v>
      </c>
      <c r="B18485" t="n">
        <v>62028</v>
      </c>
      <c r="C18485" t="inlineStr">
        <is>
          <t>1448/08/06</t>
        </is>
      </c>
    </row>
    <row r="18486">
      <c r="A18486" t="n">
        <v>14480807</v>
      </c>
      <c r="B18486" t="n">
        <v>62029</v>
      </c>
      <c r="C18486" t="inlineStr">
        <is>
          <t>1448/08/07</t>
        </is>
      </c>
    </row>
    <row r="18487">
      <c r="A18487" t="n">
        <v>14480808</v>
      </c>
      <c r="B18487" t="n">
        <v>62030</v>
      </c>
      <c r="C18487" t="inlineStr">
        <is>
          <t>1448/08/08</t>
        </is>
      </c>
    </row>
    <row r="18488">
      <c r="A18488" t="n">
        <v>14480809</v>
      </c>
      <c r="B18488" t="n">
        <v>62031</v>
      </c>
      <c r="C18488" t="inlineStr">
        <is>
          <t>1448/08/09</t>
        </is>
      </c>
    </row>
    <row r="18489">
      <c r="A18489" t="n">
        <v>14480810</v>
      </c>
      <c r="B18489" t="n">
        <v>62032</v>
      </c>
      <c r="C18489" t="inlineStr">
        <is>
          <t>1448/08/10</t>
        </is>
      </c>
    </row>
    <row r="18490">
      <c r="A18490" t="n">
        <v>14480811</v>
      </c>
      <c r="B18490" t="n">
        <v>62033</v>
      </c>
      <c r="C18490" t="inlineStr">
        <is>
          <t>1448/08/11</t>
        </is>
      </c>
    </row>
    <row r="18491">
      <c r="A18491" t="n">
        <v>14480812</v>
      </c>
      <c r="B18491" t="n">
        <v>62034</v>
      </c>
      <c r="C18491" t="inlineStr">
        <is>
          <t>1448/08/12</t>
        </is>
      </c>
    </row>
    <row r="18492">
      <c r="A18492" t="n">
        <v>14480813</v>
      </c>
      <c r="B18492" t="n">
        <v>62035</v>
      </c>
      <c r="C18492" t="inlineStr">
        <is>
          <t>1448/08/13</t>
        </is>
      </c>
    </row>
    <row r="18493">
      <c r="A18493" t="n">
        <v>14480814</v>
      </c>
      <c r="B18493" t="n">
        <v>62036</v>
      </c>
      <c r="C18493" t="inlineStr">
        <is>
          <t>1448/08/14</t>
        </is>
      </c>
    </row>
    <row r="18494">
      <c r="A18494" t="n">
        <v>14480815</v>
      </c>
      <c r="B18494" t="n">
        <v>62037</v>
      </c>
      <c r="C18494" t="inlineStr">
        <is>
          <t>1448/08/15</t>
        </is>
      </c>
    </row>
    <row r="18495">
      <c r="A18495" t="n">
        <v>14480816</v>
      </c>
      <c r="B18495" t="n">
        <v>62038</v>
      </c>
      <c r="C18495" t="inlineStr">
        <is>
          <t>1448/08/16</t>
        </is>
      </c>
    </row>
    <row r="18496">
      <c r="A18496" t="n">
        <v>14480817</v>
      </c>
      <c r="B18496" t="n">
        <v>62039</v>
      </c>
      <c r="C18496" t="inlineStr">
        <is>
          <t>1448/08/17</t>
        </is>
      </c>
    </row>
    <row r="18497">
      <c r="A18497" t="n">
        <v>14480818</v>
      </c>
      <c r="B18497" t="n">
        <v>62040</v>
      </c>
      <c r="C18497" t="inlineStr">
        <is>
          <t>1448/08/18</t>
        </is>
      </c>
    </row>
    <row r="18498">
      <c r="A18498" t="n">
        <v>14480819</v>
      </c>
      <c r="B18498" t="n">
        <v>62041</v>
      </c>
      <c r="C18498" t="inlineStr">
        <is>
          <t>1448/08/19</t>
        </is>
      </c>
    </row>
    <row r="18499">
      <c r="A18499" t="n">
        <v>14480820</v>
      </c>
      <c r="B18499" t="n">
        <v>62042</v>
      </c>
      <c r="C18499" t="inlineStr">
        <is>
          <t>1448/08/20</t>
        </is>
      </c>
    </row>
    <row r="18500">
      <c r="A18500" t="n">
        <v>14480821</v>
      </c>
      <c r="B18500" t="n">
        <v>62043</v>
      </c>
      <c r="C18500" t="inlineStr">
        <is>
          <t>1448/08/21</t>
        </is>
      </c>
    </row>
    <row r="18501">
      <c r="A18501" t="n">
        <v>14480822</v>
      </c>
      <c r="B18501" t="n">
        <v>62044</v>
      </c>
      <c r="C18501" t="inlineStr">
        <is>
          <t>1448/08/22</t>
        </is>
      </c>
    </row>
    <row r="18502">
      <c r="A18502" t="n">
        <v>14480823</v>
      </c>
      <c r="B18502" t="n">
        <v>62045</v>
      </c>
      <c r="C18502" t="inlineStr">
        <is>
          <t>1448/08/23</t>
        </is>
      </c>
    </row>
    <row r="18503">
      <c r="A18503" t="n">
        <v>14480824</v>
      </c>
      <c r="B18503" t="n">
        <v>62046</v>
      </c>
      <c r="C18503" t="inlineStr">
        <is>
          <t>1448/08/24</t>
        </is>
      </c>
    </row>
    <row r="18504">
      <c r="A18504" t="n">
        <v>14480825</v>
      </c>
      <c r="B18504" t="n">
        <v>62047</v>
      </c>
      <c r="C18504" t="inlineStr">
        <is>
          <t>1448/08/25</t>
        </is>
      </c>
    </row>
    <row r="18505">
      <c r="A18505" t="n">
        <v>14480826</v>
      </c>
      <c r="B18505" t="n">
        <v>62048</v>
      </c>
      <c r="C18505" t="inlineStr">
        <is>
          <t>1448/08/26</t>
        </is>
      </c>
    </row>
    <row r="18506">
      <c r="A18506" t="n">
        <v>14480827</v>
      </c>
      <c r="B18506" t="n">
        <v>62049</v>
      </c>
      <c r="C18506" t="inlineStr">
        <is>
          <t>1448/08/27</t>
        </is>
      </c>
    </row>
    <row r="18507">
      <c r="A18507" t="n">
        <v>14480828</v>
      </c>
      <c r="B18507" t="n">
        <v>62050</v>
      </c>
      <c r="C18507" t="inlineStr">
        <is>
          <t>1448/08/28</t>
        </is>
      </c>
    </row>
    <row r="18508">
      <c r="A18508" t="n">
        <v>14480829</v>
      </c>
      <c r="B18508" t="n">
        <v>62051</v>
      </c>
      <c r="C18508" t="inlineStr">
        <is>
          <t>1448/08/29</t>
        </is>
      </c>
    </row>
    <row r="18509">
      <c r="A18509" t="n">
        <v>14480830</v>
      </c>
      <c r="B18509" t="n">
        <v>62052</v>
      </c>
      <c r="C18509" t="inlineStr">
        <is>
          <t>1448/08/30</t>
        </is>
      </c>
    </row>
    <row r="18510">
      <c r="A18510" t="n">
        <v>14480901</v>
      </c>
      <c r="B18510" t="n">
        <v>62053</v>
      </c>
      <c r="C18510" t="inlineStr">
        <is>
          <t>1448/09/01</t>
        </is>
      </c>
    </row>
    <row r="18511">
      <c r="A18511" t="n">
        <v>14480902</v>
      </c>
      <c r="B18511" t="n">
        <v>62054</v>
      </c>
      <c r="C18511" t="inlineStr">
        <is>
          <t>1448/09/02</t>
        </is>
      </c>
    </row>
    <row r="18512">
      <c r="A18512" t="n">
        <v>14480903</v>
      </c>
      <c r="B18512" t="n">
        <v>62055</v>
      </c>
      <c r="C18512" t="inlineStr">
        <is>
          <t>1448/09/03</t>
        </is>
      </c>
    </row>
    <row r="18513">
      <c r="A18513" t="n">
        <v>14480904</v>
      </c>
      <c r="B18513" t="n">
        <v>62056</v>
      </c>
      <c r="C18513" t="inlineStr">
        <is>
          <t>1448/09/04</t>
        </is>
      </c>
    </row>
    <row r="18514">
      <c r="A18514" t="n">
        <v>14480905</v>
      </c>
      <c r="B18514" t="n">
        <v>62057</v>
      </c>
      <c r="C18514" t="inlineStr">
        <is>
          <t>1448/09/05</t>
        </is>
      </c>
    </row>
    <row r="18515">
      <c r="A18515" t="n">
        <v>14480906</v>
      </c>
      <c r="B18515" t="n">
        <v>62058</v>
      </c>
      <c r="C18515" t="inlineStr">
        <is>
          <t>1448/09/06</t>
        </is>
      </c>
    </row>
    <row r="18516">
      <c r="A18516" t="n">
        <v>14480907</v>
      </c>
      <c r="B18516" t="n">
        <v>62059</v>
      </c>
      <c r="C18516" t="inlineStr">
        <is>
          <t>1448/09/07</t>
        </is>
      </c>
    </row>
    <row r="18517">
      <c r="A18517" t="n">
        <v>14480908</v>
      </c>
      <c r="B18517" t="n">
        <v>62060</v>
      </c>
      <c r="C18517" t="inlineStr">
        <is>
          <t>1448/09/08</t>
        </is>
      </c>
    </row>
    <row r="18518">
      <c r="A18518" t="n">
        <v>14480909</v>
      </c>
      <c r="B18518" t="n">
        <v>62061</v>
      </c>
      <c r="C18518" t="inlineStr">
        <is>
          <t>1448/09/09</t>
        </is>
      </c>
    </row>
    <row r="18519">
      <c r="A18519" t="n">
        <v>14480910</v>
      </c>
      <c r="B18519" t="n">
        <v>62062</v>
      </c>
      <c r="C18519" t="inlineStr">
        <is>
          <t>1448/09/10</t>
        </is>
      </c>
    </row>
    <row r="18520">
      <c r="A18520" t="n">
        <v>14480911</v>
      </c>
      <c r="B18520" t="n">
        <v>62063</v>
      </c>
      <c r="C18520" t="inlineStr">
        <is>
          <t>1448/09/11</t>
        </is>
      </c>
    </row>
    <row r="18521">
      <c r="A18521" t="n">
        <v>14480912</v>
      </c>
      <c r="B18521" t="n">
        <v>62064</v>
      </c>
      <c r="C18521" t="inlineStr">
        <is>
          <t>1448/09/12</t>
        </is>
      </c>
    </row>
    <row r="18522">
      <c r="A18522" t="n">
        <v>14480913</v>
      </c>
      <c r="B18522" t="n">
        <v>62065</v>
      </c>
      <c r="C18522" t="inlineStr">
        <is>
          <t>1448/09/13</t>
        </is>
      </c>
    </row>
    <row r="18523">
      <c r="A18523" t="n">
        <v>14480914</v>
      </c>
      <c r="B18523" t="n">
        <v>62066</v>
      </c>
      <c r="C18523" t="inlineStr">
        <is>
          <t>1448/09/14</t>
        </is>
      </c>
    </row>
    <row r="18524">
      <c r="A18524" t="n">
        <v>14480915</v>
      </c>
      <c r="B18524" t="n">
        <v>62067</v>
      </c>
      <c r="C18524" t="inlineStr">
        <is>
          <t>1448/09/15</t>
        </is>
      </c>
    </row>
    <row r="18525">
      <c r="A18525" t="n">
        <v>14480916</v>
      </c>
      <c r="B18525" t="n">
        <v>62068</v>
      </c>
      <c r="C18525" t="inlineStr">
        <is>
          <t>1448/09/16</t>
        </is>
      </c>
    </row>
    <row r="18526">
      <c r="A18526" t="n">
        <v>14480917</v>
      </c>
      <c r="B18526" t="n">
        <v>62069</v>
      </c>
      <c r="C18526" t="inlineStr">
        <is>
          <t>1448/09/17</t>
        </is>
      </c>
    </row>
    <row r="18527">
      <c r="A18527" t="n">
        <v>14480918</v>
      </c>
      <c r="B18527" t="n">
        <v>62070</v>
      </c>
      <c r="C18527" t="inlineStr">
        <is>
          <t>1448/09/18</t>
        </is>
      </c>
    </row>
    <row r="18528">
      <c r="A18528" t="n">
        <v>14480919</v>
      </c>
      <c r="B18528" t="n">
        <v>62071</v>
      </c>
      <c r="C18528" t="inlineStr">
        <is>
          <t>1448/09/19</t>
        </is>
      </c>
    </row>
    <row r="18529">
      <c r="A18529" t="n">
        <v>14480920</v>
      </c>
      <c r="B18529" t="n">
        <v>62072</v>
      </c>
      <c r="C18529" t="inlineStr">
        <is>
          <t>1448/09/20</t>
        </is>
      </c>
    </row>
    <row r="18530">
      <c r="A18530" t="n">
        <v>14480921</v>
      </c>
      <c r="B18530" t="n">
        <v>62073</v>
      </c>
      <c r="C18530" t="inlineStr">
        <is>
          <t>1448/09/21</t>
        </is>
      </c>
    </row>
    <row r="18531">
      <c r="A18531" t="n">
        <v>14480922</v>
      </c>
      <c r="B18531" t="n">
        <v>62074</v>
      </c>
      <c r="C18531" t="inlineStr">
        <is>
          <t>1448/09/22</t>
        </is>
      </c>
    </row>
    <row r="18532">
      <c r="A18532" t="n">
        <v>14480923</v>
      </c>
      <c r="B18532" t="n">
        <v>62075</v>
      </c>
      <c r="C18532" t="inlineStr">
        <is>
          <t>1448/09/23</t>
        </is>
      </c>
    </row>
    <row r="18533">
      <c r="A18533" t="n">
        <v>14480924</v>
      </c>
      <c r="B18533" t="n">
        <v>62076</v>
      </c>
      <c r="C18533" t="inlineStr">
        <is>
          <t>1448/09/24</t>
        </is>
      </c>
    </row>
    <row r="18534">
      <c r="A18534" t="n">
        <v>14480925</v>
      </c>
      <c r="B18534" t="n">
        <v>62077</v>
      </c>
      <c r="C18534" t="inlineStr">
        <is>
          <t>1448/09/25</t>
        </is>
      </c>
    </row>
    <row r="18535">
      <c r="A18535" t="n">
        <v>14480926</v>
      </c>
      <c r="B18535" t="n">
        <v>62078</v>
      </c>
      <c r="C18535" t="inlineStr">
        <is>
          <t>1448/09/26</t>
        </is>
      </c>
    </row>
    <row r="18536">
      <c r="A18536" t="n">
        <v>14480927</v>
      </c>
      <c r="B18536" t="n">
        <v>62079</v>
      </c>
      <c r="C18536" t="inlineStr">
        <is>
          <t>1448/09/27</t>
        </is>
      </c>
    </row>
    <row r="18537">
      <c r="A18537" t="n">
        <v>14480928</v>
      </c>
      <c r="B18537" t="n">
        <v>62080</v>
      </c>
      <c r="C18537" t="inlineStr">
        <is>
          <t>1448/09/28</t>
        </is>
      </c>
    </row>
    <row r="18538">
      <c r="A18538" t="n">
        <v>14480929</v>
      </c>
      <c r="B18538" t="n">
        <v>62081</v>
      </c>
      <c r="C18538" t="inlineStr">
        <is>
          <t>1448/09/29</t>
        </is>
      </c>
    </row>
    <row r="18539">
      <c r="A18539" t="n">
        <v>14480930</v>
      </c>
      <c r="B18539" t="n">
        <v>62082</v>
      </c>
      <c r="C18539" t="inlineStr">
        <is>
          <t>1448/09/30</t>
        </is>
      </c>
    </row>
    <row r="18540">
      <c r="A18540" t="n">
        <v>14481001</v>
      </c>
      <c r="B18540" t="n">
        <v>62083</v>
      </c>
      <c r="C18540" t="inlineStr">
        <is>
          <t>1448/10/01</t>
        </is>
      </c>
    </row>
    <row r="18541">
      <c r="A18541" t="n">
        <v>14481002</v>
      </c>
      <c r="B18541" t="n">
        <v>62084</v>
      </c>
      <c r="C18541" t="inlineStr">
        <is>
          <t>1448/10/02</t>
        </is>
      </c>
    </row>
    <row r="18542">
      <c r="A18542" t="n">
        <v>14481003</v>
      </c>
      <c r="B18542" t="n">
        <v>62085</v>
      </c>
      <c r="C18542" t="inlineStr">
        <is>
          <t>1448/10/03</t>
        </is>
      </c>
    </row>
    <row r="18543">
      <c r="A18543" t="n">
        <v>14481004</v>
      </c>
      <c r="B18543" t="n">
        <v>62086</v>
      </c>
      <c r="C18543" t="inlineStr">
        <is>
          <t>1448/10/04</t>
        </is>
      </c>
    </row>
    <row r="18544">
      <c r="A18544" t="n">
        <v>14481005</v>
      </c>
      <c r="B18544" t="n">
        <v>62087</v>
      </c>
      <c r="C18544" t="inlineStr">
        <is>
          <t>1448/10/05</t>
        </is>
      </c>
    </row>
    <row r="18545">
      <c r="A18545" t="n">
        <v>14481006</v>
      </c>
      <c r="B18545" t="n">
        <v>62088</v>
      </c>
      <c r="C18545" t="inlineStr">
        <is>
          <t>1448/10/06</t>
        </is>
      </c>
    </row>
    <row r="18546">
      <c r="A18546" t="n">
        <v>14481007</v>
      </c>
      <c r="B18546" t="n">
        <v>62089</v>
      </c>
      <c r="C18546" t="inlineStr">
        <is>
          <t>1448/10/07</t>
        </is>
      </c>
    </row>
    <row r="18547">
      <c r="A18547" t="n">
        <v>14481008</v>
      </c>
      <c r="B18547" t="n">
        <v>62090</v>
      </c>
      <c r="C18547" t="inlineStr">
        <is>
          <t>1448/10/08</t>
        </is>
      </c>
    </row>
    <row r="18548">
      <c r="A18548" t="n">
        <v>14481009</v>
      </c>
      <c r="B18548" t="n">
        <v>62091</v>
      </c>
      <c r="C18548" t="inlineStr">
        <is>
          <t>1448/10/09</t>
        </is>
      </c>
    </row>
    <row r="18549">
      <c r="A18549" t="n">
        <v>14481010</v>
      </c>
      <c r="B18549" t="n">
        <v>62092</v>
      </c>
      <c r="C18549" t="inlineStr">
        <is>
          <t>1448/10/10</t>
        </is>
      </c>
    </row>
    <row r="18550">
      <c r="A18550" t="n">
        <v>14481011</v>
      </c>
      <c r="B18550" t="n">
        <v>62093</v>
      </c>
      <c r="C18550" t="inlineStr">
        <is>
          <t>1448/10/11</t>
        </is>
      </c>
    </row>
    <row r="18551">
      <c r="A18551" t="n">
        <v>14481012</v>
      </c>
      <c r="B18551" t="n">
        <v>62094</v>
      </c>
      <c r="C18551" t="inlineStr">
        <is>
          <t>1448/10/12</t>
        </is>
      </c>
    </row>
    <row r="18552">
      <c r="A18552" t="n">
        <v>14481013</v>
      </c>
      <c r="B18552" t="n">
        <v>62095</v>
      </c>
      <c r="C18552" t="inlineStr">
        <is>
          <t>1448/10/13</t>
        </is>
      </c>
    </row>
    <row r="18553">
      <c r="A18553" t="n">
        <v>14481014</v>
      </c>
      <c r="B18553" t="n">
        <v>62096</v>
      </c>
      <c r="C18553" t="inlineStr">
        <is>
          <t>1448/10/14</t>
        </is>
      </c>
    </row>
    <row r="18554">
      <c r="A18554" t="n">
        <v>14481015</v>
      </c>
      <c r="B18554" t="n">
        <v>62097</v>
      </c>
      <c r="C18554" t="inlineStr">
        <is>
          <t>1448/10/15</t>
        </is>
      </c>
    </row>
    <row r="18555">
      <c r="A18555" t="n">
        <v>14481016</v>
      </c>
      <c r="B18555" t="n">
        <v>62098</v>
      </c>
      <c r="C18555" t="inlineStr">
        <is>
          <t>1448/10/16</t>
        </is>
      </c>
    </row>
    <row r="18556">
      <c r="A18556" t="n">
        <v>14481017</v>
      </c>
      <c r="B18556" t="n">
        <v>62099</v>
      </c>
      <c r="C18556" t="inlineStr">
        <is>
          <t>1448/10/17</t>
        </is>
      </c>
    </row>
    <row r="18557">
      <c r="A18557" t="n">
        <v>14481018</v>
      </c>
      <c r="B18557" t="n">
        <v>62100</v>
      </c>
      <c r="C18557" t="inlineStr">
        <is>
          <t>1448/10/18</t>
        </is>
      </c>
    </row>
    <row r="18558">
      <c r="A18558" t="n">
        <v>14481019</v>
      </c>
      <c r="B18558" t="n">
        <v>62101</v>
      </c>
      <c r="C18558" t="inlineStr">
        <is>
          <t>1448/10/19</t>
        </is>
      </c>
    </row>
    <row r="18559">
      <c r="A18559" t="n">
        <v>14481020</v>
      </c>
      <c r="B18559" t="n">
        <v>62102</v>
      </c>
      <c r="C18559" t="inlineStr">
        <is>
          <t>1448/10/20</t>
        </is>
      </c>
    </row>
    <row r="18560">
      <c r="A18560" t="n">
        <v>14481021</v>
      </c>
      <c r="B18560" t="n">
        <v>62103</v>
      </c>
      <c r="C18560" t="inlineStr">
        <is>
          <t>1448/10/21</t>
        </is>
      </c>
    </row>
    <row r="18561">
      <c r="A18561" t="n">
        <v>14481022</v>
      </c>
      <c r="B18561" t="n">
        <v>62104</v>
      </c>
      <c r="C18561" t="inlineStr">
        <is>
          <t>1448/10/22</t>
        </is>
      </c>
    </row>
    <row r="18562">
      <c r="A18562" t="n">
        <v>14481023</v>
      </c>
      <c r="B18562" t="n">
        <v>62105</v>
      </c>
      <c r="C18562" t="inlineStr">
        <is>
          <t>1448/10/23</t>
        </is>
      </c>
    </row>
    <row r="18563">
      <c r="A18563" t="n">
        <v>14481024</v>
      </c>
      <c r="B18563" t="n">
        <v>62106</v>
      </c>
      <c r="C18563" t="inlineStr">
        <is>
          <t>1448/10/24</t>
        </is>
      </c>
    </row>
    <row r="18564">
      <c r="A18564" t="n">
        <v>14481025</v>
      </c>
      <c r="B18564" t="n">
        <v>62107</v>
      </c>
      <c r="C18564" t="inlineStr">
        <is>
          <t>1448/10/25</t>
        </is>
      </c>
    </row>
    <row r="18565">
      <c r="A18565" t="n">
        <v>14481026</v>
      </c>
      <c r="B18565" t="n">
        <v>62108</v>
      </c>
      <c r="C18565" t="inlineStr">
        <is>
          <t>1448/10/26</t>
        </is>
      </c>
    </row>
    <row r="18566">
      <c r="A18566" t="n">
        <v>14481027</v>
      </c>
      <c r="B18566" t="n">
        <v>62109</v>
      </c>
      <c r="C18566" t="inlineStr">
        <is>
          <t>1448/10/27</t>
        </is>
      </c>
    </row>
    <row r="18567">
      <c r="A18567" t="n">
        <v>14481028</v>
      </c>
      <c r="B18567" t="n">
        <v>62110</v>
      </c>
      <c r="C18567" t="inlineStr">
        <is>
          <t>1448/10/28</t>
        </is>
      </c>
    </row>
    <row r="18568">
      <c r="A18568" t="n">
        <v>14481029</v>
      </c>
      <c r="B18568" t="n">
        <v>62111</v>
      </c>
      <c r="C18568" t="inlineStr">
        <is>
          <t>1448/10/29</t>
        </is>
      </c>
    </row>
    <row r="18569">
      <c r="A18569" t="n">
        <v>14481030</v>
      </c>
      <c r="B18569" t="n">
        <v>62112</v>
      </c>
      <c r="C18569" t="inlineStr">
        <is>
          <t>1448/10/30</t>
        </is>
      </c>
    </row>
    <row r="18570">
      <c r="A18570" t="n">
        <v>14481101</v>
      </c>
      <c r="B18570" t="n">
        <v>62113</v>
      </c>
      <c r="C18570" t="inlineStr">
        <is>
          <t>1448/11/01</t>
        </is>
      </c>
    </row>
    <row r="18571">
      <c r="A18571" t="n">
        <v>14481102</v>
      </c>
      <c r="B18571" t="n">
        <v>62114</v>
      </c>
      <c r="C18571" t="inlineStr">
        <is>
          <t>1448/11/02</t>
        </is>
      </c>
    </row>
    <row r="18572">
      <c r="A18572" t="n">
        <v>14481103</v>
      </c>
      <c r="B18572" t="n">
        <v>62115</v>
      </c>
      <c r="C18572" t="inlineStr">
        <is>
          <t>1448/11/03</t>
        </is>
      </c>
    </row>
    <row r="18573">
      <c r="A18573" t="n">
        <v>14481104</v>
      </c>
      <c r="B18573" t="n">
        <v>62116</v>
      </c>
      <c r="C18573" t="inlineStr">
        <is>
          <t>1448/11/04</t>
        </is>
      </c>
    </row>
    <row r="18574">
      <c r="A18574" t="n">
        <v>14481105</v>
      </c>
      <c r="B18574" t="n">
        <v>62117</v>
      </c>
      <c r="C18574" t="inlineStr">
        <is>
          <t>1448/11/05</t>
        </is>
      </c>
    </row>
    <row r="18575">
      <c r="A18575" t="n">
        <v>14481106</v>
      </c>
      <c r="B18575" t="n">
        <v>62118</v>
      </c>
      <c r="C18575" t="inlineStr">
        <is>
          <t>1448/11/06</t>
        </is>
      </c>
    </row>
    <row r="18576">
      <c r="A18576" t="n">
        <v>14481107</v>
      </c>
      <c r="B18576" t="n">
        <v>62119</v>
      </c>
      <c r="C18576" t="inlineStr">
        <is>
          <t>1448/11/07</t>
        </is>
      </c>
    </row>
    <row r="18577">
      <c r="A18577" t="n">
        <v>14481108</v>
      </c>
      <c r="B18577" t="n">
        <v>62120</v>
      </c>
      <c r="C18577" t="inlineStr">
        <is>
          <t>1448/11/08</t>
        </is>
      </c>
    </row>
    <row r="18578">
      <c r="A18578" t="n">
        <v>14481109</v>
      </c>
      <c r="B18578" t="n">
        <v>62121</v>
      </c>
      <c r="C18578" t="inlineStr">
        <is>
          <t>1448/11/09</t>
        </is>
      </c>
    </row>
    <row r="18579">
      <c r="A18579" t="n">
        <v>14481110</v>
      </c>
      <c r="B18579" t="n">
        <v>62122</v>
      </c>
      <c r="C18579" t="inlineStr">
        <is>
          <t>1448/11/10</t>
        </is>
      </c>
    </row>
    <row r="18580">
      <c r="A18580" t="n">
        <v>14481111</v>
      </c>
      <c r="B18580" t="n">
        <v>62123</v>
      </c>
      <c r="C18580" t="inlineStr">
        <is>
          <t>1448/11/11</t>
        </is>
      </c>
    </row>
    <row r="18581">
      <c r="A18581" t="n">
        <v>14481112</v>
      </c>
      <c r="B18581" t="n">
        <v>62124</v>
      </c>
      <c r="C18581" t="inlineStr">
        <is>
          <t>1448/11/12</t>
        </is>
      </c>
    </row>
    <row r="18582">
      <c r="A18582" t="n">
        <v>14481113</v>
      </c>
      <c r="B18582" t="n">
        <v>62125</v>
      </c>
      <c r="C18582" t="inlineStr">
        <is>
          <t>1448/11/13</t>
        </is>
      </c>
    </row>
    <row r="18583">
      <c r="A18583" t="n">
        <v>14481114</v>
      </c>
      <c r="B18583" t="n">
        <v>62126</v>
      </c>
      <c r="C18583" t="inlineStr">
        <is>
          <t>1448/11/14</t>
        </is>
      </c>
    </row>
    <row r="18584">
      <c r="A18584" t="n">
        <v>14481115</v>
      </c>
      <c r="B18584" t="n">
        <v>62127</v>
      </c>
      <c r="C18584" t="inlineStr">
        <is>
          <t>1448/11/15</t>
        </is>
      </c>
    </row>
    <row r="18585">
      <c r="A18585" t="n">
        <v>14481116</v>
      </c>
      <c r="B18585" t="n">
        <v>62128</v>
      </c>
      <c r="C18585" t="inlineStr">
        <is>
          <t>1448/11/16</t>
        </is>
      </c>
    </row>
    <row r="18586">
      <c r="A18586" t="n">
        <v>14481117</v>
      </c>
      <c r="B18586" t="n">
        <v>62129</v>
      </c>
      <c r="C18586" t="inlineStr">
        <is>
          <t>1448/11/17</t>
        </is>
      </c>
    </row>
    <row r="18587">
      <c r="A18587" t="n">
        <v>14481118</v>
      </c>
      <c r="B18587" t="n">
        <v>62130</v>
      </c>
      <c r="C18587" t="inlineStr">
        <is>
          <t>1448/11/18</t>
        </is>
      </c>
    </row>
    <row r="18588">
      <c r="A18588" t="n">
        <v>14481119</v>
      </c>
      <c r="B18588" t="n">
        <v>62131</v>
      </c>
      <c r="C18588" t="inlineStr">
        <is>
          <t>1448/11/19</t>
        </is>
      </c>
    </row>
    <row r="18589">
      <c r="A18589" t="n">
        <v>14481120</v>
      </c>
      <c r="B18589" t="n">
        <v>62132</v>
      </c>
      <c r="C18589" t="inlineStr">
        <is>
          <t>1448/11/20</t>
        </is>
      </c>
    </row>
    <row r="18590">
      <c r="A18590" t="n">
        <v>14481121</v>
      </c>
      <c r="B18590" t="n">
        <v>62133</v>
      </c>
      <c r="C18590" t="inlineStr">
        <is>
          <t>1448/11/21</t>
        </is>
      </c>
    </row>
    <row r="18591">
      <c r="A18591" t="n">
        <v>14481122</v>
      </c>
      <c r="B18591" t="n">
        <v>62134</v>
      </c>
      <c r="C18591" t="inlineStr">
        <is>
          <t>1448/11/22</t>
        </is>
      </c>
    </row>
    <row r="18592">
      <c r="A18592" t="n">
        <v>14481123</v>
      </c>
      <c r="B18592" t="n">
        <v>62135</v>
      </c>
      <c r="C18592" t="inlineStr">
        <is>
          <t>1448/11/23</t>
        </is>
      </c>
    </row>
    <row r="18593">
      <c r="A18593" t="n">
        <v>14481124</v>
      </c>
      <c r="B18593" t="n">
        <v>62136</v>
      </c>
      <c r="C18593" t="inlineStr">
        <is>
          <t>1448/11/24</t>
        </is>
      </c>
    </row>
    <row r="18594">
      <c r="A18594" t="n">
        <v>14481125</v>
      </c>
      <c r="B18594" t="n">
        <v>62137</v>
      </c>
      <c r="C18594" t="inlineStr">
        <is>
          <t>1448/11/25</t>
        </is>
      </c>
    </row>
    <row r="18595">
      <c r="A18595" t="n">
        <v>14481126</v>
      </c>
      <c r="B18595" t="n">
        <v>62138</v>
      </c>
      <c r="C18595" t="inlineStr">
        <is>
          <t>1448/11/26</t>
        </is>
      </c>
    </row>
    <row r="18596">
      <c r="A18596" t="n">
        <v>14481127</v>
      </c>
      <c r="B18596" t="n">
        <v>62139</v>
      </c>
      <c r="C18596" t="inlineStr">
        <is>
          <t>1448/11/27</t>
        </is>
      </c>
    </row>
    <row r="18597">
      <c r="A18597" t="n">
        <v>14481128</v>
      </c>
      <c r="B18597" t="n">
        <v>62140</v>
      </c>
      <c r="C18597" t="inlineStr">
        <is>
          <t>1448/11/28</t>
        </is>
      </c>
    </row>
    <row r="18598">
      <c r="A18598" t="n">
        <v>14481129</v>
      </c>
      <c r="B18598" t="n">
        <v>62141</v>
      </c>
      <c r="C18598" t="inlineStr">
        <is>
          <t>1448/11/29</t>
        </is>
      </c>
    </row>
    <row r="18599">
      <c r="A18599" t="n">
        <v>14481130</v>
      </c>
      <c r="B18599" t="n">
        <v>62142</v>
      </c>
      <c r="C18599" t="inlineStr">
        <is>
          <t>1448/11/30</t>
        </is>
      </c>
    </row>
    <row r="18600">
      <c r="A18600" t="n">
        <v>14481201</v>
      </c>
      <c r="B18600" t="n">
        <v>62143</v>
      </c>
      <c r="C18600" t="inlineStr">
        <is>
          <t>1448/12/01</t>
        </is>
      </c>
    </row>
    <row r="18601">
      <c r="A18601" t="n">
        <v>14481202</v>
      </c>
      <c r="B18601" t="n">
        <v>62144</v>
      </c>
      <c r="C18601" t="inlineStr">
        <is>
          <t>1448/12/02</t>
        </is>
      </c>
    </row>
    <row r="18602">
      <c r="A18602" t="n">
        <v>14481203</v>
      </c>
      <c r="B18602" t="n">
        <v>62145</v>
      </c>
      <c r="C18602" t="inlineStr">
        <is>
          <t>1448/12/03</t>
        </is>
      </c>
    </row>
    <row r="18603">
      <c r="A18603" t="n">
        <v>14481204</v>
      </c>
      <c r="B18603" t="n">
        <v>62146</v>
      </c>
      <c r="C18603" t="inlineStr">
        <is>
          <t>1448/12/04</t>
        </is>
      </c>
    </row>
    <row r="18604">
      <c r="A18604" t="n">
        <v>14481205</v>
      </c>
      <c r="B18604" t="n">
        <v>62147</v>
      </c>
      <c r="C18604" t="inlineStr">
        <is>
          <t>1448/12/05</t>
        </is>
      </c>
    </row>
    <row r="18605">
      <c r="A18605" t="n">
        <v>14481206</v>
      </c>
      <c r="B18605" t="n">
        <v>62148</v>
      </c>
      <c r="C18605" t="inlineStr">
        <is>
          <t>1448/12/06</t>
        </is>
      </c>
    </row>
    <row r="18606">
      <c r="A18606" t="n">
        <v>14481207</v>
      </c>
      <c r="B18606" t="n">
        <v>62149</v>
      </c>
      <c r="C18606" t="inlineStr">
        <is>
          <t>1448/12/07</t>
        </is>
      </c>
    </row>
    <row r="18607">
      <c r="A18607" t="n">
        <v>14481208</v>
      </c>
      <c r="B18607" t="n">
        <v>62150</v>
      </c>
      <c r="C18607" t="inlineStr">
        <is>
          <t>1448/12/08</t>
        </is>
      </c>
    </row>
    <row r="18608">
      <c r="A18608" t="n">
        <v>14481209</v>
      </c>
      <c r="B18608" t="n">
        <v>62151</v>
      </c>
      <c r="C18608" t="inlineStr">
        <is>
          <t>1448/12/09</t>
        </is>
      </c>
    </row>
    <row r="18609">
      <c r="A18609" t="n">
        <v>14481210</v>
      </c>
      <c r="B18609" t="n">
        <v>62152</v>
      </c>
      <c r="C18609" t="inlineStr">
        <is>
          <t>1448/12/10</t>
        </is>
      </c>
    </row>
    <row r="18610">
      <c r="A18610" t="n">
        <v>14481211</v>
      </c>
      <c r="B18610" t="n">
        <v>62153</v>
      </c>
      <c r="C18610" t="inlineStr">
        <is>
          <t>1448/12/11</t>
        </is>
      </c>
    </row>
    <row r="18611">
      <c r="A18611" t="n">
        <v>14481212</v>
      </c>
      <c r="B18611" t="n">
        <v>62154</v>
      </c>
      <c r="C18611" t="inlineStr">
        <is>
          <t>1448/12/12</t>
        </is>
      </c>
    </row>
    <row r="18612">
      <c r="A18612" t="n">
        <v>14481213</v>
      </c>
      <c r="B18612" t="n">
        <v>62155</v>
      </c>
      <c r="C18612" t="inlineStr">
        <is>
          <t>1448/12/13</t>
        </is>
      </c>
    </row>
    <row r="18613">
      <c r="A18613" t="n">
        <v>14481214</v>
      </c>
      <c r="B18613" t="n">
        <v>62156</v>
      </c>
      <c r="C18613" t="inlineStr">
        <is>
          <t>1448/12/14</t>
        </is>
      </c>
    </row>
    <row r="18614">
      <c r="A18614" t="n">
        <v>14481215</v>
      </c>
      <c r="B18614" t="n">
        <v>62157</v>
      </c>
      <c r="C18614" t="inlineStr">
        <is>
          <t>1448/12/15</t>
        </is>
      </c>
    </row>
    <row r="18615">
      <c r="A18615" t="n">
        <v>14481216</v>
      </c>
      <c r="B18615" t="n">
        <v>62158</v>
      </c>
      <c r="C18615" t="inlineStr">
        <is>
          <t>1448/12/16</t>
        </is>
      </c>
    </row>
    <row r="18616">
      <c r="A18616" t="n">
        <v>14481217</v>
      </c>
      <c r="B18616" t="n">
        <v>62159</v>
      </c>
      <c r="C18616" t="inlineStr">
        <is>
          <t>1448/12/17</t>
        </is>
      </c>
    </row>
    <row r="18617">
      <c r="A18617" t="n">
        <v>14481218</v>
      </c>
      <c r="B18617" t="n">
        <v>62160</v>
      </c>
      <c r="C18617" t="inlineStr">
        <is>
          <t>1448/12/18</t>
        </is>
      </c>
    </row>
    <row r="18618">
      <c r="A18618" t="n">
        <v>14481219</v>
      </c>
      <c r="B18618" t="n">
        <v>62161</v>
      </c>
      <c r="C18618" t="inlineStr">
        <is>
          <t>1448/12/19</t>
        </is>
      </c>
    </row>
    <row r="18619">
      <c r="A18619" t="n">
        <v>14481220</v>
      </c>
      <c r="B18619" t="n">
        <v>62162</v>
      </c>
      <c r="C18619" t="inlineStr">
        <is>
          <t>1448/12/20</t>
        </is>
      </c>
    </row>
    <row r="18620">
      <c r="A18620" t="n">
        <v>14481221</v>
      </c>
      <c r="B18620" t="n">
        <v>62163</v>
      </c>
      <c r="C18620" t="inlineStr">
        <is>
          <t>1448/12/21</t>
        </is>
      </c>
    </row>
    <row r="18621">
      <c r="A18621" t="n">
        <v>14481222</v>
      </c>
      <c r="B18621" t="n">
        <v>62164</v>
      </c>
      <c r="C18621" t="inlineStr">
        <is>
          <t>1448/12/22</t>
        </is>
      </c>
    </row>
    <row r="18622">
      <c r="A18622" t="n">
        <v>14481223</v>
      </c>
      <c r="B18622" t="n">
        <v>62165</v>
      </c>
      <c r="C18622" t="inlineStr">
        <is>
          <t>1448/12/23</t>
        </is>
      </c>
    </row>
    <row r="18623">
      <c r="A18623" t="n">
        <v>14481224</v>
      </c>
      <c r="B18623" t="n">
        <v>62166</v>
      </c>
      <c r="C18623" t="inlineStr">
        <is>
          <t>1448/12/24</t>
        </is>
      </c>
    </row>
    <row r="18624">
      <c r="A18624" t="n">
        <v>14481225</v>
      </c>
      <c r="B18624" t="n">
        <v>62167</v>
      </c>
      <c r="C18624" t="inlineStr">
        <is>
          <t>1448/12/25</t>
        </is>
      </c>
    </row>
    <row r="18625">
      <c r="A18625" t="n">
        <v>14481226</v>
      </c>
      <c r="B18625" t="n">
        <v>62168</v>
      </c>
      <c r="C18625" t="inlineStr">
        <is>
          <t>1448/12/26</t>
        </is>
      </c>
    </row>
    <row r="18626">
      <c r="A18626" t="n">
        <v>14481227</v>
      </c>
      <c r="B18626" t="n">
        <v>62169</v>
      </c>
      <c r="C18626" t="inlineStr">
        <is>
          <t>1448/12/27</t>
        </is>
      </c>
    </row>
    <row r="18627">
      <c r="A18627" t="n">
        <v>14481228</v>
      </c>
      <c r="B18627" t="n">
        <v>62170</v>
      </c>
      <c r="C18627" t="inlineStr">
        <is>
          <t>1448/12/28</t>
        </is>
      </c>
    </row>
    <row r="18628">
      <c r="A18628" t="n">
        <v>14481229</v>
      </c>
      <c r="B18628" t="n">
        <v>62171</v>
      </c>
      <c r="C18628" t="inlineStr">
        <is>
          <t>1448/12/29</t>
        </is>
      </c>
    </row>
    <row r="18629">
      <c r="A18629" t="n">
        <v>14490101</v>
      </c>
      <c r="B18629" t="n">
        <v>62172</v>
      </c>
      <c r="C18629" t="inlineStr">
        <is>
          <t>1449/01/01</t>
        </is>
      </c>
    </row>
    <row r="18630">
      <c r="A18630" t="n">
        <v>14490102</v>
      </c>
      <c r="B18630" t="n">
        <v>62173</v>
      </c>
      <c r="C18630" t="inlineStr">
        <is>
          <t>1449/01/02</t>
        </is>
      </c>
    </row>
    <row r="18631">
      <c r="A18631" t="n">
        <v>14490103</v>
      </c>
      <c r="B18631" t="n">
        <v>62174</v>
      </c>
      <c r="C18631" t="inlineStr">
        <is>
          <t>1449/01/03</t>
        </is>
      </c>
    </row>
    <row r="18632">
      <c r="A18632" t="n">
        <v>14490104</v>
      </c>
      <c r="B18632" t="n">
        <v>62175</v>
      </c>
      <c r="C18632" t="inlineStr">
        <is>
          <t>1449/01/04</t>
        </is>
      </c>
    </row>
    <row r="18633">
      <c r="A18633" t="n">
        <v>14490105</v>
      </c>
      <c r="B18633" t="n">
        <v>62176</v>
      </c>
      <c r="C18633" t="inlineStr">
        <is>
          <t>1449/01/05</t>
        </is>
      </c>
    </row>
    <row r="18634">
      <c r="A18634" t="n">
        <v>14490106</v>
      </c>
      <c r="B18634" t="n">
        <v>62177</v>
      </c>
      <c r="C18634" t="inlineStr">
        <is>
          <t>1449/01/06</t>
        </is>
      </c>
    </row>
    <row r="18635">
      <c r="A18635" t="n">
        <v>14490107</v>
      </c>
      <c r="B18635" t="n">
        <v>62178</v>
      </c>
      <c r="C18635" t="inlineStr">
        <is>
          <t>1449/01/07</t>
        </is>
      </c>
    </row>
    <row r="18636">
      <c r="A18636" t="n">
        <v>14490108</v>
      </c>
      <c r="B18636" t="n">
        <v>62179</v>
      </c>
      <c r="C18636" t="inlineStr">
        <is>
          <t>1449/01/08</t>
        </is>
      </c>
    </row>
    <row r="18637">
      <c r="A18637" t="n">
        <v>14490109</v>
      </c>
      <c r="B18637" t="n">
        <v>62180</v>
      </c>
      <c r="C18637" t="inlineStr">
        <is>
          <t>1449/01/09</t>
        </is>
      </c>
    </row>
    <row r="18638">
      <c r="A18638" t="n">
        <v>14490110</v>
      </c>
      <c r="B18638" t="n">
        <v>62181</v>
      </c>
      <c r="C18638" t="inlineStr">
        <is>
          <t>1449/01/10</t>
        </is>
      </c>
    </row>
    <row r="18639">
      <c r="A18639" t="n">
        <v>14490111</v>
      </c>
      <c r="B18639" t="n">
        <v>62182</v>
      </c>
      <c r="C18639" t="inlineStr">
        <is>
          <t>1449/01/11</t>
        </is>
      </c>
    </row>
    <row r="18640">
      <c r="A18640" t="n">
        <v>14490112</v>
      </c>
      <c r="B18640" t="n">
        <v>62183</v>
      </c>
      <c r="C18640" t="inlineStr">
        <is>
          <t>1449/01/12</t>
        </is>
      </c>
    </row>
    <row r="18641">
      <c r="A18641" t="n">
        <v>14490113</v>
      </c>
      <c r="B18641" t="n">
        <v>62184</v>
      </c>
      <c r="C18641" t="inlineStr">
        <is>
          <t>1449/01/13</t>
        </is>
      </c>
    </row>
    <row r="18642">
      <c r="A18642" t="n">
        <v>14490114</v>
      </c>
      <c r="B18642" t="n">
        <v>62185</v>
      </c>
      <c r="C18642" t="inlineStr">
        <is>
          <t>1449/01/14</t>
        </is>
      </c>
    </row>
    <row r="18643">
      <c r="A18643" t="n">
        <v>14490115</v>
      </c>
      <c r="B18643" t="n">
        <v>62186</v>
      </c>
      <c r="C18643" t="inlineStr">
        <is>
          <t>1449/01/15</t>
        </is>
      </c>
    </row>
    <row r="18644">
      <c r="A18644" t="n">
        <v>14490116</v>
      </c>
      <c r="B18644" t="n">
        <v>62187</v>
      </c>
      <c r="C18644" t="inlineStr">
        <is>
          <t>1449/01/16</t>
        </is>
      </c>
    </row>
    <row r="18645">
      <c r="A18645" t="n">
        <v>14490117</v>
      </c>
      <c r="B18645" t="n">
        <v>62188</v>
      </c>
      <c r="C18645" t="inlineStr">
        <is>
          <t>1449/01/17</t>
        </is>
      </c>
    </row>
    <row r="18646">
      <c r="A18646" t="n">
        <v>14490118</v>
      </c>
      <c r="B18646" t="n">
        <v>62189</v>
      </c>
      <c r="C18646" t="inlineStr">
        <is>
          <t>1449/01/18</t>
        </is>
      </c>
    </row>
    <row r="18647">
      <c r="A18647" t="n">
        <v>14490119</v>
      </c>
      <c r="B18647" t="n">
        <v>62190</v>
      </c>
      <c r="C18647" t="inlineStr">
        <is>
          <t>1449/01/19</t>
        </is>
      </c>
    </row>
    <row r="18648">
      <c r="A18648" t="n">
        <v>14490120</v>
      </c>
      <c r="B18648" t="n">
        <v>62191</v>
      </c>
      <c r="C18648" t="inlineStr">
        <is>
          <t>1449/01/20</t>
        </is>
      </c>
    </row>
    <row r="18649">
      <c r="A18649" t="n">
        <v>14490121</v>
      </c>
      <c r="B18649" t="n">
        <v>62192</v>
      </c>
      <c r="C18649" t="inlineStr">
        <is>
          <t>1449/01/21</t>
        </is>
      </c>
    </row>
    <row r="18650">
      <c r="A18650" t="n">
        <v>14490122</v>
      </c>
      <c r="B18650" t="n">
        <v>62193</v>
      </c>
      <c r="C18650" t="inlineStr">
        <is>
          <t>1449/01/22</t>
        </is>
      </c>
    </row>
    <row r="18651">
      <c r="A18651" t="n">
        <v>14490123</v>
      </c>
      <c r="B18651" t="n">
        <v>62194</v>
      </c>
      <c r="C18651" t="inlineStr">
        <is>
          <t>1449/01/23</t>
        </is>
      </c>
    </row>
    <row r="18652">
      <c r="A18652" t="n">
        <v>14490124</v>
      </c>
      <c r="B18652" t="n">
        <v>62195</v>
      </c>
      <c r="C18652" t="inlineStr">
        <is>
          <t>1449/01/24</t>
        </is>
      </c>
    </row>
    <row r="18653">
      <c r="A18653" t="n">
        <v>14490125</v>
      </c>
      <c r="B18653" t="n">
        <v>62196</v>
      </c>
      <c r="C18653" t="inlineStr">
        <is>
          <t>1449/01/25</t>
        </is>
      </c>
    </row>
    <row r="18654">
      <c r="A18654" t="n">
        <v>14490126</v>
      </c>
      <c r="B18654" t="n">
        <v>62197</v>
      </c>
      <c r="C18654" t="inlineStr">
        <is>
          <t>1449/01/26</t>
        </is>
      </c>
    </row>
    <row r="18655">
      <c r="A18655" t="n">
        <v>14490127</v>
      </c>
      <c r="B18655" t="n">
        <v>62198</v>
      </c>
      <c r="C18655" t="inlineStr">
        <is>
          <t>1449/01/27</t>
        </is>
      </c>
    </row>
    <row r="18656">
      <c r="A18656" t="n">
        <v>14490128</v>
      </c>
      <c r="B18656" t="n">
        <v>62199</v>
      </c>
      <c r="C18656" t="inlineStr">
        <is>
          <t>1449/01/28</t>
        </is>
      </c>
    </row>
    <row r="18657">
      <c r="A18657" t="n">
        <v>14490129</v>
      </c>
      <c r="B18657" t="n">
        <v>62200</v>
      </c>
      <c r="C18657" t="inlineStr">
        <is>
          <t>1449/01/29</t>
        </is>
      </c>
    </row>
    <row r="18658">
      <c r="A18658" t="n">
        <v>14490130</v>
      </c>
      <c r="B18658" t="n">
        <v>62201</v>
      </c>
      <c r="C18658" t="inlineStr">
        <is>
          <t>1449/01/30</t>
        </is>
      </c>
    </row>
    <row r="18659">
      <c r="A18659" t="n">
        <v>14490131</v>
      </c>
      <c r="B18659" t="n">
        <v>62202</v>
      </c>
      <c r="C18659" t="inlineStr">
        <is>
          <t>1449/01/31</t>
        </is>
      </c>
    </row>
    <row r="18660">
      <c r="A18660" t="n">
        <v>14490201</v>
      </c>
      <c r="B18660" t="n">
        <v>62203</v>
      </c>
      <c r="C18660" t="inlineStr">
        <is>
          <t>1449/02/01</t>
        </is>
      </c>
    </row>
    <row r="18661">
      <c r="A18661" t="n">
        <v>14490202</v>
      </c>
      <c r="B18661" t="n">
        <v>62204</v>
      </c>
      <c r="C18661" t="inlineStr">
        <is>
          <t>1449/02/02</t>
        </is>
      </c>
    </row>
    <row r="18662">
      <c r="A18662" t="n">
        <v>14490203</v>
      </c>
      <c r="B18662" t="n">
        <v>62205</v>
      </c>
      <c r="C18662" t="inlineStr">
        <is>
          <t>1449/02/03</t>
        </is>
      </c>
    </row>
    <row r="18663">
      <c r="A18663" t="n">
        <v>14490204</v>
      </c>
      <c r="B18663" t="n">
        <v>62206</v>
      </c>
      <c r="C18663" t="inlineStr">
        <is>
          <t>1449/02/04</t>
        </is>
      </c>
    </row>
    <row r="18664">
      <c r="A18664" t="n">
        <v>14490205</v>
      </c>
      <c r="B18664" t="n">
        <v>62207</v>
      </c>
      <c r="C18664" t="inlineStr">
        <is>
          <t>1449/02/05</t>
        </is>
      </c>
    </row>
    <row r="18665">
      <c r="A18665" t="n">
        <v>14490206</v>
      </c>
      <c r="B18665" t="n">
        <v>62208</v>
      </c>
      <c r="C18665" t="inlineStr">
        <is>
          <t>1449/02/06</t>
        </is>
      </c>
    </row>
    <row r="18666">
      <c r="A18666" t="n">
        <v>14490207</v>
      </c>
      <c r="B18666" t="n">
        <v>62209</v>
      </c>
      <c r="C18666" t="inlineStr">
        <is>
          <t>1449/02/07</t>
        </is>
      </c>
    </row>
    <row r="18667">
      <c r="A18667" t="n">
        <v>14490208</v>
      </c>
      <c r="B18667" t="n">
        <v>62210</v>
      </c>
      <c r="C18667" t="inlineStr">
        <is>
          <t>1449/02/08</t>
        </is>
      </c>
    </row>
    <row r="18668">
      <c r="A18668" t="n">
        <v>14490209</v>
      </c>
      <c r="B18668" t="n">
        <v>62211</v>
      </c>
      <c r="C18668" t="inlineStr">
        <is>
          <t>1449/02/09</t>
        </is>
      </c>
    </row>
    <row r="18669">
      <c r="A18669" t="n">
        <v>14490210</v>
      </c>
      <c r="B18669" t="n">
        <v>62212</v>
      </c>
      <c r="C18669" t="inlineStr">
        <is>
          <t>1449/02/10</t>
        </is>
      </c>
    </row>
    <row r="18670">
      <c r="A18670" t="n">
        <v>14490211</v>
      </c>
      <c r="B18670" t="n">
        <v>62213</v>
      </c>
      <c r="C18670" t="inlineStr">
        <is>
          <t>1449/02/11</t>
        </is>
      </c>
    </row>
    <row r="18671">
      <c r="A18671" t="n">
        <v>14490212</v>
      </c>
      <c r="B18671" t="n">
        <v>62214</v>
      </c>
      <c r="C18671" t="inlineStr">
        <is>
          <t>1449/02/12</t>
        </is>
      </c>
    </row>
    <row r="18672">
      <c r="A18672" t="n">
        <v>14490213</v>
      </c>
      <c r="B18672" t="n">
        <v>62215</v>
      </c>
      <c r="C18672" t="inlineStr">
        <is>
          <t>1449/02/13</t>
        </is>
      </c>
    </row>
    <row r="18673">
      <c r="A18673" t="n">
        <v>14490214</v>
      </c>
      <c r="B18673" t="n">
        <v>62216</v>
      </c>
      <c r="C18673" t="inlineStr">
        <is>
          <t>1449/02/14</t>
        </is>
      </c>
    </row>
    <row r="18674">
      <c r="A18674" t="n">
        <v>14490215</v>
      </c>
      <c r="B18674" t="n">
        <v>62217</v>
      </c>
      <c r="C18674" t="inlineStr">
        <is>
          <t>1449/02/15</t>
        </is>
      </c>
    </row>
    <row r="18675">
      <c r="A18675" t="n">
        <v>14490216</v>
      </c>
      <c r="B18675" t="n">
        <v>62218</v>
      </c>
      <c r="C18675" t="inlineStr">
        <is>
          <t>1449/02/16</t>
        </is>
      </c>
    </row>
    <row r="18676">
      <c r="A18676" t="n">
        <v>14490217</v>
      </c>
      <c r="B18676" t="n">
        <v>62219</v>
      </c>
      <c r="C18676" t="inlineStr">
        <is>
          <t>1449/02/17</t>
        </is>
      </c>
    </row>
    <row r="18677">
      <c r="A18677" t="n">
        <v>14490218</v>
      </c>
      <c r="B18677" t="n">
        <v>62220</v>
      </c>
      <c r="C18677" t="inlineStr">
        <is>
          <t>1449/02/18</t>
        </is>
      </c>
    </row>
    <row r="18678">
      <c r="A18678" t="n">
        <v>14490219</v>
      </c>
      <c r="B18678" t="n">
        <v>62221</v>
      </c>
      <c r="C18678" t="inlineStr">
        <is>
          <t>1449/02/19</t>
        </is>
      </c>
    </row>
    <row r="18679">
      <c r="A18679" t="n">
        <v>14490220</v>
      </c>
      <c r="B18679" t="n">
        <v>62222</v>
      </c>
      <c r="C18679" t="inlineStr">
        <is>
          <t>1449/02/20</t>
        </is>
      </c>
    </row>
    <row r="18680">
      <c r="A18680" t="n">
        <v>14490221</v>
      </c>
      <c r="B18680" t="n">
        <v>62223</v>
      </c>
      <c r="C18680" t="inlineStr">
        <is>
          <t>1449/02/21</t>
        </is>
      </c>
    </row>
    <row r="18681">
      <c r="A18681" t="n">
        <v>14490222</v>
      </c>
      <c r="B18681" t="n">
        <v>62224</v>
      </c>
      <c r="C18681" t="inlineStr">
        <is>
          <t>1449/02/22</t>
        </is>
      </c>
    </row>
    <row r="18682">
      <c r="A18682" t="n">
        <v>14490223</v>
      </c>
      <c r="B18682" t="n">
        <v>62225</v>
      </c>
      <c r="C18682" t="inlineStr">
        <is>
          <t>1449/02/23</t>
        </is>
      </c>
    </row>
    <row r="18683">
      <c r="A18683" t="n">
        <v>14490224</v>
      </c>
      <c r="B18683" t="n">
        <v>62226</v>
      </c>
      <c r="C18683" t="inlineStr">
        <is>
          <t>1449/02/24</t>
        </is>
      </c>
    </row>
    <row r="18684">
      <c r="A18684" t="n">
        <v>14490225</v>
      </c>
      <c r="B18684" t="n">
        <v>62227</v>
      </c>
      <c r="C18684" t="inlineStr">
        <is>
          <t>1449/02/25</t>
        </is>
      </c>
    </row>
    <row r="18685">
      <c r="A18685" t="n">
        <v>14490226</v>
      </c>
      <c r="B18685" t="n">
        <v>62228</v>
      </c>
      <c r="C18685" t="inlineStr">
        <is>
          <t>1449/02/26</t>
        </is>
      </c>
    </row>
    <row r="18686">
      <c r="A18686" t="n">
        <v>14490227</v>
      </c>
      <c r="B18686" t="n">
        <v>62229</v>
      </c>
      <c r="C18686" t="inlineStr">
        <is>
          <t>1449/02/27</t>
        </is>
      </c>
    </row>
    <row r="18687">
      <c r="A18687" t="n">
        <v>14490228</v>
      </c>
      <c r="B18687" t="n">
        <v>62230</v>
      </c>
      <c r="C18687" t="inlineStr">
        <is>
          <t>1449/02/28</t>
        </is>
      </c>
    </row>
    <row r="18688">
      <c r="A18688" t="n">
        <v>14490229</v>
      </c>
      <c r="B18688" t="n">
        <v>62231</v>
      </c>
      <c r="C18688" t="inlineStr">
        <is>
          <t>1449/02/29</t>
        </is>
      </c>
    </row>
    <row r="18689">
      <c r="A18689" t="n">
        <v>14490230</v>
      </c>
      <c r="B18689" t="n">
        <v>62232</v>
      </c>
      <c r="C18689" t="inlineStr">
        <is>
          <t>1449/02/30</t>
        </is>
      </c>
    </row>
    <row r="18690">
      <c r="A18690" t="n">
        <v>14490231</v>
      </c>
      <c r="B18690" t="n">
        <v>62233</v>
      </c>
      <c r="C18690" t="inlineStr">
        <is>
          <t>1449/02/31</t>
        </is>
      </c>
    </row>
    <row r="18691">
      <c r="A18691" t="n">
        <v>14490301</v>
      </c>
      <c r="B18691" t="n">
        <v>62234</v>
      </c>
      <c r="C18691" t="inlineStr">
        <is>
          <t>1449/03/01</t>
        </is>
      </c>
    </row>
    <row r="18692">
      <c r="A18692" t="n">
        <v>14490302</v>
      </c>
      <c r="B18692" t="n">
        <v>62235</v>
      </c>
      <c r="C18692" t="inlineStr">
        <is>
          <t>1449/03/02</t>
        </is>
      </c>
    </row>
    <row r="18693">
      <c r="A18693" t="n">
        <v>14490303</v>
      </c>
      <c r="B18693" t="n">
        <v>62236</v>
      </c>
      <c r="C18693" t="inlineStr">
        <is>
          <t>1449/03/03</t>
        </is>
      </c>
    </row>
    <row r="18694">
      <c r="A18694" t="n">
        <v>14490304</v>
      </c>
      <c r="B18694" t="n">
        <v>62237</v>
      </c>
      <c r="C18694" t="inlineStr">
        <is>
          <t>1449/03/04</t>
        </is>
      </c>
    </row>
    <row r="18695">
      <c r="A18695" t="n">
        <v>14490305</v>
      </c>
      <c r="B18695" t="n">
        <v>62238</v>
      </c>
      <c r="C18695" t="inlineStr">
        <is>
          <t>1449/03/05</t>
        </is>
      </c>
    </row>
    <row r="18696">
      <c r="A18696" t="n">
        <v>14490306</v>
      </c>
      <c r="B18696" t="n">
        <v>62239</v>
      </c>
      <c r="C18696" t="inlineStr">
        <is>
          <t>1449/03/06</t>
        </is>
      </c>
    </row>
    <row r="18697">
      <c r="A18697" t="n">
        <v>14490307</v>
      </c>
      <c r="B18697" t="n">
        <v>62240</v>
      </c>
      <c r="C18697" t="inlineStr">
        <is>
          <t>1449/03/07</t>
        </is>
      </c>
    </row>
    <row r="18698">
      <c r="A18698" t="n">
        <v>14490308</v>
      </c>
      <c r="B18698" t="n">
        <v>62241</v>
      </c>
      <c r="C18698" t="inlineStr">
        <is>
          <t>1449/03/08</t>
        </is>
      </c>
    </row>
    <row r="18699">
      <c r="A18699" t="n">
        <v>14490309</v>
      </c>
      <c r="B18699" t="n">
        <v>62242</v>
      </c>
      <c r="C18699" t="inlineStr">
        <is>
          <t>1449/03/09</t>
        </is>
      </c>
    </row>
    <row r="18700">
      <c r="A18700" t="n">
        <v>14490310</v>
      </c>
      <c r="B18700" t="n">
        <v>62243</v>
      </c>
      <c r="C18700" t="inlineStr">
        <is>
          <t>1449/03/10</t>
        </is>
      </c>
    </row>
    <row r="18701">
      <c r="A18701" t="n">
        <v>14490311</v>
      </c>
      <c r="B18701" t="n">
        <v>62244</v>
      </c>
      <c r="C18701" t="inlineStr">
        <is>
          <t>1449/03/11</t>
        </is>
      </c>
    </row>
    <row r="18702">
      <c r="A18702" t="n">
        <v>14490312</v>
      </c>
      <c r="B18702" t="n">
        <v>62245</v>
      </c>
      <c r="C18702" t="inlineStr">
        <is>
          <t>1449/03/12</t>
        </is>
      </c>
    </row>
    <row r="18703">
      <c r="A18703" t="n">
        <v>14490313</v>
      </c>
      <c r="B18703" t="n">
        <v>62246</v>
      </c>
      <c r="C18703" t="inlineStr">
        <is>
          <t>1449/03/13</t>
        </is>
      </c>
    </row>
    <row r="18704">
      <c r="A18704" t="n">
        <v>14490314</v>
      </c>
      <c r="B18704" t="n">
        <v>62247</v>
      </c>
      <c r="C18704" t="inlineStr">
        <is>
          <t>1449/03/14</t>
        </is>
      </c>
    </row>
    <row r="18705">
      <c r="A18705" t="n">
        <v>14490315</v>
      </c>
      <c r="B18705" t="n">
        <v>62248</v>
      </c>
      <c r="C18705" t="inlineStr">
        <is>
          <t>1449/03/15</t>
        </is>
      </c>
    </row>
    <row r="18706">
      <c r="A18706" t="n">
        <v>14490316</v>
      </c>
      <c r="B18706" t="n">
        <v>62249</v>
      </c>
      <c r="C18706" t="inlineStr">
        <is>
          <t>1449/03/16</t>
        </is>
      </c>
    </row>
    <row r="18707">
      <c r="A18707" t="n">
        <v>14490317</v>
      </c>
      <c r="B18707" t="n">
        <v>62250</v>
      </c>
      <c r="C18707" t="inlineStr">
        <is>
          <t>1449/03/17</t>
        </is>
      </c>
    </row>
    <row r="18708">
      <c r="A18708" t="n">
        <v>14490318</v>
      </c>
      <c r="B18708" t="n">
        <v>62251</v>
      </c>
      <c r="C18708" t="inlineStr">
        <is>
          <t>1449/03/18</t>
        </is>
      </c>
    </row>
    <row r="18709">
      <c r="A18709" t="n">
        <v>14490319</v>
      </c>
      <c r="B18709" t="n">
        <v>62252</v>
      </c>
      <c r="C18709" t="inlineStr">
        <is>
          <t>1449/03/19</t>
        </is>
      </c>
    </row>
    <row r="18710">
      <c r="A18710" t="n">
        <v>14490320</v>
      </c>
      <c r="B18710" t="n">
        <v>62253</v>
      </c>
      <c r="C18710" t="inlineStr">
        <is>
          <t>1449/03/20</t>
        </is>
      </c>
    </row>
    <row r="18711">
      <c r="A18711" t="n">
        <v>14490321</v>
      </c>
      <c r="B18711" t="n">
        <v>62254</v>
      </c>
      <c r="C18711" t="inlineStr">
        <is>
          <t>1449/03/21</t>
        </is>
      </c>
    </row>
    <row r="18712">
      <c r="A18712" t="n">
        <v>14490322</v>
      </c>
      <c r="B18712" t="n">
        <v>62255</v>
      </c>
      <c r="C18712" t="inlineStr">
        <is>
          <t>1449/03/22</t>
        </is>
      </c>
    </row>
    <row r="18713">
      <c r="A18713" t="n">
        <v>14490323</v>
      </c>
      <c r="B18713" t="n">
        <v>62256</v>
      </c>
      <c r="C18713" t="inlineStr">
        <is>
          <t>1449/03/23</t>
        </is>
      </c>
    </row>
    <row r="18714">
      <c r="A18714" t="n">
        <v>14490324</v>
      </c>
      <c r="B18714" t="n">
        <v>62257</v>
      </c>
      <c r="C18714" t="inlineStr">
        <is>
          <t>1449/03/24</t>
        </is>
      </c>
    </row>
    <row r="18715">
      <c r="A18715" t="n">
        <v>14490325</v>
      </c>
      <c r="B18715" t="n">
        <v>62258</v>
      </c>
      <c r="C18715" t="inlineStr">
        <is>
          <t>1449/03/25</t>
        </is>
      </c>
    </row>
    <row r="18716">
      <c r="A18716" t="n">
        <v>14490326</v>
      </c>
      <c r="B18716" t="n">
        <v>62259</v>
      </c>
      <c r="C18716" t="inlineStr">
        <is>
          <t>1449/03/26</t>
        </is>
      </c>
    </row>
    <row r="18717">
      <c r="A18717" t="n">
        <v>14490327</v>
      </c>
      <c r="B18717" t="n">
        <v>62260</v>
      </c>
      <c r="C18717" t="inlineStr">
        <is>
          <t>1449/03/27</t>
        </is>
      </c>
    </row>
    <row r="18718">
      <c r="A18718" t="n">
        <v>14490328</v>
      </c>
      <c r="B18718" t="n">
        <v>62261</v>
      </c>
      <c r="C18718" t="inlineStr">
        <is>
          <t>1449/03/28</t>
        </is>
      </c>
    </row>
    <row r="18719">
      <c r="A18719" t="n">
        <v>14490329</v>
      </c>
      <c r="B18719" t="n">
        <v>62262</v>
      </c>
      <c r="C18719" t="inlineStr">
        <is>
          <t>1449/03/29</t>
        </is>
      </c>
    </row>
    <row r="18720">
      <c r="A18720" t="n">
        <v>14490330</v>
      </c>
      <c r="B18720" t="n">
        <v>62263</v>
      </c>
      <c r="C18720" t="inlineStr">
        <is>
          <t>1449/03/30</t>
        </is>
      </c>
    </row>
    <row r="18721">
      <c r="A18721" t="n">
        <v>14490331</v>
      </c>
      <c r="B18721" t="n">
        <v>62264</v>
      </c>
      <c r="C18721" t="inlineStr">
        <is>
          <t>1449/03/31</t>
        </is>
      </c>
    </row>
    <row r="18722">
      <c r="A18722" t="n">
        <v>14490401</v>
      </c>
      <c r="B18722" t="n">
        <v>62265</v>
      </c>
      <c r="C18722" t="inlineStr">
        <is>
          <t>1449/04/01</t>
        </is>
      </c>
    </row>
    <row r="18723">
      <c r="A18723" t="n">
        <v>14490402</v>
      </c>
      <c r="B18723" t="n">
        <v>62266</v>
      </c>
      <c r="C18723" t="inlineStr">
        <is>
          <t>1449/04/02</t>
        </is>
      </c>
    </row>
    <row r="18724">
      <c r="A18724" t="n">
        <v>14490403</v>
      </c>
      <c r="B18724" t="n">
        <v>62267</v>
      </c>
      <c r="C18724" t="inlineStr">
        <is>
          <t>1449/04/03</t>
        </is>
      </c>
    </row>
    <row r="18725">
      <c r="A18725" t="n">
        <v>14490404</v>
      </c>
      <c r="B18725" t="n">
        <v>62268</v>
      </c>
      <c r="C18725" t="inlineStr">
        <is>
          <t>1449/04/04</t>
        </is>
      </c>
    </row>
    <row r="18726">
      <c r="A18726" t="n">
        <v>14490405</v>
      </c>
      <c r="B18726" t="n">
        <v>62269</v>
      </c>
      <c r="C18726" t="inlineStr">
        <is>
          <t>1449/04/05</t>
        </is>
      </c>
    </row>
    <row r="18727">
      <c r="A18727" t="n">
        <v>14490406</v>
      </c>
      <c r="B18727" t="n">
        <v>62270</v>
      </c>
      <c r="C18727" t="inlineStr">
        <is>
          <t>1449/04/06</t>
        </is>
      </c>
    </row>
    <row r="18728">
      <c r="A18728" t="n">
        <v>14490407</v>
      </c>
      <c r="B18728" t="n">
        <v>62271</v>
      </c>
      <c r="C18728" t="inlineStr">
        <is>
          <t>1449/04/07</t>
        </is>
      </c>
    </row>
    <row r="18729">
      <c r="A18729" t="n">
        <v>14490408</v>
      </c>
      <c r="B18729" t="n">
        <v>62272</v>
      </c>
      <c r="C18729" t="inlineStr">
        <is>
          <t>1449/04/08</t>
        </is>
      </c>
    </row>
    <row r="18730">
      <c r="A18730" t="n">
        <v>14490409</v>
      </c>
      <c r="B18730" t="n">
        <v>62273</v>
      </c>
      <c r="C18730" t="inlineStr">
        <is>
          <t>1449/04/09</t>
        </is>
      </c>
    </row>
    <row r="18731">
      <c r="A18731" t="n">
        <v>14490410</v>
      </c>
      <c r="B18731" t="n">
        <v>62274</v>
      </c>
      <c r="C18731" t="inlineStr">
        <is>
          <t>1449/04/10</t>
        </is>
      </c>
    </row>
    <row r="18732">
      <c r="A18732" t="n">
        <v>14490411</v>
      </c>
      <c r="B18732" t="n">
        <v>62275</v>
      </c>
      <c r="C18732" t="inlineStr">
        <is>
          <t>1449/04/11</t>
        </is>
      </c>
    </row>
    <row r="18733">
      <c r="A18733" t="n">
        <v>14490412</v>
      </c>
      <c r="B18733" t="n">
        <v>62276</v>
      </c>
      <c r="C18733" t="inlineStr">
        <is>
          <t>1449/04/12</t>
        </is>
      </c>
    </row>
    <row r="18734">
      <c r="A18734" t="n">
        <v>14490413</v>
      </c>
      <c r="B18734" t="n">
        <v>62277</v>
      </c>
      <c r="C18734" t="inlineStr">
        <is>
          <t>1449/04/13</t>
        </is>
      </c>
    </row>
    <row r="18735">
      <c r="A18735" t="n">
        <v>14490414</v>
      </c>
      <c r="B18735" t="n">
        <v>62278</v>
      </c>
      <c r="C18735" t="inlineStr">
        <is>
          <t>1449/04/14</t>
        </is>
      </c>
    </row>
    <row r="18736">
      <c r="A18736" t="n">
        <v>14490415</v>
      </c>
      <c r="B18736" t="n">
        <v>62279</v>
      </c>
      <c r="C18736" t="inlineStr">
        <is>
          <t>1449/04/15</t>
        </is>
      </c>
    </row>
    <row r="18737">
      <c r="A18737" t="n">
        <v>14490416</v>
      </c>
      <c r="B18737" t="n">
        <v>62280</v>
      </c>
      <c r="C18737" t="inlineStr">
        <is>
          <t>1449/04/16</t>
        </is>
      </c>
    </row>
    <row r="18738">
      <c r="A18738" t="n">
        <v>14490417</v>
      </c>
      <c r="B18738" t="n">
        <v>62281</v>
      </c>
      <c r="C18738" t="inlineStr">
        <is>
          <t>1449/04/17</t>
        </is>
      </c>
    </row>
    <row r="18739">
      <c r="A18739" t="n">
        <v>14490418</v>
      </c>
      <c r="B18739" t="n">
        <v>62282</v>
      </c>
      <c r="C18739" t="inlineStr">
        <is>
          <t>1449/04/18</t>
        </is>
      </c>
    </row>
    <row r="18740">
      <c r="A18740" t="n">
        <v>14490419</v>
      </c>
      <c r="B18740" t="n">
        <v>62283</v>
      </c>
      <c r="C18740" t="inlineStr">
        <is>
          <t>1449/04/19</t>
        </is>
      </c>
    </row>
    <row r="18741">
      <c r="A18741" t="n">
        <v>14490420</v>
      </c>
      <c r="B18741" t="n">
        <v>62284</v>
      </c>
      <c r="C18741" t="inlineStr">
        <is>
          <t>1449/04/20</t>
        </is>
      </c>
    </row>
    <row r="18742">
      <c r="A18742" t="n">
        <v>14490421</v>
      </c>
      <c r="B18742" t="n">
        <v>62285</v>
      </c>
      <c r="C18742" t="inlineStr">
        <is>
          <t>1449/04/21</t>
        </is>
      </c>
    </row>
    <row r="18743">
      <c r="A18743" t="n">
        <v>14490422</v>
      </c>
      <c r="B18743" t="n">
        <v>62286</v>
      </c>
      <c r="C18743" t="inlineStr">
        <is>
          <t>1449/04/22</t>
        </is>
      </c>
    </row>
    <row r="18744">
      <c r="A18744" t="n">
        <v>14490423</v>
      </c>
      <c r="B18744" t="n">
        <v>62287</v>
      </c>
      <c r="C18744" t="inlineStr">
        <is>
          <t>1449/04/23</t>
        </is>
      </c>
    </row>
    <row r="18745">
      <c r="A18745" t="n">
        <v>14490424</v>
      </c>
      <c r="B18745" t="n">
        <v>62288</v>
      </c>
      <c r="C18745" t="inlineStr">
        <is>
          <t>1449/04/24</t>
        </is>
      </c>
    </row>
    <row r="18746">
      <c r="A18746" t="n">
        <v>14490425</v>
      </c>
      <c r="B18746" t="n">
        <v>62289</v>
      </c>
      <c r="C18746" t="inlineStr">
        <is>
          <t>1449/04/25</t>
        </is>
      </c>
    </row>
    <row r="18747">
      <c r="A18747" t="n">
        <v>14490426</v>
      </c>
      <c r="B18747" t="n">
        <v>62290</v>
      </c>
      <c r="C18747" t="inlineStr">
        <is>
          <t>1449/04/26</t>
        </is>
      </c>
    </row>
    <row r="18748">
      <c r="A18748" t="n">
        <v>14490427</v>
      </c>
      <c r="B18748" t="n">
        <v>62291</v>
      </c>
      <c r="C18748" t="inlineStr">
        <is>
          <t>1449/04/27</t>
        </is>
      </c>
    </row>
    <row r="18749">
      <c r="A18749" t="n">
        <v>14490428</v>
      </c>
      <c r="B18749" t="n">
        <v>62292</v>
      </c>
      <c r="C18749" t="inlineStr">
        <is>
          <t>1449/04/28</t>
        </is>
      </c>
    </row>
    <row r="18750">
      <c r="A18750" t="n">
        <v>14490429</v>
      </c>
      <c r="B18750" t="n">
        <v>62293</v>
      </c>
      <c r="C18750" t="inlineStr">
        <is>
          <t>1449/04/29</t>
        </is>
      </c>
    </row>
    <row r="18751">
      <c r="A18751" t="n">
        <v>14490430</v>
      </c>
      <c r="B18751" t="n">
        <v>62294</v>
      </c>
      <c r="C18751" t="inlineStr">
        <is>
          <t>1449/04/30</t>
        </is>
      </c>
    </row>
    <row r="18752">
      <c r="A18752" t="n">
        <v>14490431</v>
      </c>
      <c r="B18752" t="n">
        <v>62295</v>
      </c>
      <c r="C18752" t="inlineStr">
        <is>
          <t>1449/04/31</t>
        </is>
      </c>
    </row>
    <row r="18753">
      <c r="A18753" t="n">
        <v>14490501</v>
      </c>
      <c r="B18753" t="n">
        <v>62296</v>
      </c>
      <c r="C18753" t="inlineStr">
        <is>
          <t>1449/05/01</t>
        </is>
      </c>
    </row>
    <row r="18754">
      <c r="A18754" t="n">
        <v>14490502</v>
      </c>
      <c r="B18754" t="n">
        <v>62297</v>
      </c>
      <c r="C18754" t="inlineStr">
        <is>
          <t>1449/05/02</t>
        </is>
      </c>
    </row>
    <row r="18755">
      <c r="A18755" t="n">
        <v>14490503</v>
      </c>
      <c r="B18755" t="n">
        <v>62298</v>
      </c>
      <c r="C18755" t="inlineStr">
        <is>
          <t>1449/05/03</t>
        </is>
      </c>
    </row>
    <row r="18756">
      <c r="A18756" t="n">
        <v>14490504</v>
      </c>
      <c r="B18756" t="n">
        <v>62299</v>
      </c>
      <c r="C18756" t="inlineStr">
        <is>
          <t>1449/05/04</t>
        </is>
      </c>
    </row>
    <row r="18757">
      <c r="A18757" t="n">
        <v>14490505</v>
      </c>
      <c r="B18757" t="n">
        <v>62300</v>
      </c>
      <c r="C18757" t="inlineStr">
        <is>
          <t>1449/05/05</t>
        </is>
      </c>
    </row>
    <row r="18758">
      <c r="A18758" t="n">
        <v>14490506</v>
      </c>
      <c r="B18758" t="n">
        <v>62301</v>
      </c>
      <c r="C18758" t="inlineStr">
        <is>
          <t>1449/05/06</t>
        </is>
      </c>
    </row>
    <row r="18759">
      <c r="A18759" t="n">
        <v>14490507</v>
      </c>
      <c r="B18759" t="n">
        <v>62302</v>
      </c>
      <c r="C18759" t="inlineStr">
        <is>
          <t>1449/05/07</t>
        </is>
      </c>
    </row>
    <row r="18760">
      <c r="A18760" t="n">
        <v>14490508</v>
      </c>
      <c r="B18760" t="n">
        <v>62303</v>
      </c>
      <c r="C18760" t="inlineStr">
        <is>
          <t>1449/05/08</t>
        </is>
      </c>
    </row>
    <row r="18761">
      <c r="A18761" t="n">
        <v>14490509</v>
      </c>
      <c r="B18761" t="n">
        <v>62304</v>
      </c>
      <c r="C18761" t="inlineStr">
        <is>
          <t>1449/05/09</t>
        </is>
      </c>
    </row>
    <row r="18762">
      <c r="A18762" t="n">
        <v>14490510</v>
      </c>
      <c r="B18762" t="n">
        <v>62305</v>
      </c>
      <c r="C18762" t="inlineStr">
        <is>
          <t>1449/05/10</t>
        </is>
      </c>
    </row>
    <row r="18763">
      <c r="A18763" t="n">
        <v>14490511</v>
      </c>
      <c r="B18763" t="n">
        <v>62306</v>
      </c>
      <c r="C18763" t="inlineStr">
        <is>
          <t>1449/05/11</t>
        </is>
      </c>
    </row>
    <row r="18764">
      <c r="A18764" t="n">
        <v>14490512</v>
      </c>
      <c r="B18764" t="n">
        <v>62307</v>
      </c>
      <c r="C18764" t="inlineStr">
        <is>
          <t>1449/05/12</t>
        </is>
      </c>
    </row>
    <row r="18765">
      <c r="A18765" t="n">
        <v>14490513</v>
      </c>
      <c r="B18765" t="n">
        <v>62308</v>
      </c>
      <c r="C18765" t="inlineStr">
        <is>
          <t>1449/05/13</t>
        </is>
      </c>
    </row>
    <row r="18766">
      <c r="A18766" t="n">
        <v>14490514</v>
      </c>
      <c r="B18766" t="n">
        <v>62309</v>
      </c>
      <c r="C18766" t="inlineStr">
        <is>
          <t>1449/05/14</t>
        </is>
      </c>
    </row>
    <row r="18767">
      <c r="A18767" t="n">
        <v>14490515</v>
      </c>
      <c r="B18767" t="n">
        <v>62310</v>
      </c>
      <c r="C18767" t="inlineStr">
        <is>
          <t>1449/05/15</t>
        </is>
      </c>
    </row>
    <row r="18768">
      <c r="A18768" t="n">
        <v>14490516</v>
      </c>
      <c r="B18768" t="n">
        <v>62311</v>
      </c>
      <c r="C18768" t="inlineStr">
        <is>
          <t>1449/05/16</t>
        </is>
      </c>
    </row>
    <row r="18769">
      <c r="A18769" t="n">
        <v>14490517</v>
      </c>
      <c r="B18769" t="n">
        <v>62312</v>
      </c>
      <c r="C18769" t="inlineStr">
        <is>
          <t>1449/05/17</t>
        </is>
      </c>
    </row>
    <row r="18770">
      <c r="A18770" t="n">
        <v>14490518</v>
      </c>
      <c r="B18770" t="n">
        <v>62313</v>
      </c>
      <c r="C18770" t="inlineStr">
        <is>
          <t>1449/05/18</t>
        </is>
      </c>
    </row>
    <row r="18771">
      <c r="A18771" t="n">
        <v>14490519</v>
      </c>
      <c r="B18771" t="n">
        <v>62314</v>
      </c>
      <c r="C18771" t="inlineStr">
        <is>
          <t>1449/05/19</t>
        </is>
      </c>
    </row>
    <row r="18772">
      <c r="A18772" t="n">
        <v>14490520</v>
      </c>
      <c r="B18772" t="n">
        <v>62315</v>
      </c>
      <c r="C18772" t="inlineStr">
        <is>
          <t>1449/05/20</t>
        </is>
      </c>
    </row>
    <row r="18773">
      <c r="A18773" t="n">
        <v>14490521</v>
      </c>
      <c r="B18773" t="n">
        <v>62316</v>
      </c>
      <c r="C18773" t="inlineStr">
        <is>
          <t>1449/05/21</t>
        </is>
      </c>
    </row>
    <row r="18774">
      <c r="A18774" t="n">
        <v>14490522</v>
      </c>
      <c r="B18774" t="n">
        <v>62317</v>
      </c>
      <c r="C18774" t="inlineStr">
        <is>
          <t>1449/05/22</t>
        </is>
      </c>
    </row>
    <row r="18775">
      <c r="A18775" t="n">
        <v>14490523</v>
      </c>
      <c r="B18775" t="n">
        <v>62318</v>
      </c>
      <c r="C18775" t="inlineStr">
        <is>
          <t>1449/05/23</t>
        </is>
      </c>
    </row>
    <row r="18776">
      <c r="A18776" t="n">
        <v>14490524</v>
      </c>
      <c r="B18776" t="n">
        <v>62319</v>
      </c>
      <c r="C18776" t="inlineStr">
        <is>
          <t>1449/05/24</t>
        </is>
      </c>
    </row>
    <row r="18777">
      <c r="A18777" t="n">
        <v>14490525</v>
      </c>
      <c r="B18777" t="n">
        <v>62320</v>
      </c>
      <c r="C18777" t="inlineStr">
        <is>
          <t>1449/05/25</t>
        </is>
      </c>
    </row>
    <row r="18778">
      <c r="A18778" t="n">
        <v>14490526</v>
      </c>
      <c r="B18778" t="n">
        <v>62321</v>
      </c>
      <c r="C18778" t="inlineStr">
        <is>
          <t>1449/05/26</t>
        </is>
      </c>
    </row>
    <row r="18779">
      <c r="A18779" t="n">
        <v>14490527</v>
      </c>
      <c r="B18779" t="n">
        <v>62322</v>
      </c>
      <c r="C18779" t="inlineStr">
        <is>
          <t>1449/05/27</t>
        </is>
      </c>
    </row>
    <row r="18780">
      <c r="A18780" t="n">
        <v>14490528</v>
      </c>
      <c r="B18780" t="n">
        <v>62323</v>
      </c>
      <c r="C18780" t="inlineStr">
        <is>
          <t>1449/05/28</t>
        </is>
      </c>
    </row>
    <row r="18781">
      <c r="A18781" t="n">
        <v>14490529</v>
      </c>
      <c r="B18781" t="n">
        <v>62324</v>
      </c>
      <c r="C18781" t="inlineStr">
        <is>
          <t>1449/05/29</t>
        </is>
      </c>
    </row>
    <row r="18782">
      <c r="A18782" t="n">
        <v>14490530</v>
      </c>
      <c r="B18782" t="n">
        <v>62325</v>
      </c>
      <c r="C18782" t="inlineStr">
        <is>
          <t>1449/05/30</t>
        </is>
      </c>
    </row>
    <row r="18783">
      <c r="A18783" t="n">
        <v>14490531</v>
      </c>
      <c r="B18783" t="n">
        <v>62326</v>
      </c>
      <c r="C18783" t="inlineStr">
        <is>
          <t>1449/05/31</t>
        </is>
      </c>
    </row>
    <row r="18784">
      <c r="A18784" t="n">
        <v>14490601</v>
      </c>
      <c r="B18784" t="n">
        <v>62327</v>
      </c>
      <c r="C18784" t="inlineStr">
        <is>
          <t>1449/06/01</t>
        </is>
      </c>
    </row>
    <row r="18785">
      <c r="A18785" t="n">
        <v>14490602</v>
      </c>
      <c r="B18785" t="n">
        <v>62328</v>
      </c>
      <c r="C18785" t="inlineStr">
        <is>
          <t>1449/06/02</t>
        </is>
      </c>
    </row>
    <row r="18786">
      <c r="A18786" t="n">
        <v>14490603</v>
      </c>
      <c r="B18786" t="n">
        <v>62329</v>
      </c>
      <c r="C18786" t="inlineStr">
        <is>
          <t>1449/06/03</t>
        </is>
      </c>
    </row>
    <row r="18787">
      <c r="A18787" t="n">
        <v>14490604</v>
      </c>
      <c r="B18787" t="n">
        <v>62330</v>
      </c>
      <c r="C18787" t="inlineStr">
        <is>
          <t>1449/06/04</t>
        </is>
      </c>
    </row>
    <row r="18788">
      <c r="A18788" t="n">
        <v>14490605</v>
      </c>
      <c r="B18788" t="n">
        <v>62331</v>
      </c>
      <c r="C18788" t="inlineStr">
        <is>
          <t>1449/06/05</t>
        </is>
      </c>
    </row>
    <row r="18789">
      <c r="A18789" t="n">
        <v>14490606</v>
      </c>
      <c r="B18789" t="n">
        <v>62332</v>
      </c>
      <c r="C18789" t="inlineStr">
        <is>
          <t>1449/06/06</t>
        </is>
      </c>
    </row>
    <row r="18790">
      <c r="A18790" t="n">
        <v>14490607</v>
      </c>
      <c r="B18790" t="n">
        <v>62333</v>
      </c>
      <c r="C18790" t="inlineStr">
        <is>
          <t>1449/06/07</t>
        </is>
      </c>
    </row>
    <row r="18791">
      <c r="A18791" t="n">
        <v>14490608</v>
      </c>
      <c r="B18791" t="n">
        <v>62334</v>
      </c>
      <c r="C18791" t="inlineStr">
        <is>
          <t>1449/06/08</t>
        </is>
      </c>
    </row>
    <row r="18792">
      <c r="A18792" t="n">
        <v>14490609</v>
      </c>
      <c r="B18792" t="n">
        <v>62335</v>
      </c>
      <c r="C18792" t="inlineStr">
        <is>
          <t>1449/06/09</t>
        </is>
      </c>
    </row>
    <row r="18793">
      <c r="A18793" t="n">
        <v>14490610</v>
      </c>
      <c r="B18793" t="n">
        <v>62336</v>
      </c>
      <c r="C18793" t="inlineStr">
        <is>
          <t>1449/06/10</t>
        </is>
      </c>
    </row>
    <row r="18794">
      <c r="A18794" t="n">
        <v>14490611</v>
      </c>
      <c r="B18794" t="n">
        <v>62337</v>
      </c>
      <c r="C18794" t="inlineStr">
        <is>
          <t>1449/06/11</t>
        </is>
      </c>
    </row>
    <row r="18795">
      <c r="A18795" t="n">
        <v>14490612</v>
      </c>
      <c r="B18795" t="n">
        <v>62338</v>
      </c>
      <c r="C18795" t="inlineStr">
        <is>
          <t>1449/06/12</t>
        </is>
      </c>
    </row>
    <row r="18796">
      <c r="A18796" t="n">
        <v>14490613</v>
      </c>
      <c r="B18796" t="n">
        <v>62339</v>
      </c>
      <c r="C18796" t="inlineStr">
        <is>
          <t>1449/06/13</t>
        </is>
      </c>
    </row>
    <row r="18797">
      <c r="A18797" t="n">
        <v>14490614</v>
      </c>
      <c r="B18797" t="n">
        <v>62340</v>
      </c>
      <c r="C18797" t="inlineStr">
        <is>
          <t>1449/06/14</t>
        </is>
      </c>
    </row>
    <row r="18798">
      <c r="A18798" t="n">
        <v>14490615</v>
      </c>
      <c r="B18798" t="n">
        <v>62341</v>
      </c>
      <c r="C18798" t="inlineStr">
        <is>
          <t>1449/06/15</t>
        </is>
      </c>
    </row>
    <row r="18799">
      <c r="A18799" t="n">
        <v>14490616</v>
      </c>
      <c r="B18799" t="n">
        <v>62342</v>
      </c>
      <c r="C18799" t="inlineStr">
        <is>
          <t>1449/06/16</t>
        </is>
      </c>
    </row>
    <row r="18800">
      <c r="A18800" t="n">
        <v>14490617</v>
      </c>
      <c r="B18800" t="n">
        <v>62343</v>
      </c>
      <c r="C18800" t="inlineStr">
        <is>
          <t>1449/06/17</t>
        </is>
      </c>
    </row>
    <row r="18801">
      <c r="A18801" t="n">
        <v>14490618</v>
      </c>
      <c r="B18801" t="n">
        <v>62344</v>
      </c>
      <c r="C18801" t="inlineStr">
        <is>
          <t>1449/06/18</t>
        </is>
      </c>
    </row>
    <row r="18802">
      <c r="A18802" t="n">
        <v>14490619</v>
      </c>
      <c r="B18802" t="n">
        <v>62345</v>
      </c>
      <c r="C18802" t="inlineStr">
        <is>
          <t>1449/06/19</t>
        </is>
      </c>
    </row>
    <row r="18803">
      <c r="A18803" t="n">
        <v>14490620</v>
      </c>
      <c r="B18803" t="n">
        <v>62346</v>
      </c>
      <c r="C18803" t="inlineStr">
        <is>
          <t>1449/06/20</t>
        </is>
      </c>
    </row>
    <row r="18804">
      <c r="A18804" t="n">
        <v>14490621</v>
      </c>
      <c r="B18804" t="n">
        <v>62347</v>
      </c>
      <c r="C18804" t="inlineStr">
        <is>
          <t>1449/06/21</t>
        </is>
      </c>
    </row>
    <row r="18805">
      <c r="A18805" t="n">
        <v>14490622</v>
      </c>
      <c r="B18805" t="n">
        <v>62348</v>
      </c>
      <c r="C18805" t="inlineStr">
        <is>
          <t>1449/06/22</t>
        </is>
      </c>
    </row>
    <row r="18806">
      <c r="A18806" t="n">
        <v>14490623</v>
      </c>
      <c r="B18806" t="n">
        <v>62349</v>
      </c>
      <c r="C18806" t="inlineStr">
        <is>
          <t>1449/06/23</t>
        </is>
      </c>
    </row>
    <row r="18807">
      <c r="A18807" t="n">
        <v>14490624</v>
      </c>
      <c r="B18807" t="n">
        <v>62350</v>
      </c>
      <c r="C18807" t="inlineStr">
        <is>
          <t>1449/06/24</t>
        </is>
      </c>
    </row>
    <row r="18808">
      <c r="A18808" t="n">
        <v>14490625</v>
      </c>
      <c r="B18808" t="n">
        <v>62351</v>
      </c>
      <c r="C18808" t="inlineStr">
        <is>
          <t>1449/06/25</t>
        </is>
      </c>
    </row>
    <row r="18809">
      <c r="A18809" t="n">
        <v>14490626</v>
      </c>
      <c r="B18809" t="n">
        <v>62352</v>
      </c>
      <c r="C18809" t="inlineStr">
        <is>
          <t>1449/06/26</t>
        </is>
      </c>
    </row>
    <row r="18810">
      <c r="A18810" t="n">
        <v>14490627</v>
      </c>
      <c r="B18810" t="n">
        <v>62353</v>
      </c>
      <c r="C18810" t="inlineStr">
        <is>
          <t>1449/06/27</t>
        </is>
      </c>
    </row>
    <row r="18811">
      <c r="A18811" t="n">
        <v>14490628</v>
      </c>
      <c r="B18811" t="n">
        <v>62354</v>
      </c>
      <c r="C18811" t="inlineStr">
        <is>
          <t>1449/06/28</t>
        </is>
      </c>
    </row>
    <row r="18812">
      <c r="A18812" t="n">
        <v>14490629</v>
      </c>
      <c r="B18812" t="n">
        <v>62355</v>
      </c>
      <c r="C18812" t="inlineStr">
        <is>
          <t>1449/06/29</t>
        </is>
      </c>
    </row>
    <row r="18813">
      <c r="A18813" t="n">
        <v>14490630</v>
      </c>
      <c r="B18813" t="n">
        <v>62356</v>
      </c>
      <c r="C18813" t="inlineStr">
        <is>
          <t>1449/06/30</t>
        </is>
      </c>
    </row>
    <row r="18814">
      <c r="A18814" t="n">
        <v>14490631</v>
      </c>
      <c r="B18814" t="n">
        <v>62357</v>
      </c>
      <c r="C18814" t="inlineStr">
        <is>
          <t>1449/06/31</t>
        </is>
      </c>
    </row>
    <row r="18815">
      <c r="A18815" t="n">
        <v>14490701</v>
      </c>
      <c r="B18815" t="n">
        <v>62358</v>
      </c>
      <c r="C18815" t="inlineStr">
        <is>
          <t>1449/07/01</t>
        </is>
      </c>
    </row>
    <row r="18816">
      <c r="A18816" t="n">
        <v>14490702</v>
      </c>
      <c r="B18816" t="n">
        <v>62359</v>
      </c>
      <c r="C18816" t="inlineStr">
        <is>
          <t>1449/07/02</t>
        </is>
      </c>
    </row>
    <row r="18817">
      <c r="A18817" t="n">
        <v>14490703</v>
      </c>
      <c r="B18817" t="n">
        <v>62360</v>
      </c>
      <c r="C18817" t="inlineStr">
        <is>
          <t>1449/07/03</t>
        </is>
      </c>
    </row>
    <row r="18818">
      <c r="A18818" t="n">
        <v>14490704</v>
      </c>
      <c r="B18818" t="n">
        <v>62361</v>
      </c>
      <c r="C18818" t="inlineStr">
        <is>
          <t>1449/07/04</t>
        </is>
      </c>
    </row>
    <row r="18819">
      <c r="A18819" t="n">
        <v>14490705</v>
      </c>
      <c r="B18819" t="n">
        <v>62362</v>
      </c>
      <c r="C18819" t="inlineStr">
        <is>
          <t>1449/07/05</t>
        </is>
      </c>
    </row>
    <row r="18820">
      <c r="A18820" t="n">
        <v>14490706</v>
      </c>
      <c r="B18820" t="n">
        <v>62363</v>
      </c>
      <c r="C18820" t="inlineStr">
        <is>
          <t>1449/07/06</t>
        </is>
      </c>
    </row>
    <row r="18821">
      <c r="A18821" t="n">
        <v>14490707</v>
      </c>
      <c r="B18821" t="n">
        <v>62364</v>
      </c>
      <c r="C18821" t="inlineStr">
        <is>
          <t>1449/07/07</t>
        </is>
      </c>
    </row>
    <row r="18822">
      <c r="A18822" t="n">
        <v>14490708</v>
      </c>
      <c r="B18822" t="n">
        <v>62365</v>
      </c>
      <c r="C18822" t="inlineStr">
        <is>
          <t>1449/07/08</t>
        </is>
      </c>
    </row>
    <row r="18823">
      <c r="A18823" t="n">
        <v>14490709</v>
      </c>
      <c r="B18823" t="n">
        <v>62366</v>
      </c>
      <c r="C18823" t="inlineStr">
        <is>
          <t>1449/07/09</t>
        </is>
      </c>
    </row>
    <row r="18824">
      <c r="A18824" t="n">
        <v>14490710</v>
      </c>
      <c r="B18824" t="n">
        <v>62367</v>
      </c>
      <c r="C18824" t="inlineStr">
        <is>
          <t>1449/07/10</t>
        </is>
      </c>
    </row>
    <row r="18825">
      <c r="A18825" t="n">
        <v>14490711</v>
      </c>
      <c r="B18825" t="n">
        <v>62368</v>
      </c>
      <c r="C18825" t="inlineStr">
        <is>
          <t>1449/07/11</t>
        </is>
      </c>
    </row>
    <row r="18826">
      <c r="A18826" t="n">
        <v>14490712</v>
      </c>
      <c r="B18826" t="n">
        <v>62369</v>
      </c>
      <c r="C18826" t="inlineStr">
        <is>
          <t>1449/07/12</t>
        </is>
      </c>
    </row>
    <row r="18827">
      <c r="A18827" t="n">
        <v>14490713</v>
      </c>
      <c r="B18827" t="n">
        <v>62370</v>
      </c>
      <c r="C18827" t="inlineStr">
        <is>
          <t>1449/07/13</t>
        </is>
      </c>
    </row>
    <row r="18828">
      <c r="A18828" t="n">
        <v>14490714</v>
      </c>
      <c r="B18828" t="n">
        <v>62371</v>
      </c>
      <c r="C18828" t="inlineStr">
        <is>
          <t>1449/07/14</t>
        </is>
      </c>
    </row>
    <row r="18829">
      <c r="A18829" t="n">
        <v>14490715</v>
      </c>
      <c r="B18829" t="n">
        <v>62372</v>
      </c>
      <c r="C18829" t="inlineStr">
        <is>
          <t>1449/07/15</t>
        </is>
      </c>
    </row>
    <row r="18830">
      <c r="A18830" t="n">
        <v>14490716</v>
      </c>
      <c r="B18830" t="n">
        <v>62373</v>
      </c>
      <c r="C18830" t="inlineStr">
        <is>
          <t>1449/07/16</t>
        </is>
      </c>
    </row>
    <row r="18831">
      <c r="A18831" t="n">
        <v>14490717</v>
      </c>
      <c r="B18831" t="n">
        <v>62374</v>
      </c>
      <c r="C18831" t="inlineStr">
        <is>
          <t>1449/07/17</t>
        </is>
      </c>
    </row>
    <row r="18832">
      <c r="A18832" t="n">
        <v>14490718</v>
      </c>
      <c r="B18832" t="n">
        <v>62375</v>
      </c>
      <c r="C18832" t="inlineStr">
        <is>
          <t>1449/07/18</t>
        </is>
      </c>
    </row>
    <row r="18833">
      <c r="A18833" t="n">
        <v>14490719</v>
      </c>
      <c r="B18833" t="n">
        <v>62376</v>
      </c>
      <c r="C18833" t="inlineStr">
        <is>
          <t>1449/07/19</t>
        </is>
      </c>
    </row>
    <row r="18834">
      <c r="A18834" t="n">
        <v>14490720</v>
      </c>
      <c r="B18834" t="n">
        <v>62377</v>
      </c>
      <c r="C18834" t="inlineStr">
        <is>
          <t>1449/07/20</t>
        </is>
      </c>
    </row>
    <row r="18835">
      <c r="A18835" t="n">
        <v>14490721</v>
      </c>
      <c r="B18835" t="n">
        <v>62378</v>
      </c>
      <c r="C18835" t="inlineStr">
        <is>
          <t>1449/07/21</t>
        </is>
      </c>
    </row>
    <row r="18836">
      <c r="A18836" t="n">
        <v>14490722</v>
      </c>
      <c r="B18836" t="n">
        <v>62379</v>
      </c>
      <c r="C18836" t="inlineStr">
        <is>
          <t>1449/07/22</t>
        </is>
      </c>
    </row>
    <row r="18837">
      <c r="A18837" t="n">
        <v>14490723</v>
      </c>
      <c r="B18837" t="n">
        <v>62380</v>
      </c>
      <c r="C18837" t="inlineStr">
        <is>
          <t>1449/07/23</t>
        </is>
      </c>
    </row>
    <row r="18838">
      <c r="A18838" t="n">
        <v>14490724</v>
      </c>
      <c r="B18838" t="n">
        <v>62381</v>
      </c>
      <c r="C18838" t="inlineStr">
        <is>
          <t>1449/07/24</t>
        </is>
      </c>
    </row>
    <row r="18839">
      <c r="A18839" t="n">
        <v>14490725</v>
      </c>
      <c r="B18839" t="n">
        <v>62382</v>
      </c>
      <c r="C18839" t="inlineStr">
        <is>
          <t>1449/07/25</t>
        </is>
      </c>
    </row>
    <row r="18840">
      <c r="A18840" t="n">
        <v>14490726</v>
      </c>
      <c r="B18840" t="n">
        <v>62383</v>
      </c>
      <c r="C18840" t="inlineStr">
        <is>
          <t>1449/07/26</t>
        </is>
      </c>
    </row>
    <row r="18841">
      <c r="A18841" t="n">
        <v>14490727</v>
      </c>
      <c r="B18841" t="n">
        <v>62384</v>
      </c>
      <c r="C18841" t="inlineStr">
        <is>
          <t>1449/07/27</t>
        </is>
      </c>
    </row>
    <row r="18842">
      <c r="A18842" t="n">
        <v>14490728</v>
      </c>
      <c r="B18842" t="n">
        <v>62385</v>
      </c>
      <c r="C18842" t="inlineStr">
        <is>
          <t>1449/07/28</t>
        </is>
      </c>
    </row>
    <row r="18843">
      <c r="A18843" t="n">
        <v>14490729</v>
      </c>
      <c r="B18843" t="n">
        <v>62386</v>
      </c>
      <c r="C18843" t="inlineStr">
        <is>
          <t>1449/07/29</t>
        </is>
      </c>
    </row>
    <row r="18844">
      <c r="A18844" t="n">
        <v>14490730</v>
      </c>
      <c r="B18844" t="n">
        <v>62387</v>
      </c>
      <c r="C18844" t="inlineStr">
        <is>
          <t>1449/07/30</t>
        </is>
      </c>
    </row>
    <row r="18845">
      <c r="A18845" t="n">
        <v>14490801</v>
      </c>
      <c r="B18845" t="n">
        <v>62388</v>
      </c>
      <c r="C18845" t="inlineStr">
        <is>
          <t>1449/08/01</t>
        </is>
      </c>
    </row>
    <row r="18846">
      <c r="A18846" t="n">
        <v>14490802</v>
      </c>
      <c r="B18846" t="n">
        <v>62389</v>
      </c>
      <c r="C18846" t="inlineStr">
        <is>
          <t>1449/08/02</t>
        </is>
      </c>
    </row>
    <row r="18847">
      <c r="A18847" t="n">
        <v>14490803</v>
      </c>
      <c r="B18847" t="n">
        <v>62390</v>
      </c>
      <c r="C18847" t="inlineStr">
        <is>
          <t>1449/08/03</t>
        </is>
      </c>
    </row>
    <row r="18848">
      <c r="A18848" t="n">
        <v>14490804</v>
      </c>
      <c r="B18848" t="n">
        <v>62391</v>
      </c>
      <c r="C18848" t="inlineStr">
        <is>
          <t>1449/08/04</t>
        </is>
      </c>
    </row>
    <row r="18849">
      <c r="A18849" t="n">
        <v>14490805</v>
      </c>
      <c r="B18849" t="n">
        <v>62392</v>
      </c>
      <c r="C18849" t="inlineStr">
        <is>
          <t>1449/08/05</t>
        </is>
      </c>
    </row>
    <row r="18850">
      <c r="A18850" t="n">
        <v>14490806</v>
      </c>
      <c r="B18850" t="n">
        <v>62393</v>
      </c>
      <c r="C18850" t="inlineStr">
        <is>
          <t>1449/08/06</t>
        </is>
      </c>
    </row>
    <row r="18851">
      <c r="A18851" t="n">
        <v>14490807</v>
      </c>
      <c r="B18851" t="n">
        <v>62394</v>
      </c>
      <c r="C18851" t="inlineStr">
        <is>
          <t>1449/08/07</t>
        </is>
      </c>
    </row>
    <row r="18852">
      <c r="A18852" t="n">
        <v>14490808</v>
      </c>
      <c r="B18852" t="n">
        <v>62395</v>
      </c>
      <c r="C18852" t="inlineStr">
        <is>
          <t>1449/08/08</t>
        </is>
      </c>
    </row>
    <row r="18853">
      <c r="A18853" t="n">
        <v>14490809</v>
      </c>
      <c r="B18853" t="n">
        <v>62396</v>
      </c>
      <c r="C18853" t="inlineStr">
        <is>
          <t>1449/08/09</t>
        </is>
      </c>
    </row>
    <row r="18854">
      <c r="A18854" t="n">
        <v>14490810</v>
      </c>
      <c r="B18854" t="n">
        <v>62397</v>
      </c>
      <c r="C18854" t="inlineStr">
        <is>
          <t>1449/08/10</t>
        </is>
      </c>
    </row>
    <row r="18855">
      <c r="A18855" t="n">
        <v>14490811</v>
      </c>
      <c r="B18855" t="n">
        <v>62398</v>
      </c>
      <c r="C18855" t="inlineStr">
        <is>
          <t>1449/08/11</t>
        </is>
      </c>
    </row>
    <row r="18856">
      <c r="A18856" t="n">
        <v>14490812</v>
      </c>
      <c r="B18856" t="n">
        <v>62399</v>
      </c>
      <c r="C18856" t="inlineStr">
        <is>
          <t>1449/08/12</t>
        </is>
      </c>
    </row>
    <row r="18857">
      <c r="A18857" t="n">
        <v>14490813</v>
      </c>
      <c r="B18857" t="n">
        <v>62400</v>
      </c>
      <c r="C18857" t="inlineStr">
        <is>
          <t>1449/08/13</t>
        </is>
      </c>
    </row>
    <row r="18858">
      <c r="A18858" t="n">
        <v>14490814</v>
      </c>
      <c r="B18858" t="n">
        <v>62401</v>
      </c>
      <c r="C18858" t="inlineStr">
        <is>
          <t>1449/08/14</t>
        </is>
      </c>
    </row>
    <row r="18859">
      <c r="A18859" t="n">
        <v>14490815</v>
      </c>
      <c r="B18859" t="n">
        <v>62402</v>
      </c>
      <c r="C18859" t="inlineStr">
        <is>
          <t>1449/08/15</t>
        </is>
      </c>
    </row>
    <row r="18860">
      <c r="A18860" t="n">
        <v>14490816</v>
      </c>
      <c r="B18860" t="n">
        <v>62403</v>
      </c>
      <c r="C18860" t="inlineStr">
        <is>
          <t>1449/08/16</t>
        </is>
      </c>
    </row>
    <row r="18861">
      <c r="A18861" t="n">
        <v>14490817</v>
      </c>
      <c r="B18861" t="n">
        <v>62404</v>
      </c>
      <c r="C18861" t="inlineStr">
        <is>
          <t>1449/08/17</t>
        </is>
      </c>
    </row>
    <row r="18862">
      <c r="A18862" t="n">
        <v>14490818</v>
      </c>
      <c r="B18862" t="n">
        <v>62405</v>
      </c>
      <c r="C18862" t="inlineStr">
        <is>
          <t>1449/08/18</t>
        </is>
      </c>
    </row>
    <row r="18863">
      <c r="A18863" t="n">
        <v>14490819</v>
      </c>
      <c r="B18863" t="n">
        <v>62406</v>
      </c>
      <c r="C18863" t="inlineStr">
        <is>
          <t>1449/08/19</t>
        </is>
      </c>
    </row>
    <row r="18864">
      <c r="A18864" t="n">
        <v>14490820</v>
      </c>
      <c r="B18864" t="n">
        <v>62407</v>
      </c>
      <c r="C18864" t="inlineStr">
        <is>
          <t>1449/08/20</t>
        </is>
      </c>
    </row>
    <row r="18865">
      <c r="A18865" t="n">
        <v>14490821</v>
      </c>
      <c r="B18865" t="n">
        <v>62408</v>
      </c>
      <c r="C18865" t="inlineStr">
        <is>
          <t>1449/08/21</t>
        </is>
      </c>
    </row>
    <row r="18866">
      <c r="A18866" t="n">
        <v>14490822</v>
      </c>
      <c r="B18866" t="n">
        <v>62409</v>
      </c>
      <c r="C18866" t="inlineStr">
        <is>
          <t>1449/08/22</t>
        </is>
      </c>
    </row>
    <row r="18867">
      <c r="A18867" t="n">
        <v>14490823</v>
      </c>
      <c r="B18867" t="n">
        <v>62410</v>
      </c>
      <c r="C18867" t="inlineStr">
        <is>
          <t>1449/08/23</t>
        </is>
      </c>
    </row>
    <row r="18868">
      <c r="A18868" t="n">
        <v>14490824</v>
      </c>
      <c r="B18868" t="n">
        <v>62411</v>
      </c>
      <c r="C18868" t="inlineStr">
        <is>
          <t>1449/08/24</t>
        </is>
      </c>
    </row>
    <row r="18869">
      <c r="A18869" t="n">
        <v>14490825</v>
      </c>
      <c r="B18869" t="n">
        <v>62412</v>
      </c>
      <c r="C18869" t="inlineStr">
        <is>
          <t>1449/08/25</t>
        </is>
      </c>
    </row>
    <row r="18870">
      <c r="A18870" t="n">
        <v>14490826</v>
      </c>
      <c r="B18870" t="n">
        <v>62413</v>
      </c>
      <c r="C18870" t="inlineStr">
        <is>
          <t>1449/08/26</t>
        </is>
      </c>
    </row>
    <row r="18871">
      <c r="A18871" t="n">
        <v>14490827</v>
      </c>
      <c r="B18871" t="n">
        <v>62414</v>
      </c>
      <c r="C18871" t="inlineStr">
        <is>
          <t>1449/08/27</t>
        </is>
      </c>
    </row>
    <row r="18872">
      <c r="A18872" t="n">
        <v>14490828</v>
      </c>
      <c r="B18872" t="n">
        <v>62415</v>
      </c>
      <c r="C18872" t="inlineStr">
        <is>
          <t>1449/08/28</t>
        </is>
      </c>
    </row>
    <row r="18873">
      <c r="A18873" t="n">
        <v>14490829</v>
      </c>
      <c r="B18873" t="n">
        <v>62416</v>
      </c>
      <c r="C18873" t="inlineStr">
        <is>
          <t>1449/08/29</t>
        </is>
      </c>
    </row>
    <row r="18874">
      <c r="A18874" t="n">
        <v>14490830</v>
      </c>
      <c r="B18874" t="n">
        <v>62417</v>
      </c>
      <c r="C18874" t="inlineStr">
        <is>
          <t>1449/08/30</t>
        </is>
      </c>
    </row>
    <row r="18875">
      <c r="A18875" t="n">
        <v>14490901</v>
      </c>
      <c r="B18875" t="n">
        <v>62418</v>
      </c>
      <c r="C18875" t="inlineStr">
        <is>
          <t>1449/09/01</t>
        </is>
      </c>
    </row>
    <row r="18876">
      <c r="A18876" t="n">
        <v>14490902</v>
      </c>
      <c r="B18876" t="n">
        <v>62419</v>
      </c>
      <c r="C18876" t="inlineStr">
        <is>
          <t>1449/09/02</t>
        </is>
      </c>
    </row>
    <row r="18877">
      <c r="A18877" t="n">
        <v>14490903</v>
      </c>
      <c r="B18877" t="n">
        <v>62420</v>
      </c>
      <c r="C18877" t="inlineStr">
        <is>
          <t>1449/09/03</t>
        </is>
      </c>
    </row>
    <row r="18878">
      <c r="A18878" t="n">
        <v>14490904</v>
      </c>
      <c r="B18878" t="n">
        <v>62421</v>
      </c>
      <c r="C18878" t="inlineStr">
        <is>
          <t>1449/09/04</t>
        </is>
      </c>
    </row>
    <row r="18879">
      <c r="A18879" t="n">
        <v>14490905</v>
      </c>
      <c r="B18879" t="n">
        <v>62422</v>
      </c>
      <c r="C18879" t="inlineStr">
        <is>
          <t>1449/09/05</t>
        </is>
      </c>
    </row>
    <row r="18880">
      <c r="A18880" t="n">
        <v>14490906</v>
      </c>
      <c r="B18880" t="n">
        <v>62423</v>
      </c>
      <c r="C18880" t="inlineStr">
        <is>
          <t>1449/09/06</t>
        </is>
      </c>
    </row>
    <row r="18881">
      <c r="A18881" t="n">
        <v>14490907</v>
      </c>
      <c r="B18881" t="n">
        <v>62424</v>
      </c>
      <c r="C18881" t="inlineStr">
        <is>
          <t>1449/09/07</t>
        </is>
      </c>
    </row>
    <row r="18882">
      <c r="A18882" t="n">
        <v>14490908</v>
      </c>
      <c r="B18882" t="n">
        <v>62425</v>
      </c>
      <c r="C18882" t="inlineStr">
        <is>
          <t>1449/09/08</t>
        </is>
      </c>
    </row>
    <row r="18883">
      <c r="A18883" t="n">
        <v>14490909</v>
      </c>
      <c r="B18883" t="n">
        <v>62426</v>
      </c>
      <c r="C18883" t="inlineStr">
        <is>
          <t>1449/09/09</t>
        </is>
      </c>
    </row>
    <row r="18884">
      <c r="A18884" t="n">
        <v>14490910</v>
      </c>
      <c r="B18884" t="n">
        <v>62427</v>
      </c>
      <c r="C18884" t="inlineStr">
        <is>
          <t>1449/09/10</t>
        </is>
      </c>
    </row>
    <row r="18885">
      <c r="A18885" t="n">
        <v>14490911</v>
      </c>
      <c r="B18885" t="n">
        <v>62428</v>
      </c>
      <c r="C18885" t="inlineStr">
        <is>
          <t>1449/09/11</t>
        </is>
      </c>
    </row>
    <row r="18886">
      <c r="A18886" t="n">
        <v>14490912</v>
      </c>
      <c r="B18886" t="n">
        <v>62429</v>
      </c>
      <c r="C18886" t="inlineStr">
        <is>
          <t>1449/09/12</t>
        </is>
      </c>
    </row>
    <row r="18887">
      <c r="A18887" t="n">
        <v>14490913</v>
      </c>
      <c r="B18887" t="n">
        <v>62430</v>
      </c>
      <c r="C18887" t="inlineStr">
        <is>
          <t>1449/09/13</t>
        </is>
      </c>
    </row>
    <row r="18888">
      <c r="A18888" t="n">
        <v>14490914</v>
      </c>
      <c r="B18888" t="n">
        <v>62431</v>
      </c>
      <c r="C18888" t="inlineStr">
        <is>
          <t>1449/09/14</t>
        </is>
      </c>
    </row>
    <row r="18889">
      <c r="A18889" t="n">
        <v>14490915</v>
      </c>
      <c r="B18889" t="n">
        <v>62432</v>
      </c>
      <c r="C18889" t="inlineStr">
        <is>
          <t>1449/09/15</t>
        </is>
      </c>
    </row>
    <row r="18890">
      <c r="A18890" t="n">
        <v>14490916</v>
      </c>
      <c r="B18890" t="n">
        <v>62433</v>
      </c>
      <c r="C18890" t="inlineStr">
        <is>
          <t>1449/09/16</t>
        </is>
      </c>
    </row>
    <row r="18891">
      <c r="A18891" t="n">
        <v>14490917</v>
      </c>
      <c r="B18891" t="n">
        <v>62434</v>
      </c>
      <c r="C18891" t="inlineStr">
        <is>
          <t>1449/09/17</t>
        </is>
      </c>
    </row>
    <row r="18892">
      <c r="A18892" t="n">
        <v>14490918</v>
      </c>
      <c r="B18892" t="n">
        <v>62435</v>
      </c>
      <c r="C18892" t="inlineStr">
        <is>
          <t>1449/09/18</t>
        </is>
      </c>
    </row>
    <row r="18893">
      <c r="A18893" t="n">
        <v>14490919</v>
      </c>
      <c r="B18893" t="n">
        <v>62436</v>
      </c>
      <c r="C18893" t="inlineStr">
        <is>
          <t>1449/09/19</t>
        </is>
      </c>
    </row>
    <row r="18894">
      <c r="A18894" t="n">
        <v>14490920</v>
      </c>
      <c r="B18894" t="n">
        <v>62437</v>
      </c>
      <c r="C18894" t="inlineStr">
        <is>
          <t>1449/09/20</t>
        </is>
      </c>
    </row>
    <row r="18895">
      <c r="A18895" t="n">
        <v>14490921</v>
      </c>
      <c r="B18895" t="n">
        <v>62438</v>
      </c>
      <c r="C18895" t="inlineStr">
        <is>
          <t>1449/09/21</t>
        </is>
      </c>
    </row>
    <row r="18896">
      <c r="A18896" t="n">
        <v>14490922</v>
      </c>
      <c r="B18896" t="n">
        <v>62439</v>
      </c>
      <c r="C18896" t="inlineStr">
        <is>
          <t>1449/09/22</t>
        </is>
      </c>
    </row>
    <row r="18897">
      <c r="A18897" t="n">
        <v>14490923</v>
      </c>
      <c r="B18897" t="n">
        <v>62440</v>
      </c>
      <c r="C18897" t="inlineStr">
        <is>
          <t>1449/09/23</t>
        </is>
      </c>
    </row>
    <row r="18898">
      <c r="A18898" t="n">
        <v>14490924</v>
      </c>
      <c r="B18898" t="n">
        <v>62441</v>
      </c>
      <c r="C18898" t="inlineStr">
        <is>
          <t>1449/09/24</t>
        </is>
      </c>
    </row>
    <row r="18899">
      <c r="A18899" t="n">
        <v>14490925</v>
      </c>
      <c r="B18899" t="n">
        <v>62442</v>
      </c>
      <c r="C18899" t="inlineStr">
        <is>
          <t>1449/09/25</t>
        </is>
      </c>
    </row>
    <row r="18900">
      <c r="A18900" t="n">
        <v>14490926</v>
      </c>
      <c r="B18900" t="n">
        <v>62443</v>
      </c>
      <c r="C18900" t="inlineStr">
        <is>
          <t>1449/09/26</t>
        </is>
      </c>
    </row>
    <row r="18901">
      <c r="A18901" t="n">
        <v>14490927</v>
      </c>
      <c r="B18901" t="n">
        <v>62444</v>
      </c>
      <c r="C18901" t="inlineStr">
        <is>
          <t>1449/09/27</t>
        </is>
      </c>
    </row>
    <row r="18902">
      <c r="A18902" t="n">
        <v>14490928</v>
      </c>
      <c r="B18902" t="n">
        <v>62445</v>
      </c>
      <c r="C18902" t="inlineStr">
        <is>
          <t>1449/09/28</t>
        </is>
      </c>
    </row>
    <row r="18903">
      <c r="A18903" t="n">
        <v>14490929</v>
      </c>
      <c r="B18903" t="n">
        <v>62446</v>
      </c>
      <c r="C18903" t="inlineStr">
        <is>
          <t>1449/09/29</t>
        </is>
      </c>
    </row>
    <row r="18904">
      <c r="A18904" t="n">
        <v>14490930</v>
      </c>
      <c r="B18904" t="n">
        <v>62447</v>
      </c>
      <c r="C18904" t="inlineStr">
        <is>
          <t>1449/09/30</t>
        </is>
      </c>
    </row>
    <row r="18905">
      <c r="A18905" t="n">
        <v>14491001</v>
      </c>
      <c r="B18905" t="n">
        <v>62448</v>
      </c>
      <c r="C18905" t="inlineStr">
        <is>
          <t>1449/10/01</t>
        </is>
      </c>
    </row>
    <row r="18906">
      <c r="A18906" t="n">
        <v>14491002</v>
      </c>
      <c r="B18906" t="n">
        <v>62449</v>
      </c>
      <c r="C18906" t="inlineStr">
        <is>
          <t>1449/10/02</t>
        </is>
      </c>
    </row>
    <row r="18907">
      <c r="A18907" t="n">
        <v>14491003</v>
      </c>
      <c r="B18907" t="n">
        <v>62450</v>
      </c>
      <c r="C18907" t="inlineStr">
        <is>
          <t>1449/10/03</t>
        </is>
      </c>
    </row>
    <row r="18908">
      <c r="A18908" t="n">
        <v>14491004</v>
      </c>
      <c r="B18908" t="n">
        <v>62451</v>
      </c>
      <c r="C18908" t="inlineStr">
        <is>
          <t>1449/10/04</t>
        </is>
      </c>
    </row>
    <row r="18909">
      <c r="A18909" t="n">
        <v>14491005</v>
      </c>
      <c r="B18909" t="n">
        <v>62452</v>
      </c>
      <c r="C18909" t="inlineStr">
        <is>
          <t>1449/10/05</t>
        </is>
      </c>
    </row>
    <row r="18910">
      <c r="A18910" t="n">
        <v>14491006</v>
      </c>
      <c r="B18910" t="n">
        <v>62453</v>
      </c>
      <c r="C18910" t="inlineStr">
        <is>
          <t>1449/10/06</t>
        </is>
      </c>
    </row>
    <row r="18911">
      <c r="A18911" t="n">
        <v>14491007</v>
      </c>
      <c r="B18911" t="n">
        <v>62454</v>
      </c>
      <c r="C18911" t="inlineStr">
        <is>
          <t>1449/10/07</t>
        </is>
      </c>
    </row>
    <row r="18912">
      <c r="A18912" t="n">
        <v>14491008</v>
      </c>
      <c r="B18912" t="n">
        <v>62455</v>
      </c>
      <c r="C18912" t="inlineStr">
        <is>
          <t>1449/10/08</t>
        </is>
      </c>
    </row>
    <row r="18913">
      <c r="A18913" t="n">
        <v>14491009</v>
      </c>
      <c r="B18913" t="n">
        <v>62456</v>
      </c>
      <c r="C18913" t="inlineStr">
        <is>
          <t>1449/10/09</t>
        </is>
      </c>
    </row>
    <row r="18914">
      <c r="A18914" t="n">
        <v>14491010</v>
      </c>
      <c r="B18914" t="n">
        <v>62457</v>
      </c>
      <c r="C18914" t="inlineStr">
        <is>
          <t>1449/10/10</t>
        </is>
      </c>
    </row>
    <row r="18915">
      <c r="A18915" t="n">
        <v>14491011</v>
      </c>
      <c r="B18915" t="n">
        <v>62458</v>
      </c>
      <c r="C18915" t="inlineStr">
        <is>
          <t>1449/10/11</t>
        </is>
      </c>
    </row>
    <row r="18916">
      <c r="A18916" t="n">
        <v>14491012</v>
      </c>
      <c r="B18916" t="n">
        <v>62459</v>
      </c>
      <c r="C18916" t="inlineStr">
        <is>
          <t>1449/10/12</t>
        </is>
      </c>
    </row>
    <row r="18917">
      <c r="A18917" t="n">
        <v>14491013</v>
      </c>
      <c r="B18917" t="n">
        <v>62460</v>
      </c>
      <c r="C18917" t="inlineStr">
        <is>
          <t>1449/10/13</t>
        </is>
      </c>
    </row>
    <row r="18918">
      <c r="A18918" t="n">
        <v>14491014</v>
      </c>
      <c r="B18918" t="n">
        <v>62461</v>
      </c>
      <c r="C18918" t="inlineStr">
        <is>
          <t>1449/10/14</t>
        </is>
      </c>
    </row>
    <row r="18919">
      <c r="A18919" t="n">
        <v>14491015</v>
      </c>
      <c r="B18919" t="n">
        <v>62462</v>
      </c>
      <c r="C18919" t="inlineStr">
        <is>
          <t>1449/10/15</t>
        </is>
      </c>
    </row>
    <row r="18920">
      <c r="A18920" t="n">
        <v>14491016</v>
      </c>
      <c r="B18920" t="n">
        <v>62463</v>
      </c>
      <c r="C18920" t="inlineStr">
        <is>
          <t>1449/10/16</t>
        </is>
      </c>
    </row>
    <row r="18921">
      <c r="A18921" t="n">
        <v>14491017</v>
      </c>
      <c r="B18921" t="n">
        <v>62464</v>
      </c>
      <c r="C18921" t="inlineStr">
        <is>
          <t>1449/10/17</t>
        </is>
      </c>
    </row>
    <row r="18922">
      <c r="A18922" t="n">
        <v>14491018</v>
      </c>
      <c r="B18922" t="n">
        <v>62465</v>
      </c>
      <c r="C18922" t="inlineStr">
        <is>
          <t>1449/10/18</t>
        </is>
      </c>
    </row>
    <row r="18923">
      <c r="A18923" t="n">
        <v>14491019</v>
      </c>
      <c r="B18923" t="n">
        <v>62466</v>
      </c>
      <c r="C18923" t="inlineStr">
        <is>
          <t>1449/10/19</t>
        </is>
      </c>
    </row>
    <row r="18924">
      <c r="A18924" t="n">
        <v>14491020</v>
      </c>
      <c r="B18924" t="n">
        <v>62467</v>
      </c>
      <c r="C18924" t="inlineStr">
        <is>
          <t>1449/10/20</t>
        </is>
      </c>
    </row>
    <row r="18925">
      <c r="A18925" t="n">
        <v>14491021</v>
      </c>
      <c r="B18925" t="n">
        <v>62468</v>
      </c>
      <c r="C18925" t="inlineStr">
        <is>
          <t>1449/10/21</t>
        </is>
      </c>
    </row>
    <row r="18926">
      <c r="A18926" t="n">
        <v>14491022</v>
      </c>
      <c r="B18926" t="n">
        <v>62469</v>
      </c>
      <c r="C18926" t="inlineStr">
        <is>
          <t>1449/10/22</t>
        </is>
      </c>
    </row>
    <row r="18927">
      <c r="A18927" t="n">
        <v>14491023</v>
      </c>
      <c r="B18927" t="n">
        <v>62470</v>
      </c>
      <c r="C18927" t="inlineStr">
        <is>
          <t>1449/10/23</t>
        </is>
      </c>
    </row>
    <row r="18928">
      <c r="A18928" t="n">
        <v>14491024</v>
      </c>
      <c r="B18928" t="n">
        <v>62471</v>
      </c>
      <c r="C18928" t="inlineStr">
        <is>
          <t>1449/10/24</t>
        </is>
      </c>
    </row>
    <row r="18929">
      <c r="A18929" t="n">
        <v>14491025</v>
      </c>
      <c r="B18929" t="n">
        <v>62472</v>
      </c>
      <c r="C18929" t="inlineStr">
        <is>
          <t>1449/10/25</t>
        </is>
      </c>
    </row>
    <row r="18930">
      <c r="A18930" t="n">
        <v>14491026</v>
      </c>
      <c r="B18930" t="n">
        <v>62473</v>
      </c>
      <c r="C18930" t="inlineStr">
        <is>
          <t>1449/10/26</t>
        </is>
      </c>
    </row>
    <row r="18931">
      <c r="A18931" t="n">
        <v>14491027</v>
      </c>
      <c r="B18931" t="n">
        <v>62474</v>
      </c>
      <c r="C18931" t="inlineStr">
        <is>
          <t>1449/10/27</t>
        </is>
      </c>
    </row>
    <row r="18932">
      <c r="A18932" t="n">
        <v>14491028</v>
      </c>
      <c r="B18932" t="n">
        <v>62475</v>
      </c>
      <c r="C18932" t="inlineStr">
        <is>
          <t>1449/10/28</t>
        </is>
      </c>
    </row>
    <row r="18933">
      <c r="A18933" t="n">
        <v>14491029</v>
      </c>
      <c r="B18933" t="n">
        <v>62476</v>
      </c>
      <c r="C18933" t="inlineStr">
        <is>
          <t>1449/10/29</t>
        </is>
      </c>
    </row>
    <row r="18934">
      <c r="A18934" t="n">
        <v>14491030</v>
      </c>
      <c r="B18934" t="n">
        <v>62477</v>
      </c>
      <c r="C18934" t="inlineStr">
        <is>
          <t>1449/10/30</t>
        </is>
      </c>
    </row>
    <row r="18935">
      <c r="A18935" t="n">
        <v>14491101</v>
      </c>
      <c r="B18935" t="n">
        <v>62478</v>
      </c>
      <c r="C18935" t="inlineStr">
        <is>
          <t>1449/11/01</t>
        </is>
      </c>
    </row>
    <row r="18936">
      <c r="A18936" t="n">
        <v>14491102</v>
      </c>
      <c r="B18936" t="n">
        <v>62479</v>
      </c>
      <c r="C18936" t="inlineStr">
        <is>
          <t>1449/11/02</t>
        </is>
      </c>
    </row>
    <row r="18937">
      <c r="A18937" t="n">
        <v>14491103</v>
      </c>
      <c r="B18937" t="n">
        <v>62480</v>
      </c>
      <c r="C18937" t="inlineStr">
        <is>
          <t>1449/11/03</t>
        </is>
      </c>
    </row>
    <row r="18938">
      <c r="A18938" t="n">
        <v>14491104</v>
      </c>
      <c r="B18938" t="n">
        <v>62481</v>
      </c>
      <c r="C18938" t="inlineStr">
        <is>
          <t>1449/11/04</t>
        </is>
      </c>
    </row>
    <row r="18939">
      <c r="A18939" t="n">
        <v>14491105</v>
      </c>
      <c r="B18939" t="n">
        <v>62482</v>
      </c>
      <c r="C18939" t="inlineStr">
        <is>
          <t>1449/11/05</t>
        </is>
      </c>
    </row>
    <row r="18940">
      <c r="A18940" t="n">
        <v>14491106</v>
      </c>
      <c r="B18940" t="n">
        <v>62483</v>
      </c>
      <c r="C18940" t="inlineStr">
        <is>
          <t>1449/11/06</t>
        </is>
      </c>
    </row>
    <row r="18941">
      <c r="A18941" t="n">
        <v>14491107</v>
      </c>
      <c r="B18941" t="n">
        <v>62484</v>
      </c>
      <c r="C18941" t="inlineStr">
        <is>
          <t>1449/11/07</t>
        </is>
      </c>
    </row>
    <row r="18942">
      <c r="A18942" t="n">
        <v>14491108</v>
      </c>
      <c r="B18942" t="n">
        <v>62485</v>
      </c>
      <c r="C18942" t="inlineStr">
        <is>
          <t>1449/11/08</t>
        </is>
      </c>
    </row>
    <row r="18943">
      <c r="A18943" t="n">
        <v>14491109</v>
      </c>
      <c r="B18943" t="n">
        <v>62486</v>
      </c>
      <c r="C18943" t="inlineStr">
        <is>
          <t>1449/11/09</t>
        </is>
      </c>
    </row>
    <row r="18944">
      <c r="A18944" t="n">
        <v>14491110</v>
      </c>
      <c r="B18944" t="n">
        <v>62487</v>
      </c>
      <c r="C18944" t="inlineStr">
        <is>
          <t>1449/11/10</t>
        </is>
      </c>
    </row>
    <row r="18945">
      <c r="A18945" t="n">
        <v>14491111</v>
      </c>
      <c r="B18945" t="n">
        <v>62488</v>
      </c>
      <c r="C18945" t="inlineStr">
        <is>
          <t>1449/11/11</t>
        </is>
      </c>
    </row>
    <row r="18946">
      <c r="A18946" t="n">
        <v>14491112</v>
      </c>
      <c r="B18946" t="n">
        <v>62489</v>
      </c>
      <c r="C18946" t="inlineStr">
        <is>
          <t>1449/11/12</t>
        </is>
      </c>
    </row>
    <row r="18947">
      <c r="A18947" t="n">
        <v>14491113</v>
      </c>
      <c r="B18947" t="n">
        <v>62490</v>
      </c>
      <c r="C18947" t="inlineStr">
        <is>
          <t>1449/11/13</t>
        </is>
      </c>
    </row>
    <row r="18948">
      <c r="A18948" t="n">
        <v>14491114</v>
      </c>
      <c r="B18948" t="n">
        <v>62491</v>
      </c>
      <c r="C18948" t="inlineStr">
        <is>
          <t>1449/11/14</t>
        </is>
      </c>
    </row>
    <row r="18949">
      <c r="A18949" t="n">
        <v>14491115</v>
      </c>
      <c r="B18949" t="n">
        <v>62492</v>
      </c>
      <c r="C18949" t="inlineStr">
        <is>
          <t>1449/11/15</t>
        </is>
      </c>
    </row>
    <row r="18950">
      <c r="A18950" t="n">
        <v>14491116</v>
      </c>
      <c r="B18950" t="n">
        <v>62493</v>
      </c>
      <c r="C18950" t="inlineStr">
        <is>
          <t>1449/11/16</t>
        </is>
      </c>
    </row>
    <row r="18951">
      <c r="A18951" t="n">
        <v>14491117</v>
      </c>
      <c r="B18951" t="n">
        <v>62494</v>
      </c>
      <c r="C18951" t="inlineStr">
        <is>
          <t>1449/11/17</t>
        </is>
      </c>
    </row>
    <row r="18952">
      <c r="A18952" t="n">
        <v>14491118</v>
      </c>
      <c r="B18952" t="n">
        <v>62495</v>
      </c>
      <c r="C18952" t="inlineStr">
        <is>
          <t>1449/11/18</t>
        </is>
      </c>
    </row>
    <row r="18953">
      <c r="A18953" t="n">
        <v>14491119</v>
      </c>
      <c r="B18953" t="n">
        <v>62496</v>
      </c>
      <c r="C18953" t="inlineStr">
        <is>
          <t>1449/11/19</t>
        </is>
      </c>
    </row>
    <row r="18954">
      <c r="A18954" t="n">
        <v>14491120</v>
      </c>
      <c r="B18954" t="n">
        <v>62497</v>
      </c>
      <c r="C18954" t="inlineStr">
        <is>
          <t>1449/11/20</t>
        </is>
      </c>
    </row>
    <row r="18955">
      <c r="A18955" t="n">
        <v>14491121</v>
      </c>
      <c r="B18955" t="n">
        <v>62498</v>
      </c>
      <c r="C18955" t="inlineStr">
        <is>
          <t>1449/11/21</t>
        </is>
      </c>
    </row>
    <row r="18956">
      <c r="A18956" t="n">
        <v>14491122</v>
      </c>
      <c r="B18956" t="n">
        <v>62499</v>
      </c>
      <c r="C18956" t="inlineStr">
        <is>
          <t>1449/11/22</t>
        </is>
      </c>
    </row>
    <row r="18957">
      <c r="A18957" t="n">
        <v>14491123</v>
      </c>
      <c r="B18957" t="n">
        <v>62500</v>
      </c>
      <c r="C18957" t="inlineStr">
        <is>
          <t>1449/11/23</t>
        </is>
      </c>
    </row>
    <row r="18958">
      <c r="A18958" t="n">
        <v>14491124</v>
      </c>
      <c r="B18958" t="n">
        <v>62501</v>
      </c>
      <c r="C18958" t="inlineStr">
        <is>
          <t>1449/11/24</t>
        </is>
      </c>
    </row>
    <row r="18959">
      <c r="A18959" t="n">
        <v>14491125</v>
      </c>
      <c r="B18959" t="n">
        <v>62502</v>
      </c>
      <c r="C18959" t="inlineStr">
        <is>
          <t>1449/11/25</t>
        </is>
      </c>
    </row>
    <row r="18960">
      <c r="A18960" t="n">
        <v>14491126</v>
      </c>
      <c r="B18960" t="n">
        <v>62503</v>
      </c>
      <c r="C18960" t="inlineStr">
        <is>
          <t>1449/11/26</t>
        </is>
      </c>
    </row>
    <row r="18961">
      <c r="A18961" t="n">
        <v>14491127</v>
      </c>
      <c r="B18961" t="n">
        <v>62504</v>
      </c>
      <c r="C18961" t="inlineStr">
        <is>
          <t>1449/11/27</t>
        </is>
      </c>
    </row>
    <row r="18962">
      <c r="A18962" t="n">
        <v>14491128</v>
      </c>
      <c r="B18962" t="n">
        <v>62505</v>
      </c>
      <c r="C18962" t="inlineStr">
        <is>
          <t>1449/11/28</t>
        </is>
      </c>
    </row>
    <row r="18963">
      <c r="A18963" t="n">
        <v>14491129</v>
      </c>
      <c r="B18963" t="n">
        <v>62506</v>
      </c>
      <c r="C18963" t="inlineStr">
        <is>
          <t>1449/11/29</t>
        </is>
      </c>
    </row>
    <row r="18964">
      <c r="A18964" t="n">
        <v>14491130</v>
      </c>
      <c r="B18964" t="n">
        <v>62507</v>
      </c>
      <c r="C18964" t="inlineStr">
        <is>
          <t>1449/11/30</t>
        </is>
      </c>
    </row>
    <row r="18965">
      <c r="A18965" t="n">
        <v>14491201</v>
      </c>
      <c r="B18965" t="n">
        <v>62508</v>
      </c>
      <c r="C18965" t="inlineStr">
        <is>
          <t>1449/12/01</t>
        </is>
      </c>
    </row>
    <row r="18966">
      <c r="A18966" t="n">
        <v>14491202</v>
      </c>
      <c r="B18966" t="n">
        <v>62509</v>
      </c>
      <c r="C18966" t="inlineStr">
        <is>
          <t>1449/12/02</t>
        </is>
      </c>
    </row>
    <row r="18967">
      <c r="A18967" t="n">
        <v>14491203</v>
      </c>
      <c r="B18967" t="n">
        <v>62510</v>
      </c>
      <c r="C18967" t="inlineStr">
        <is>
          <t>1449/12/03</t>
        </is>
      </c>
    </row>
    <row r="18968">
      <c r="A18968" t="n">
        <v>14491204</v>
      </c>
      <c r="B18968" t="n">
        <v>62511</v>
      </c>
      <c r="C18968" t="inlineStr">
        <is>
          <t>1449/12/04</t>
        </is>
      </c>
    </row>
    <row r="18969">
      <c r="A18969" t="n">
        <v>14491205</v>
      </c>
      <c r="B18969" t="n">
        <v>62512</v>
      </c>
      <c r="C18969" t="inlineStr">
        <is>
          <t>1449/12/05</t>
        </is>
      </c>
    </row>
    <row r="18970">
      <c r="A18970" t="n">
        <v>14491206</v>
      </c>
      <c r="B18970" t="n">
        <v>62513</v>
      </c>
      <c r="C18970" t="inlineStr">
        <is>
          <t>1449/12/06</t>
        </is>
      </c>
    </row>
    <row r="18971">
      <c r="A18971" t="n">
        <v>14491207</v>
      </c>
      <c r="B18971" t="n">
        <v>62514</v>
      </c>
      <c r="C18971" t="inlineStr">
        <is>
          <t>1449/12/07</t>
        </is>
      </c>
    </row>
    <row r="18972">
      <c r="A18972" t="n">
        <v>14491208</v>
      </c>
      <c r="B18972" t="n">
        <v>62515</v>
      </c>
      <c r="C18972" t="inlineStr">
        <is>
          <t>1449/12/08</t>
        </is>
      </c>
    </row>
    <row r="18973">
      <c r="A18973" t="n">
        <v>14491209</v>
      </c>
      <c r="B18973" t="n">
        <v>62516</v>
      </c>
      <c r="C18973" t="inlineStr">
        <is>
          <t>1449/12/09</t>
        </is>
      </c>
    </row>
    <row r="18974">
      <c r="A18974" t="n">
        <v>14491210</v>
      </c>
      <c r="B18974" t="n">
        <v>62517</v>
      </c>
      <c r="C18974" t="inlineStr">
        <is>
          <t>1449/12/10</t>
        </is>
      </c>
    </row>
    <row r="18975">
      <c r="A18975" t="n">
        <v>14491211</v>
      </c>
      <c r="B18975" t="n">
        <v>62518</v>
      </c>
      <c r="C18975" t="inlineStr">
        <is>
          <t>1449/12/11</t>
        </is>
      </c>
    </row>
    <row r="18976">
      <c r="A18976" t="n">
        <v>14491212</v>
      </c>
      <c r="B18976" t="n">
        <v>62519</v>
      </c>
      <c r="C18976" t="inlineStr">
        <is>
          <t>1449/12/12</t>
        </is>
      </c>
    </row>
    <row r="18977">
      <c r="A18977" t="n">
        <v>14491213</v>
      </c>
      <c r="B18977" t="n">
        <v>62520</v>
      </c>
      <c r="C18977" t="inlineStr">
        <is>
          <t>1449/12/13</t>
        </is>
      </c>
    </row>
    <row r="18978">
      <c r="A18978" t="n">
        <v>14491214</v>
      </c>
      <c r="B18978" t="n">
        <v>62521</v>
      </c>
      <c r="C18978" t="inlineStr">
        <is>
          <t>1449/12/14</t>
        </is>
      </c>
    </row>
    <row r="18979">
      <c r="A18979" t="n">
        <v>14491215</v>
      </c>
      <c r="B18979" t="n">
        <v>62522</v>
      </c>
      <c r="C18979" t="inlineStr">
        <is>
          <t>1449/12/15</t>
        </is>
      </c>
    </row>
    <row r="18980">
      <c r="A18980" t="n">
        <v>14491216</v>
      </c>
      <c r="B18980" t="n">
        <v>62523</v>
      </c>
      <c r="C18980" t="inlineStr">
        <is>
          <t>1449/12/16</t>
        </is>
      </c>
    </row>
    <row r="18981">
      <c r="A18981" t="n">
        <v>14491217</v>
      </c>
      <c r="B18981" t="n">
        <v>62524</v>
      </c>
      <c r="C18981" t="inlineStr">
        <is>
          <t>1449/12/17</t>
        </is>
      </c>
    </row>
    <row r="18982">
      <c r="A18982" t="n">
        <v>14491218</v>
      </c>
      <c r="B18982" t="n">
        <v>62525</v>
      </c>
      <c r="C18982" t="inlineStr">
        <is>
          <t>1449/12/18</t>
        </is>
      </c>
    </row>
    <row r="18983">
      <c r="A18983" t="n">
        <v>14491219</v>
      </c>
      <c r="B18983" t="n">
        <v>62526</v>
      </c>
      <c r="C18983" t="inlineStr">
        <is>
          <t>1449/12/19</t>
        </is>
      </c>
    </row>
    <row r="18984">
      <c r="A18984" t="n">
        <v>14491220</v>
      </c>
      <c r="B18984" t="n">
        <v>62527</v>
      </c>
      <c r="C18984" t="inlineStr">
        <is>
          <t>1449/12/20</t>
        </is>
      </c>
    </row>
    <row r="18985">
      <c r="A18985" t="n">
        <v>14491221</v>
      </c>
      <c r="B18985" t="n">
        <v>62528</v>
      </c>
      <c r="C18985" t="inlineStr">
        <is>
          <t>1449/12/21</t>
        </is>
      </c>
    </row>
    <row r="18986">
      <c r="A18986" t="n">
        <v>14491222</v>
      </c>
      <c r="B18986" t="n">
        <v>62529</v>
      </c>
      <c r="C18986" t="inlineStr">
        <is>
          <t>1449/12/22</t>
        </is>
      </c>
    </row>
    <row r="18987">
      <c r="A18987" t="n">
        <v>14491223</v>
      </c>
      <c r="B18987" t="n">
        <v>62530</v>
      </c>
      <c r="C18987" t="inlineStr">
        <is>
          <t>1449/12/23</t>
        </is>
      </c>
    </row>
    <row r="18988">
      <c r="A18988" t="n">
        <v>14491224</v>
      </c>
      <c r="B18988" t="n">
        <v>62531</v>
      </c>
      <c r="C18988" t="inlineStr">
        <is>
          <t>1449/12/24</t>
        </is>
      </c>
    </row>
    <row r="18989">
      <c r="A18989" t="n">
        <v>14491225</v>
      </c>
      <c r="B18989" t="n">
        <v>62532</v>
      </c>
      <c r="C18989" t="inlineStr">
        <is>
          <t>1449/12/25</t>
        </is>
      </c>
    </row>
    <row r="18990">
      <c r="A18990" t="n">
        <v>14491226</v>
      </c>
      <c r="B18990" t="n">
        <v>62533</v>
      </c>
      <c r="C18990" t="inlineStr">
        <is>
          <t>1449/12/26</t>
        </is>
      </c>
    </row>
    <row r="18991">
      <c r="A18991" t="n">
        <v>14491227</v>
      </c>
      <c r="B18991" t="n">
        <v>62534</v>
      </c>
      <c r="C18991" t="inlineStr">
        <is>
          <t>1449/12/27</t>
        </is>
      </c>
    </row>
    <row r="18992">
      <c r="A18992" t="n">
        <v>14491228</v>
      </c>
      <c r="B18992" t="n">
        <v>62535</v>
      </c>
      <c r="C18992" t="inlineStr">
        <is>
          <t>1449/12/28</t>
        </is>
      </c>
    </row>
    <row r="18993">
      <c r="A18993" t="n">
        <v>14491229</v>
      </c>
      <c r="B18993" t="n">
        <v>62536</v>
      </c>
      <c r="C18993" t="inlineStr">
        <is>
          <t>1449/12/29</t>
        </is>
      </c>
    </row>
    <row r="18994">
      <c r="A18994" t="n">
        <v>14491230</v>
      </c>
      <c r="B18994" t="n">
        <v>62537</v>
      </c>
      <c r="C18994" t="inlineStr">
        <is>
          <t>1449/12/30</t>
        </is>
      </c>
    </row>
    <row r="18995">
      <c r="A18995" t="n">
        <v>14500101</v>
      </c>
      <c r="B18995" t="n">
        <v>62538</v>
      </c>
      <c r="C18995" t="inlineStr">
        <is>
          <t>1450/01/01</t>
        </is>
      </c>
    </row>
    <row r="18996">
      <c r="A18996" t="n">
        <v>14500102</v>
      </c>
      <c r="B18996" t="n">
        <v>62539</v>
      </c>
      <c r="C18996" t="inlineStr">
        <is>
          <t>1450/01/02</t>
        </is>
      </c>
    </row>
    <row r="18997">
      <c r="A18997" t="n">
        <v>14500103</v>
      </c>
      <c r="B18997" t="n">
        <v>62540</v>
      </c>
      <c r="C18997" t="inlineStr">
        <is>
          <t>1450/01/03</t>
        </is>
      </c>
    </row>
    <row r="18998">
      <c r="A18998" t="n">
        <v>14500104</v>
      </c>
      <c r="B18998" t="n">
        <v>62541</v>
      </c>
      <c r="C18998" t="inlineStr">
        <is>
          <t>1450/01/04</t>
        </is>
      </c>
    </row>
    <row r="18999">
      <c r="A18999" t="n">
        <v>14500105</v>
      </c>
      <c r="B18999" t="n">
        <v>62542</v>
      </c>
      <c r="C18999" t="inlineStr">
        <is>
          <t>1450/01/05</t>
        </is>
      </c>
    </row>
    <row r="19000">
      <c r="A19000" t="n">
        <v>14500106</v>
      </c>
      <c r="B19000" t="n">
        <v>62543</v>
      </c>
      <c r="C19000" t="inlineStr">
        <is>
          <t>1450/01/06</t>
        </is>
      </c>
    </row>
    <row r="19001">
      <c r="A19001" t="n">
        <v>14500107</v>
      </c>
      <c r="B19001" t="n">
        <v>62544</v>
      </c>
      <c r="C19001" t="inlineStr">
        <is>
          <t>1450/01/07</t>
        </is>
      </c>
    </row>
    <row r="19002">
      <c r="A19002" t="n">
        <v>14500108</v>
      </c>
      <c r="B19002" t="n">
        <v>62545</v>
      </c>
      <c r="C19002" t="inlineStr">
        <is>
          <t>1450/01/08</t>
        </is>
      </c>
    </row>
    <row r="19003">
      <c r="A19003" t="n">
        <v>14500109</v>
      </c>
      <c r="B19003" t="n">
        <v>62546</v>
      </c>
      <c r="C19003" t="inlineStr">
        <is>
          <t>1450/01/09</t>
        </is>
      </c>
    </row>
    <row r="19004">
      <c r="A19004" t="n">
        <v>14500110</v>
      </c>
      <c r="B19004" t="n">
        <v>62547</v>
      </c>
      <c r="C19004" t="inlineStr">
        <is>
          <t>1450/01/10</t>
        </is>
      </c>
    </row>
    <row r="19005">
      <c r="A19005" t="n">
        <v>14500111</v>
      </c>
      <c r="B19005" t="n">
        <v>62548</v>
      </c>
      <c r="C19005" t="inlineStr">
        <is>
          <t>1450/01/11</t>
        </is>
      </c>
    </row>
    <row r="19006">
      <c r="A19006" t="n">
        <v>14500112</v>
      </c>
      <c r="B19006" t="n">
        <v>62549</v>
      </c>
      <c r="C19006" t="inlineStr">
        <is>
          <t>1450/01/12</t>
        </is>
      </c>
    </row>
    <row r="19007">
      <c r="A19007" t="n">
        <v>14500113</v>
      </c>
      <c r="B19007" t="n">
        <v>62550</v>
      </c>
      <c r="C19007" t="inlineStr">
        <is>
          <t>1450/01/13</t>
        </is>
      </c>
    </row>
    <row r="19008">
      <c r="A19008" t="n">
        <v>14500114</v>
      </c>
      <c r="B19008" t="n">
        <v>62551</v>
      </c>
      <c r="C19008" t="inlineStr">
        <is>
          <t>1450/01/14</t>
        </is>
      </c>
    </row>
    <row r="19009">
      <c r="A19009" t="n">
        <v>14500115</v>
      </c>
      <c r="B19009" t="n">
        <v>62552</v>
      </c>
      <c r="C19009" t="inlineStr">
        <is>
          <t>1450/01/15</t>
        </is>
      </c>
    </row>
    <row r="19010">
      <c r="A19010" t="n">
        <v>14500116</v>
      </c>
      <c r="B19010" t="n">
        <v>62553</v>
      </c>
      <c r="C19010" t="inlineStr">
        <is>
          <t>1450/01/16</t>
        </is>
      </c>
    </row>
    <row r="19011">
      <c r="A19011" t="n">
        <v>14500117</v>
      </c>
      <c r="B19011" t="n">
        <v>62554</v>
      </c>
      <c r="C19011" t="inlineStr">
        <is>
          <t>1450/01/17</t>
        </is>
      </c>
    </row>
    <row r="19012">
      <c r="A19012" t="n">
        <v>14500118</v>
      </c>
      <c r="B19012" t="n">
        <v>62555</v>
      </c>
      <c r="C19012" t="inlineStr">
        <is>
          <t>1450/01/18</t>
        </is>
      </c>
    </row>
    <row r="19013">
      <c r="A19013" t="n">
        <v>14500119</v>
      </c>
      <c r="B19013" t="n">
        <v>62556</v>
      </c>
      <c r="C19013" t="inlineStr">
        <is>
          <t>1450/01/19</t>
        </is>
      </c>
    </row>
    <row r="19014">
      <c r="A19014" t="n">
        <v>14500120</v>
      </c>
      <c r="B19014" t="n">
        <v>62557</v>
      </c>
      <c r="C19014" t="inlineStr">
        <is>
          <t>1450/01/20</t>
        </is>
      </c>
    </row>
    <row r="19015">
      <c r="A19015" t="n">
        <v>14500121</v>
      </c>
      <c r="B19015" t="n">
        <v>62558</v>
      </c>
      <c r="C19015" t="inlineStr">
        <is>
          <t>1450/01/21</t>
        </is>
      </c>
    </row>
    <row r="19016">
      <c r="A19016" t="n">
        <v>14500122</v>
      </c>
      <c r="B19016" t="n">
        <v>62559</v>
      </c>
      <c r="C19016" t="inlineStr">
        <is>
          <t>1450/01/22</t>
        </is>
      </c>
    </row>
    <row r="19017">
      <c r="A19017" t="n">
        <v>14500123</v>
      </c>
      <c r="B19017" t="n">
        <v>62560</v>
      </c>
      <c r="C19017" t="inlineStr">
        <is>
          <t>1450/01/23</t>
        </is>
      </c>
    </row>
    <row r="19018">
      <c r="A19018" t="n">
        <v>14500124</v>
      </c>
      <c r="B19018" t="n">
        <v>62561</v>
      </c>
      <c r="C19018" t="inlineStr">
        <is>
          <t>1450/01/24</t>
        </is>
      </c>
    </row>
    <row r="19019">
      <c r="A19019" t="n">
        <v>14500125</v>
      </c>
      <c r="B19019" t="n">
        <v>62562</v>
      </c>
      <c r="C19019" t="inlineStr">
        <is>
          <t>1450/01/25</t>
        </is>
      </c>
    </row>
    <row r="19020">
      <c r="A19020" t="n">
        <v>14500126</v>
      </c>
      <c r="B19020" t="n">
        <v>62563</v>
      </c>
      <c r="C19020" t="inlineStr">
        <is>
          <t>1450/01/26</t>
        </is>
      </c>
    </row>
    <row r="19021">
      <c r="A19021" t="n">
        <v>14500127</v>
      </c>
      <c r="B19021" t="n">
        <v>62564</v>
      </c>
      <c r="C19021" t="inlineStr">
        <is>
          <t>1450/01/27</t>
        </is>
      </c>
    </row>
    <row r="19022">
      <c r="A19022" t="n">
        <v>14500128</v>
      </c>
      <c r="B19022" t="n">
        <v>62565</v>
      </c>
      <c r="C19022" t="inlineStr">
        <is>
          <t>1450/01/28</t>
        </is>
      </c>
    </row>
    <row r="19023">
      <c r="A19023" t="n">
        <v>14500129</v>
      </c>
      <c r="B19023" t="n">
        <v>62566</v>
      </c>
      <c r="C19023" t="inlineStr">
        <is>
          <t>1450/01/29</t>
        </is>
      </c>
    </row>
    <row r="19024">
      <c r="A19024" t="n">
        <v>14500130</v>
      </c>
      <c r="B19024" t="n">
        <v>62567</v>
      </c>
      <c r="C19024" t="inlineStr">
        <is>
          <t>1450/01/30</t>
        </is>
      </c>
    </row>
    <row r="19025">
      <c r="A19025" t="n">
        <v>14500131</v>
      </c>
      <c r="B19025" t="n">
        <v>62568</v>
      </c>
      <c r="C19025" t="inlineStr">
        <is>
          <t>1450/01/31</t>
        </is>
      </c>
    </row>
    <row r="19026">
      <c r="A19026" t="n">
        <v>14500201</v>
      </c>
      <c r="B19026" t="n">
        <v>62569</v>
      </c>
      <c r="C19026" t="inlineStr">
        <is>
          <t>1450/02/01</t>
        </is>
      </c>
    </row>
    <row r="19027">
      <c r="A19027" t="n">
        <v>14500202</v>
      </c>
      <c r="B19027" t="n">
        <v>62570</v>
      </c>
      <c r="C19027" t="inlineStr">
        <is>
          <t>1450/02/02</t>
        </is>
      </c>
    </row>
    <row r="19028">
      <c r="A19028" t="n">
        <v>14500203</v>
      </c>
      <c r="B19028" t="n">
        <v>62571</v>
      </c>
      <c r="C19028" t="inlineStr">
        <is>
          <t>1450/02/03</t>
        </is>
      </c>
    </row>
    <row r="19029">
      <c r="A19029" t="n">
        <v>14500204</v>
      </c>
      <c r="B19029" t="n">
        <v>62572</v>
      </c>
      <c r="C19029" t="inlineStr">
        <is>
          <t>1450/02/04</t>
        </is>
      </c>
    </row>
    <row r="19030">
      <c r="A19030" t="n">
        <v>14500205</v>
      </c>
      <c r="B19030" t="n">
        <v>62573</v>
      </c>
      <c r="C19030" t="inlineStr">
        <is>
          <t>1450/02/05</t>
        </is>
      </c>
    </row>
    <row r="19031">
      <c r="A19031" t="n">
        <v>14500206</v>
      </c>
      <c r="B19031" t="n">
        <v>62574</v>
      </c>
      <c r="C19031" t="inlineStr">
        <is>
          <t>1450/02/06</t>
        </is>
      </c>
    </row>
    <row r="19032">
      <c r="A19032" t="n">
        <v>14500207</v>
      </c>
      <c r="B19032" t="n">
        <v>62575</v>
      </c>
      <c r="C19032" t="inlineStr">
        <is>
          <t>1450/02/07</t>
        </is>
      </c>
    </row>
    <row r="19033">
      <c r="A19033" t="n">
        <v>14500208</v>
      </c>
      <c r="B19033" t="n">
        <v>62576</v>
      </c>
      <c r="C19033" t="inlineStr">
        <is>
          <t>1450/02/08</t>
        </is>
      </c>
    </row>
    <row r="19034">
      <c r="A19034" t="n">
        <v>14500209</v>
      </c>
      <c r="B19034" t="n">
        <v>62577</v>
      </c>
      <c r="C19034" t="inlineStr">
        <is>
          <t>1450/02/09</t>
        </is>
      </c>
    </row>
    <row r="19035">
      <c r="A19035" t="n">
        <v>14500210</v>
      </c>
      <c r="B19035" t="n">
        <v>62578</v>
      </c>
      <c r="C19035" t="inlineStr">
        <is>
          <t>1450/02/10</t>
        </is>
      </c>
    </row>
    <row r="19036">
      <c r="A19036" t="n">
        <v>14500211</v>
      </c>
      <c r="B19036" t="n">
        <v>62579</v>
      </c>
      <c r="C19036" t="inlineStr">
        <is>
          <t>1450/02/11</t>
        </is>
      </c>
    </row>
    <row r="19037">
      <c r="A19037" t="n">
        <v>14500212</v>
      </c>
      <c r="B19037" t="n">
        <v>62580</v>
      </c>
      <c r="C19037" t="inlineStr">
        <is>
          <t>1450/02/12</t>
        </is>
      </c>
    </row>
    <row r="19038">
      <c r="A19038" t="n">
        <v>14500213</v>
      </c>
      <c r="B19038" t="n">
        <v>62581</v>
      </c>
      <c r="C19038" t="inlineStr">
        <is>
          <t>1450/02/13</t>
        </is>
      </c>
    </row>
    <row r="19039">
      <c r="A19039" t="n">
        <v>14500214</v>
      </c>
      <c r="B19039" t="n">
        <v>62582</v>
      </c>
      <c r="C19039" t="inlineStr">
        <is>
          <t>1450/02/14</t>
        </is>
      </c>
    </row>
    <row r="19040">
      <c r="A19040" t="n">
        <v>14500215</v>
      </c>
      <c r="B19040" t="n">
        <v>62583</v>
      </c>
      <c r="C19040" t="inlineStr">
        <is>
          <t>1450/02/15</t>
        </is>
      </c>
    </row>
    <row r="19041">
      <c r="A19041" t="n">
        <v>14500216</v>
      </c>
      <c r="B19041" t="n">
        <v>62584</v>
      </c>
      <c r="C19041" t="inlineStr">
        <is>
          <t>1450/02/16</t>
        </is>
      </c>
    </row>
    <row r="19042">
      <c r="A19042" t="n">
        <v>14500217</v>
      </c>
      <c r="B19042" t="n">
        <v>62585</v>
      </c>
      <c r="C19042" t="inlineStr">
        <is>
          <t>1450/02/17</t>
        </is>
      </c>
    </row>
    <row r="19043">
      <c r="A19043" t="n">
        <v>14500218</v>
      </c>
      <c r="B19043" t="n">
        <v>62586</v>
      </c>
      <c r="C19043" t="inlineStr">
        <is>
          <t>1450/02/18</t>
        </is>
      </c>
    </row>
    <row r="19044">
      <c r="A19044" t="n">
        <v>14500219</v>
      </c>
      <c r="B19044" t="n">
        <v>62587</v>
      </c>
      <c r="C19044" t="inlineStr">
        <is>
          <t>1450/02/19</t>
        </is>
      </c>
    </row>
    <row r="19045">
      <c r="A19045" t="n">
        <v>14500220</v>
      </c>
      <c r="B19045" t="n">
        <v>62588</v>
      </c>
      <c r="C19045" t="inlineStr">
        <is>
          <t>1450/02/20</t>
        </is>
      </c>
    </row>
    <row r="19046">
      <c r="A19046" t="n">
        <v>14500221</v>
      </c>
      <c r="B19046" t="n">
        <v>62589</v>
      </c>
      <c r="C19046" t="inlineStr">
        <is>
          <t>1450/02/21</t>
        </is>
      </c>
    </row>
    <row r="19047">
      <c r="A19047" t="n">
        <v>14500222</v>
      </c>
      <c r="B19047" t="n">
        <v>62590</v>
      </c>
      <c r="C19047" t="inlineStr">
        <is>
          <t>1450/02/22</t>
        </is>
      </c>
    </row>
    <row r="19048">
      <c r="A19048" t="n">
        <v>14500223</v>
      </c>
      <c r="B19048" t="n">
        <v>62591</v>
      </c>
      <c r="C19048" t="inlineStr">
        <is>
          <t>1450/02/23</t>
        </is>
      </c>
    </row>
    <row r="19049">
      <c r="A19049" t="n">
        <v>14500224</v>
      </c>
      <c r="B19049" t="n">
        <v>62592</v>
      </c>
      <c r="C19049" t="inlineStr">
        <is>
          <t>1450/02/24</t>
        </is>
      </c>
    </row>
    <row r="19050">
      <c r="A19050" t="n">
        <v>14500225</v>
      </c>
      <c r="B19050" t="n">
        <v>62593</v>
      </c>
      <c r="C19050" t="inlineStr">
        <is>
          <t>1450/02/25</t>
        </is>
      </c>
    </row>
    <row r="19051">
      <c r="A19051" t="n">
        <v>14500226</v>
      </c>
      <c r="B19051" t="n">
        <v>62594</v>
      </c>
      <c r="C19051" t="inlineStr">
        <is>
          <t>1450/02/26</t>
        </is>
      </c>
    </row>
    <row r="19052">
      <c r="A19052" t="n">
        <v>14500227</v>
      </c>
      <c r="B19052" t="n">
        <v>62595</v>
      </c>
      <c r="C19052" t="inlineStr">
        <is>
          <t>1450/02/27</t>
        </is>
      </c>
    </row>
    <row r="19053">
      <c r="A19053" t="n">
        <v>14500228</v>
      </c>
      <c r="B19053" t="n">
        <v>62596</v>
      </c>
      <c r="C19053" t="inlineStr">
        <is>
          <t>1450/02/28</t>
        </is>
      </c>
    </row>
    <row r="19054">
      <c r="A19054" t="n">
        <v>14500229</v>
      </c>
      <c r="B19054" t="n">
        <v>62597</v>
      </c>
      <c r="C19054" t="inlineStr">
        <is>
          <t>1450/02/29</t>
        </is>
      </c>
    </row>
    <row r="19055">
      <c r="A19055" t="n">
        <v>14500230</v>
      </c>
      <c r="B19055" t="n">
        <v>62598</v>
      </c>
      <c r="C19055" t="inlineStr">
        <is>
          <t>1450/02/30</t>
        </is>
      </c>
    </row>
    <row r="19056">
      <c r="A19056" t="n">
        <v>14500231</v>
      </c>
      <c r="B19056" t="n">
        <v>62599</v>
      </c>
      <c r="C19056" t="inlineStr">
        <is>
          <t>1450/02/31</t>
        </is>
      </c>
    </row>
    <row r="19057">
      <c r="A19057" t="n">
        <v>14500301</v>
      </c>
      <c r="B19057" t="n">
        <v>62600</v>
      </c>
      <c r="C19057" t="inlineStr">
        <is>
          <t>1450/03/01</t>
        </is>
      </c>
    </row>
    <row r="19058">
      <c r="A19058" t="n">
        <v>14500302</v>
      </c>
      <c r="B19058" t="n">
        <v>62601</v>
      </c>
      <c r="C19058" t="inlineStr">
        <is>
          <t>1450/03/02</t>
        </is>
      </c>
    </row>
    <row r="19059">
      <c r="A19059" t="n">
        <v>14500303</v>
      </c>
      <c r="B19059" t="n">
        <v>62602</v>
      </c>
      <c r="C19059" t="inlineStr">
        <is>
          <t>1450/03/03</t>
        </is>
      </c>
    </row>
    <row r="19060">
      <c r="A19060" t="n">
        <v>14500304</v>
      </c>
      <c r="B19060" t="n">
        <v>62603</v>
      </c>
      <c r="C19060" t="inlineStr">
        <is>
          <t>1450/03/04</t>
        </is>
      </c>
    </row>
    <row r="19061">
      <c r="A19061" t="n">
        <v>14500305</v>
      </c>
      <c r="B19061" t="n">
        <v>62604</v>
      </c>
      <c r="C19061" t="inlineStr">
        <is>
          <t>1450/03/05</t>
        </is>
      </c>
    </row>
    <row r="19062">
      <c r="A19062" t="n">
        <v>14500306</v>
      </c>
      <c r="B19062" t="n">
        <v>62605</v>
      </c>
      <c r="C19062" t="inlineStr">
        <is>
          <t>1450/03/06</t>
        </is>
      </c>
    </row>
    <row r="19063">
      <c r="A19063" t="n">
        <v>14500307</v>
      </c>
      <c r="B19063" t="n">
        <v>62606</v>
      </c>
      <c r="C19063" t="inlineStr">
        <is>
          <t>1450/03/07</t>
        </is>
      </c>
    </row>
    <row r="19064">
      <c r="A19064" t="n">
        <v>14500308</v>
      </c>
      <c r="B19064" t="n">
        <v>62607</v>
      </c>
      <c r="C19064" t="inlineStr">
        <is>
          <t>1450/03/08</t>
        </is>
      </c>
    </row>
    <row r="19065">
      <c r="A19065" t="n">
        <v>14500309</v>
      </c>
      <c r="B19065" t="n">
        <v>62608</v>
      </c>
      <c r="C19065" t="inlineStr">
        <is>
          <t>1450/03/09</t>
        </is>
      </c>
    </row>
    <row r="19066">
      <c r="A19066" t="n">
        <v>14500310</v>
      </c>
      <c r="B19066" t="n">
        <v>62609</v>
      </c>
      <c r="C19066" t="inlineStr">
        <is>
          <t>1450/03/10</t>
        </is>
      </c>
    </row>
    <row r="19067">
      <c r="A19067" t="n">
        <v>14500311</v>
      </c>
      <c r="B19067" t="n">
        <v>62610</v>
      </c>
      <c r="C19067" t="inlineStr">
        <is>
          <t>1450/03/11</t>
        </is>
      </c>
    </row>
    <row r="19068">
      <c r="A19068" t="n">
        <v>14500312</v>
      </c>
      <c r="B19068" t="n">
        <v>62611</v>
      </c>
      <c r="C19068" t="inlineStr">
        <is>
          <t>1450/03/12</t>
        </is>
      </c>
    </row>
    <row r="19069">
      <c r="A19069" t="n">
        <v>14500313</v>
      </c>
      <c r="B19069" t="n">
        <v>62612</v>
      </c>
      <c r="C19069" t="inlineStr">
        <is>
          <t>1450/03/13</t>
        </is>
      </c>
    </row>
    <row r="19070">
      <c r="A19070" t="n">
        <v>14500314</v>
      </c>
      <c r="B19070" t="n">
        <v>62613</v>
      </c>
      <c r="C19070" t="inlineStr">
        <is>
          <t>1450/03/14</t>
        </is>
      </c>
    </row>
    <row r="19071">
      <c r="A19071" t="n">
        <v>14500315</v>
      </c>
      <c r="B19071" t="n">
        <v>62614</v>
      </c>
      <c r="C19071" t="inlineStr">
        <is>
          <t>1450/03/15</t>
        </is>
      </c>
    </row>
    <row r="19072">
      <c r="A19072" t="n">
        <v>14500316</v>
      </c>
      <c r="B19072" t="n">
        <v>62615</v>
      </c>
      <c r="C19072" t="inlineStr">
        <is>
          <t>1450/03/16</t>
        </is>
      </c>
    </row>
    <row r="19073">
      <c r="A19073" t="n">
        <v>14500317</v>
      </c>
      <c r="B19073" t="n">
        <v>62616</v>
      </c>
      <c r="C19073" t="inlineStr">
        <is>
          <t>1450/03/17</t>
        </is>
      </c>
    </row>
    <row r="19074">
      <c r="A19074" t="n">
        <v>14500318</v>
      </c>
      <c r="B19074" t="n">
        <v>62617</v>
      </c>
      <c r="C19074" t="inlineStr">
        <is>
          <t>1450/03/18</t>
        </is>
      </c>
    </row>
    <row r="19075">
      <c r="A19075" t="n">
        <v>14500319</v>
      </c>
      <c r="B19075" t="n">
        <v>62618</v>
      </c>
      <c r="C19075" t="inlineStr">
        <is>
          <t>1450/03/19</t>
        </is>
      </c>
    </row>
    <row r="19076">
      <c r="A19076" t="n">
        <v>14500320</v>
      </c>
      <c r="B19076" t="n">
        <v>62619</v>
      </c>
      <c r="C19076" t="inlineStr">
        <is>
          <t>1450/03/20</t>
        </is>
      </c>
    </row>
    <row r="19077">
      <c r="A19077" t="n">
        <v>14500321</v>
      </c>
      <c r="B19077" t="n">
        <v>62620</v>
      </c>
      <c r="C19077" t="inlineStr">
        <is>
          <t>1450/03/21</t>
        </is>
      </c>
    </row>
    <row r="19078">
      <c r="A19078" t="n">
        <v>14500322</v>
      </c>
      <c r="B19078" t="n">
        <v>62621</v>
      </c>
      <c r="C19078" t="inlineStr">
        <is>
          <t>1450/03/22</t>
        </is>
      </c>
    </row>
    <row r="19079">
      <c r="A19079" t="n">
        <v>14500323</v>
      </c>
      <c r="B19079" t="n">
        <v>62622</v>
      </c>
      <c r="C19079" t="inlineStr">
        <is>
          <t>1450/03/23</t>
        </is>
      </c>
    </row>
    <row r="19080">
      <c r="A19080" t="n">
        <v>14500324</v>
      </c>
      <c r="B19080" t="n">
        <v>62623</v>
      </c>
      <c r="C19080" t="inlineStr">
        <is>
          <t>1450/03/24</t>
        </is>
      </c>
    </row>
    <row r="19081">
      <c r="A19081" t="n">
        <v>14500325</v>
      </c>
      <c r="B19081" t="n">
        <v>62624</v>
      </c>
      <c r="C19081" t="inlineStr">
        <is>
          <t>1450/03/25</t>
        </is>
      </c>
    </row>
    <row r="19082">
      <c r="A19082" t="n">
        <v>14500326</v>
      </c>
      <c r="B19082" t="n">
        <v>62625</v>
      </c>
      <c r="C19082" t="inlineStr">
        <is>
          <t>1450/03/26</t>
        </is>
      </c>
    </row>
    <row r="19083">
      <c r="A19083" t="n">
        <v>14500327</v>
      </c>
      <c r="B19083" t="n">
        <v>62626</v>
      </c>
      <c r="C19083" t="inlineStr">
        <is>
          <t>1450/03/27</t>
        </is>
      </c>
    </row>
    <row r="19084">
      <c r="A19084" t="n">
        <v>14500328</v>
      </c>
      <c r="B19084" t="n">
        <v>62627</v>
      </c>
      <c r="C19084" t="inlineStr">
        <is>
          <t>1450/03/28</t>
        </is>
      </c>
    </row>
    <row r="19085">
      <c r="A19085" t="n">
        <v>14500329</v>
      </c>
      <c r="B19085" t="n">
        <v>62628</v>
      </c>
      <c r="C19085" t="inlineStr">
        <is>
          <t>1450/03/29</t>
        </is>
      </c>
    </row>
    <row r="19086">
      <c r="A19086" t="n">
        <v>14500330</v>
      </c>
      <c r="B19086" t="n">
        <v>62629</v>
      </c>
      <c r="C19086" t="inlineStr">
        <is>
          <t>1450/03/30</t>
        </is>
      </c>
    </row>
    <row r="19087">
      <c r="A19087" t="n">
        <v>14500331</v>
      </c>
      <c r="B19087" t="n">
        <v>62630</v>
      </c>
      <c r="C19087" t="inlineStr">
        <is>
          <t>1450/03/31</t>
        </is>
      </c>
    </row>
    <row r="19088">
      <c r="A19088" t="n">
        <v>14500401</v>
      </c>
      <c r="B19088" t="n">
        <v>62631</v>
      </c>
      <c r="C19088" t="inlineStr">
        <is>
          <t>1450/04/01</t>
        </is>
      </c>
    </row>
    <row r="19089">
      <c r="A19089" t="n">
        <v>14500402</v>
      </c>
      <c r="B19089" t="n">
        <v>62632</v>
      </c>
      <c r="C19089" t="inlineStr">
        <is>
          <t>1450/04/02</t>
        </is>
      </c>
    </row>
    <row r="19090">
      <c r="A19090" t="n">
        <v>14500403</v>
      </c>
      <c r="B19090" t="n">
        <v>62633</v>
      </c>
      <c r="C19090" t="inlineStr">
        <is>
          <t>1450/04/03</t>
        </is>
      </c>
    </row>
    <row r="19091">
      <c r="A19091" t="n">
        <v>14500404</v>
      </c>
      <c r="B19091" t="n">
        <v>62634</v>
      </c>
      <c r="C19091" t="inlineStr">
        <is>
          <t>1450/04/04</t>
        </is>
      </c>
    </row>
    <row r="19092">
      <c r="A19092" t="n">
        <v>14500405</v>
      </c>
      <c r="B19092" t="n">
        <v>62635</v>
      </c>
      <c r="C19092" t="inlineStr">
        <is>
          <t>1450/04/05</t>
        </is>
      </c>
    </row>
    <row r="19093">
      <c r="A19093" t="n">
        <v>14500406</v>
      </c>
      <c r="B19093" t="n">
        <v>62636</v>
      </c>
      <c r="C19093" t="inlineStr">
        <is>
          <t>1450/04/06</t>
        </is>
      </c>
    </row>
    <row r="19094">
      <c r="A19094" t="n">
        <v>14500407</v>
      </c>
      <c r="B19094" t="n">
        <v>62637</v>
      </c>
      <c r="C19094" t="inlineStr">
        <is>
          <t>1450/04/07</t>
        </is>
      </c>
    </row>
    <row r="19095">
      <c r="A19095" t="n">
        <v>14500408</v>
      </c>
      <c r="B19095" t="n">
        <v>62638</v>
      </c>
      <c r="C19095" t="inlineStr">
        <is>
          <t>1450/04/08</t>
        </is>
      </c>
    </row>
    <row r="19096">
      <c r="A19096" t="n">
        <v>14500409</v>
      </c>
      <c r="B19096" t="n">
        <v>62639</v>
      </c>
      <c r="C19096" t="inlineStr">
        <is>
          <t>1450/04/09</t>
        </is>
      </c>
    </row>
    <row r="19097">
      <c r="A19097" t="n">
        <v>14500410</v>
      </c>
      <c r="B19097" t="n">
        <v>62640</v>
      </c>
      <c r="C19097" t="inlineStr">
        <is>
          <t>1450/04/10</t>
        </is>
      </c>
    </row>
    <row r="19098">
      <c r="A19098" t="n">
        <v>14500411</v>
      </c>
      <c r="B19098" t="n">
        <v>62641</v>
      </c>
      <c r="C19098" t="inlineStr">
        <is>
          <t>1450/04/11</t>
        </is>
      </c>
    </row>
    <row r="19099">
      <c r="A19099" t="n">
        <v>14500412</v>
      </c>
      <c r="B19099" t="n">
        <v>62642</v>
      </c>
      <c r="C19099" t="inlineStr">
        <is>
          <t>1450/04/12</t>
        </is>
      </c>
    </row>
    <row r="19100">
      <c r="A19100" t="n">
        <v>14500413</v>
      </c>
      <c r="B19100" t="n">
        <v>62643</v>
      </c>
      <c r="C19100" t="inlineStr">
        <is>
          <t>1450/04/13</t>
        </is>
      </c>
    </row>
    <row r="19101">
      <c r="A19101" t="n">
        <v>14500414</v>
      </c>
      <c r="B19101" t="n">
        <v>62644</v>
      </c>
      <c r="C19101" t="inlineStr">
        <is>
          <t>1450/04/14</t>
        </is>
      </c>
    </row>
    <row r="19102">
      <c r="A19102" t="n">
        <v>14500415</v>
      </c>
      <c r="B19102" t="n">
        <v>62645</v>
      </c>
      <c r="C19102" t="inlineStr">
        <is>
          <t>1450/04/15</t>
        </is>
      </c>
    </row>
    <row r="19103">
      <c r="A19103" t="n">
        <v>14500416</v>
      </c>
      <c r="B19103" t="n">
        <v>62646</v>
      </c>
      <c r="C19103" t="inlineStr">
        <is>
          <t>1450/04/16</t>
        </is>
      </c>
    </row>
    <row r="19104">
      <c r="A19104" t="n">
        <v>14500417</v>
      </c>
      <c r="B19104" t="n">
        <v>62647</v>
      </c>
      <c r="C19104" t="inlineStr">
        <is>
          <t>1450/04/17</t>
        </is>
      </c>
    </row>
    <row r="19105">
      <c r="A19105" t="n">
        <v>14500418</v>
      </c>
      <c r="B19105" t="n">
        <v>62648</v>
      </c>
      <c r="C19105" t="inlineStr">
        <is>
          <t>1450/04/18</t>
        </is>
      </c>
    </row>
    <row r="19106">
      <c r="A19106" t="n">
        <v>14500419</v>
      </c>
      <c r="B19106" t="n">
        <v>62649</v>
      </c>
      <c r="C19106" t="inlineStr">
        <is>
          <t>1450/04/19</t>
        </is>
      </c>
    </row>
    <row r="19107">
      <c r="A19107" t="n">
        <v>14500420</v>
      </c>
      <c r="B19107" t="n">
        <v>62650</v>
      </c>
      <c r="C19107" t="inlineStr">
        <is>
          <t>1450/04/20</t>
        </is>
      </c>
    </row>
    <row r="19108">
      <c r="A19108" t="n">
        <v>14500421</v>
      </c>
      <c r="B19108" t="n">
        <v>62651</v>
      </c>
      <c r="C19108" t="inlineStr">
        <is>
          <t>1450/04/21</t>
        </is>
      </c>
    </row>
    <row r="19109">
      <c r="A19109" t="n">
        <v>14500422</v>
      </c>
      <c r="B19109" t="n">
        <v>62652</v>
      </c>
      <c r="C19109" t="inlineStr">
        <is>
          <t>1450/04/22</t>
        </is>
      </c>
    </row>
    <row r="19110">
      <c r="A19110" t="n">
        <v>14500423</v>
      </c>
      <c r="B19110" t="n">
        <v>62653</v>
      </c>
      <c r="C19110" t="inlineStr">
        <is>
          <t>1450/04/23</t>
        </is>
      </c>
    </row>
    <row r="19111">
      <c r="A19111" t="n">
        <v>14500424</v>
      </c>
      <c r="B19111" t="n">
        <v>62654</v>
      </c>
      <c r="C19111" t="inlineStr">
        <is>
          <t>1450/04/24</t>
        </is>
      </c>
    </row>
    <row r="19112">
      <c r="A19112" t="n">
        <v>14500425</v>
      </c>
      <c r="B19112" t="n">
        <v>62655</v>
      </c>
      <c r="C19112" t="inlineStr">
        <is>
          <t>1450/04/25</t>
        </is>
      </c>
    </row>
    <row r="19113">
      <c r="A19113" t="n">
        <v>14500426</v>
      </c>
      <c r="B19113" t="n">
        <v>62656</v>
      </c>
      <c r="C19113" t="inlineStr">
        <is>
          <t>1450/04/26</t>
        </is>
      </c>
    </row>
    <row r="19114">
      <c r="A19114" t="n">
        <v>14500427</v>
      </c>
      <c r="B19114" t="n">
        <v>62657</v>
      </c>
      <c r="C19114" t="inlineStr">
        <is>
          <t>1450/04/27</t>
        </is>
      </c>
    </row>
    <row r="19115">
      <c r="A19115" t="n">
        <v>14500428</v>
      </c>
      <c r="B19115" t="n">
        <v>62658</v>
      </c>
      <c r="C19115" t="inlineStr">
        <is>
          <t>1450/04/28</t>
        </is>
      </c>
    </row>
    <row r="19116">
      <c r="A19116" t="n">
        <v>14500429</v>
      </c>
      <c r="B19116" t="n">
        <v>62659</v>
      </c>
      <c r="C19116" t="inlineStr">
        <is>
          <t>1450/04/29</t>
        </is>
      </c>
    </row>
    <row r="19117">
      <c r="A19117" t="n">
        <v>14500430</v>
      </c>
      <c r="B19117" t="n">
        <v>62660</v>
      </c>
      <c r="C19117" t="inlineStr">
        <is>
          <t>1450/04/30</t>
        </is>
      </c>
    </row>
    <row r="19118">
      <c r="A19118" t="n">
        <v>14500431</v>
      </c>
      <c r="B19118" t="n">
        <v>62661</v>
      </c>
      <c r="C19118" t="inlineStr">
        <is>
          <t>1450/04/31</t>
        </is>
      </c>
    </row>
    <row r="19119">
      <c r="A19119" t="n">
        <v>14500501</v>
      </c>
      <c r="B19119" t="n">
        <v>62662</v>
      </c>
      <c r="C19119" t="inlineStr">
        <is>
          <t>1450/05/01</t>
        </is>
      </c>
    </row>
    <row r="19120">
      <c r="A19120" t="n">
        <v>14500502</v>
      </c>
      <c r="B19120" t="n">
        <v>62663</v>
      </c>
      <c r="C19120" t="inlineStr">
        <is>
          <t>1450/05/02</t>
        </is>
      </c>
    </row>
    <row r="19121">
      <c r="A19121" t="n">
        <v>14500503</v>
      </c>
      <c r="B19121" t="n">
        <v>62664</v>
      </c>
      <c r="C19121" t="inlineStr">
        <is>
          <t>1450/05/03</t>
        </is>
      </c>
    </row>
    <row r="19122">
      <c r="A19122" t="n">
        <v>14500504</v>
      </c>
      <c r="B19122" t="n">
        <v>62665</v>
      </c>
      <c r="C19122" t="inlineStr">
        <is>
          <t>1450/05/04</t>
        </is>
      </c>
    </row>
    <row r="19123">
      <c r="A19123" t="n">
        <v>14500505</v>
      </c>
      <c r="B19123" t="n">
        <v>62666</v>
      </c>
      <c r="C19123" t="inlineStr">
        <is>
          <t>1450/05/05</t>
        </is>
      </c>
    </row>
    <row r="19124">
      <c r="A19124" t="n">
        <v>14500506</v>
      </c>
      <c r="B19124" t="n">
        <v>62667</v>
      </c>
      <c r="C19124" t="inlineStr">
        <is>
          <t>1450/05/06</t>
        </is>
      </c>
    </row>
    <row r="19125">
      <c r="A19125" t="n">
        <v>14500507</v>
      </c>
      <c r="B19125" t="n">
        <v>62668</v>
      </c>
      <c r="C19125" t="inlineStr">
        <is>
          <t>1450/05/07</t>
        </is>
      </c>
    </row>
    <row r="19126">
      <c r="A19126" t="n">
        <v>14500508</v>
      </c>
      <c r="B19126" t="n">
        <v>62669</v>
      </c>
      <c r="C19126" t="inlineStr">
        <is>
          <t>1450/05/08</t>
        </is>
      </c>
    </row>
    <row r="19127">
      <c r="A19127" t="n">
        <v>14500509</v>
      </c>
      <c r="B19127" t="n">
        <v>62670</v>
      </c>
      <c r="C19127" t="inlineStr">
        <is>
          <t>1450/05/09</t>
        </is>
      </c>
    </row>
    <row r="19128">
      <c r="A19128" t="n">
        <v>14500510</v>
      </c>
      <c r="B19128" t="n">
        <v>62671</v>
      </c>
      <c r="C19128" t="inlineStr">
        <is>
          <t>1450/05/10</t>
        </is>
      </c>
    </row>
    <row r="19129">
      <c r="A19129" t="n">
        <v>14500511</v>
      </c>
      <c r="B19129" t="n">
        <v>62672</v>
      </c>
      <c r="C19129" t="inlineStr">
        <is>
          <t>1450/05/11</t>
        </is>
      </c>
    </row>
    <row r="19130">
      <c r="A19130" t="n">
        <v>14500512</v>
      </c>
      <c r="B19130" t="n">
        <v>62673</v>
      </c>
      <c r="C19130" t="inlineStr">
        <is>
          <t>1450/05/12</t>
        </is>
      </c>
    </row>
    <row r="19131">
      <c r="A19131" t="n">
        <v>14500513</v>
      </c>
      <c r="B19131" t="n">
        <v>62674</v>
      </c>
      <c r="C19131" t="inlineStr">
        <is>
          <t>1450/05/13</t>
        </is>
      </c>
    </row>
    <row r="19132">
      <c r="A19132" t="n">
        <v>14500514</v>
      </c>
      <c r="B19132" t="n">
        <v>62675</v>
      </c>
      <c r="C19132" t="inlineStr">
        <is>
          <t>1450/05/14</t>
        </is>
      </c>
    </row>
    <row r="19133">
      <c r="A19133" t="n">
        <v>14500515</v>
      </c>
      <c r="B19133" t="n">
        <v>62676</v>
      </c>
      <c r="C19133" t="inlineStr">
        <is>
          <t>1450/05/15</t>
        </is>
      </c>
    </row>
    <row r="19134">
      <c r="A19134" t="n">
        <v>14500516</v>
      </c>
      <c r="B19134" t="n">
        <v>62677</v>
      </c>
      <c r="C19134" t="inlineStr">
        <is>
          <t>1450/05/16</t>
        </is>
      </c>
    </row>
    <row r="19135">
      <c r="A19135" t="n">
        <v>14500517</v>
      </c>
      <c r="B19135" t="n">
        <v>62678</v>
      </c>
      <c r="C19135" t="inlineStr">
        <is>
          <t>1450/05/17</t>
        </is>
      </c>
    </row>
    <row r="19136">
      <c r="A19136" t="n">
        <v>14500518</v>
      </c>
      <c r="B19136" t="n">
        <v>62679</v>
      </c>
      <c r="C19136" t="inlineStr">
        <is>
          <t>1450/05/18</t>
        </is>
      </c>
    </row>
    <row r="19137">
      <c r="A19137" t="n">
        <v>14500519</v>
      </c>
      <c r="B19137" t="n">
        <v>62680</v>
      </c>
      <c r="C19137" t="inlineStr">
        <is>
          <t>1450/05/19</t>
        </is>
      </c>
    </row>
    <row r="19138">
      <c r="A19138" t="n">
        <v>14500520</v>
      </c>
      <c r="B19138" t="n">
        <v>62681</v>
      </c>
      <c r="C19138" t="inlineStr">
        <is>
          <t>1450/05/20</t>
        </is>
      </c>
    </row>
    <row r="19139">
      <c r="A19139" t="n">
        <v>14500521</v>
      </c>
      <c r="B19139" t="n">
        <v>62682</v>
      </c>
      <c r="C19139" t="inlineStr">
        <is>
          <t>1450/05/21</t>
        </is>
      </c>
    </row>
    <row r="19140">
      <c r="A19140" t="n">
        <v>14500522</v>
      </c>
      <c r="B19140" t="n">
        <v>62683</v>
      </c>
      <c r="C19140" t="inlineStr">
        <is>
          <t>1450/05/22</t>
        </is>
      </c>
    </row>
    <row r="19141">
      <c r="A19141" t="n">
        <v>14500523</v>
      </c>
      <c r="B19141" t="n">
        <v>62684</v>
      </c>
      <c r="C19141" t="inlineStr">
        <is>
          <t>1450/05/23</t>
        </is>
      </c>
    </row>
    <row r="19142">
      <c r="A19142" t="n">
        <v>14500524</v>
      </c>
      <c r="B19142" t="n">
        <v>62685</v>
      </c>
      <c r="C19142" t="inlineStr">
        <is>
          <t>1450/05/24</t>
        </is>
      </c>
    </row>
    <row r="19143">
      <c r="A19143" t="n">
        <v>14500525</v>
      </c>
      <c r="B19143" t="n">
        <v>62686</v>
      </c>
      <c r="C19143" t="inlineStr">
        <is>
          <t>1450/05/25</t>
        </is>
      </c>
    </row>
    <row r="19144">
      <c r="A19144" t="n">
        <v>14500526</v>
      </c>
      <c r="B19144" t="n">
        <v>62687</v>
      </c>
      <c r="C19144" t="inlineStr">
        <is>
          <t>1450/05/26</t>
        </is>
      </c>
    </row>
    <row r="19145">
      <c r="A19145" t="n">
        <v>14500527</v>
      </c>
      <c r="B19145" t="n">
        <v>62688</v>
      </c>
      <c r="C19145" t="inlineStr">
        <is>
          <t>1450/05/27</t>
        </is>
      </c>
    </row>
    <row r="19146">
      <c r="A19146" t="n">
        <v>14500528</v>
      </c>
      <c r="B19146" t="n">
        <v>62689</v>
      </c>
      <c r="C19146" t="inlineStr">
        <is>
          <t>1450/05/28</t>
        </is>
      </c>
    </row>
    <row r="19147">
      <c r="A19147" t="n">
        <v>14500529</v>
      </c>
      <c r="B19147" t="n">
        <v>62690</v>
      </c>
      <c r="C19147" t="inlineStr">
        <is>
          <t>1450/05/29</t>
        </is>
      </c>
    </row>
    <row r="19148">
      <c r="A19148" t="n">
        <v>14500530</v>
      </c>
      <c r="B19148" t="n">
        <v>62691</v>
      </c>
      <c r="C19148" t="inlineStr">
        <is>
          <t>1450/05/30</t>
        </is>
      </c>
    </row>
    <row r="19149">
      <c r="A19149" t="n">
        <v>14500531</v>
      </c>
      <c r="B19149" t="n">
        <v>62692</v>
      </c>
      <c r="C19149" t="inlineStr">
        <is>
          <t>1450/05/31</t>
        </is>
      </c>
    </row>
    <row r="19150">
      <c r="A19150" t="n">
        <v>14500601</v>
      </c>
      <c r="B19150" t="n">
        <v>62693</v>
      </c>
      <c r="C19150" t="inlineStr">
        <is>
          <t>1450/06/01</t>
        </is>
      </c>
    </row>
    <row r="19151">
      <c r="A19151" t="n">
        <v>14500602</v>
      </c>
      <c r="B19151" t="n">
        <v>62694</v>
      </c>
      <c r="C19151" t="inlineStr">
        <is>
          <t>1450/06/02</t>
        </is>
      </c>
    </row>
    <row r="19152">
      <c r="A19152" t="n">
        <v>14500603</v>
      </c>
      <c r="B19152" t="n">
        <v>62695</v>
      </c>
      <c r="C19152" t="inlineStr">
        <is>
          <t>1450/06/03</t>
        </is>
      </c>
    </row>
    <row r="19153">
      <c r="A19153" t="n">
        <v>14500604</v>
      </c>
      <c r="B19153" t="n">
        <v>62696</v>
      </c>
      <c r="C19153" t="inlineStr">
        <is>
          <t>1450/06/04</t>
        </is>
      </c>
    </row>
    <row r="19154">
      <c r="A19154" t="n">
        <v>14500605</v>
      </c>
      <c r="B19154" t="n">
        <v>62697</v>
      </c>
      <c r="C19154" t="inlineStr">
        <is>
          <t>1450/06/05</t>
        </is>
      </c>
    </row>
    <row r="19155">
      <c r="A19155" t="n">
        <v>14500606</v>
      </c>
      <c r="B19155" t="n">
        <v>62698</v>
      </c>
      <c r="C19155" t="inlineStr">
        <is>
          <t>1450/06/06</t>
        </is>
      </c>
    </row>
    <row r="19156">
      <c r="A19156" t="n">
        <v>14500607</v>
      </c>
      <c r="B19156" t="n">
        <v>62699</v>
      </c>
      <c r="C19156" t="inlineStr">
        <is>
          <t>1450/06/07</t>
        </is>
      </c>
    </row>
    <row r="19157">
      <c r="A19157" t="n">
        <v>14500608</v>
      </c>
      <c r="B19157" t="n">
        <v>62700</v>
      </c>
      <c r="C19157" t="inlineStr">
        <is>
          <t>1450/06/08</t>
        </is>
      </c>
    </row>
    <row r="19158">
      <c r="A19158" t="n">
        <v>14500609</v>
      </c>
      <c r="B19158" t="n">
        <v>62701</v>
      </c>
      <c r="C19158" t="inlineStr">
        <is>
          <t>1450/06/09</t>
        </is>
      </c>
    </row>
    <row r="19159">
      <c r="A19159" t="n">
        <v>14500610</v>
      </c>
      <c r="B19159" t="n">
        <v>62702</v>
      </c>
      <c r="C19159" t="inlineStr">
        <is>
          <t>1450/06/10</t>
        </is>
      </c>
    </row>
    <row r="19160">
      <c r="A19160" t="n">
        <v>14500611</v>
      </c>
      <c r="B19160" t="n">
        <v>62703</v>
      </c>
      <c r="C19160" t="inlineStr">
        <is>
          <t>1450/06/11</t>
        </is>
      </c>
    </row>
    <row r="19161">
      <c r="A19161" t="n">
        <v>14500612</v>
      </c>
      <c r="B19161" t="n">
        <v>62704</v>
      </c>
      <c r="C19161" t="inlineStr">
        <is>
          <t>1450/06/12</t>
        </is>
      </c>
    </row>
    <row r="19162">
      <c r="A19162" t="n">
        <v>14500613</v>
      </c>
      <c r="B19162" t="n">
        <v>62705</v>
      </c>
      <c r="C19162" t="inlineStr">
        <is>
          <t>1450/06/13</t>
        </is>
      </c>
    </row>
    <row r="19163">
      <c r="A19163" t="n">
        <v>14500614</v>
      </c>
      <c r="B19163" t="n">
        <v>62706</v>
      </c>
      <c r="C19163" t="inlineStr">
        <is>
          <t>1450/06/14</t>
        </is>
      </c>
    </row>
    <row r="19164">
      <c r="A19164" t="n">
        <v>14500615</v>
      </c>
      <c r="B19164" t="n">
        <v>62707</v>
      </c>
      <c r="C19164" t="inlineStr">
        <is>
          <t>1450/06/15</t>
        </is>
      </c>
    </row>
    <row r="19165">
      <c r="A19165" t="n">
        <v>14500616</v>
      </c>
      <c r="B19165" t="n">
        <v>62708</v>
      </c>
      <c r="C19165" t="inlineStr">
        <is>
          <t>1450/06/16</t>
        </is>
      </c>
    </row>
    <row r="19166">
      <c r="A19166" t="n">
        <v>14500617</v>
      </c>
      <c r="B19166" t="n">
        <v>62709</v>
      </c>
      <c r="C19166" t="inlineStr">
        <is>
          <t>1450/06/17</t>
        </is>
      </c>
    </row>
    <row r="19167">
      <c r="A19167" t="n">
        <v>14500618</v>
      </c>
      <c r="B19167" t="n">
        <v>62710</v>
      </c>
      <c r="C19167" t="inlineStr">
        <is>
          <t>1450/06/18</t>
        </is>
      </c>
    </row>
    <row r="19168">
      <c r="A19168" t="n">
        <v>14500619</v>
      </c>
      <c r="B19168" t="n">
        <v>62711</v>
      </c>
      <c r="C19168" t="inlineStr">
        <is>
          <t>1450/06/19</t>
        </is>
      </c>
    </row>
    <row r="19169">
      <c r="A19169" t="n">
        <v>14500620</v>
      </c>
      <c r="B19169" t="n">
        <v>62712</v>
      </c>
      <c r="C19169" t="inlineStr">
        <is>
          <t>1450/06/20</t>
        </is>
      </c>
    </row>
    <row r="19170">
      <c r="A19170" t="n">
        <v>14500621</v>
      </c>
      <c r="B19170" t="n">
        <v>62713</v>
      </c>
      <c r="C19170" t="inlineStr">
        <is>
          <t>1450/06/21</t>
        </is>
      </c>
    </row>
    <row r="19171">
      <c r="A19171" t="n">
        <v>14500622</v>
      </c>
      <c r="B19171" t="n">
        <v>62714</v>
      </c>
      <c r="C19171" t="inlineStr">
        <is>
          <t>1450/06/22</t>
        </is>
      </c>
    </row>
    <row r="19172">
      <c r="A19172" t="n">
        <v>14500623</v>
      </c>
      <c r="B19172" t="n">
        <v>62715</v>
      </c>
      <c r="C19172" t="inlineStr">
        <is>
          <t>1450/06/23</t>
        </is>
      </c>
    </row>
    <row r="19173">
      <c r="A19173" t="n">
        <v>14500624</v>
      </c>
      <c r="B19173" t="n">
        <v>62716</v>
      </c>
      <c r="C19173" t="inlineStr">
        <is>
          <t>1450/06/24</t>
        </is>
      </c>
    </row>
    <row r="19174">
      <c r="A19174" t="n">
        <v>14500625</v>
      </c>
      <c r="B19174" t="n">
        <v>62717</v>
      </c>
      <c r="C19174" t="inlineStr">
        <is>
          <t>1450/06/25</t>
        </is>
      </c>
    </row>
    <row r="19175">
      <c r="A19175" t="n">
        <v>14500626</v>
      </c>
      <c r="B19175" t="n">
        <v>62718</v>
      </c>
      <c r="C19175" t="inlineStr">
        <is>
          <t>1450/06/26</t>
        </is>
      </c>
    </row>
    <row r="19176">
      <c r="A19176" t="n">
        <v>14500627</v>
      </c>
      <c r="B19176" t="n">
        <v>62719</v>
      </c>
      <c r="C19176" t="inlineStr">
        <is>
          <t>1450/06/27</t>
        </is>
      </c>
    </row>
    <row r="19177">
      <c r="A19177" t="n">
        <v>14500628</v>
      </c>
      <c r="B19177" t="n">
        <v>62720</v>
      </c>
      <c r="C19177" t="inlineStr">
        <is>
          <t>1450/06/28</t>
        </is>
      </c>
    </row>
    <row r="19178">
      <c r="A19178" t="n">
        <v>14500629</v>
      </c>
      <c r="B19178" t="n">
        <v>62721</v>
      </c>
      <c r="C19178" t="inlineStr">
        <is>
          <t>1450/06/29</t>
        </is>
      </c>
    </row>
    <row r="19179">
      <c r="A19179" t="n">
        <v>14500630</v>
      </c>
      <c r="B19179" t="n">
        <v>62722</v>
      </c>
      <c r="C19179" t="inlineStr">
        <is>
          <t>1450/06/30</t>
        </is>
      </c>
    </row>
    <row r="19180">
      <c r="A19180" t="n">
        <v>14500631</v>
      </c>
      <c r="B19180" t="n">
        <v>62723</v>
      </c>
      <c r="C19180" t="inlineStr">
        <is>
          <t>1450/06/31</t>
        </is>
      </c>
    </row>
    <row r="19181">
      <c r="A19181" t="n">
        <v>14500701</v>
      </c>
      <c r="B19181" t="n">
        <v>62724</v>
      </c>
      <c r="C19181" t="inlineStr">
        <is>
          <t>1450/07/01</t>
        </is>
      </c>
    </row>
    <row r="19182">
      <c r="A19182" t="n">
        <v>14500702</v>
      </c>
      <c r="B19182" t="n">
        <v>62725</v>
      </c>
      <c r="C19182" t="inlineStr">
        <is>
          <t>1450/07/02</t>
        </is>
      </c>
    </row>
    <row r="19183">
      <c r="A19183" t="n">
        <v>14500703</v>
      </c>
      <c r="B19183" t="n">
        <v>62726</v>
      </c>
      <c r="C19183" t="inlineStr">
        <is>
          <t>1450/07/03</t>
        </is>
      </c>
    </row>
    <row r="19184">
      <c r="A19184" t="n">
        <v>14500704</v>
      </c>
      <c r="B19184" t="n">
        <v>62727</v>
      </c>
      <c r="C19184" t="inlineStr">
        <is>
          <t>1450/07/04</t>
        </is>
      </c>
    </row>
    <row r="19185">
      <c r="A19185" t="n">
        <v>14500705</v>
      </c>
      <c r="B19185" t="n">
        <v>62728</v>
      </c>
      <c r="C19185" t="inlineStr">
        <is>
          <t>1450/07/05</t>
        </is>
      </c>
    </row>
    <row r="19186">
      <c r="A19186" t="n">
        <v>14500706</v>
      </c>
      <c r="B19186" t="n">
        <v>62729</v>
      </c>
      <c r="C19186" t="inlineStr">
        <is>
          <t>1450/07/06</t>
        </is>
      </c>
    </row>
    <row r="19187">
      <c r="A19187" t="n">
        <v>14500707</v>
      </c>
      <c r="B19187" t="n">
        <v>62730</v>
      </c>
      <c r="C19187" t="inlineStr">
        <is>
          <t>1450/07/07</t>
        </is>
      </c>
    </row>
    <row r="19188">
      <c r="A19188" t="n">
        <v>14500708</v>
      </c>
      <c r="B19188" t="n">
        <v>62731</v>
      </c>
      <c r="C19188" t="inlineStr">
        <is>
          <t>1450/07/08</t>
        </is>
      </c>
    </row>
    <row r="19189">
      <c r="A19189" t="n">
        <v>14500709</v>
      </c>
      <c r="B19189" t="n">
        <v>62732</v>
      </c>
      <c r="C19189" t="inlineStr">
        <is>
          <t>1450/07/09</t>
        </is>
      </c>
    </row>
    <row r="19190">
      <c r="A19190" t="n">
        <v>14500710</v>
      </c>
      <c r="B19190" t="n">
        <v>62733</v>
      </c>
      <c r="C19190" t="inlineStr">
        <is>
          <t>1450/07/10</t>
        </is>
      </c>
    </row>
    <row r="19191">
      <c r="A19191" t="n">
        <v>14500711</v>
      </c>
      <c r="B19191" t="n">
        <v>62734</v>
      </c>
      <c r="C19191" t="inlineStr">
        <is>
          <t>1450/07/11</t>
        </is>
      </c>
    </row>
    <row r="19192">
      <c r="A19192" t="n">
        <v>14500712</v>
      </c>
      <c r="B19192" t="n">
        <v>62735</v>
      </c>
      <c r="C19192" t="inlineStr">
        <is>
          <t>1450/07/12</t>
        </is>
      </c>
    </row>
    <row r="19193">
      <c r="A19193" t="n">
        <v>14500713</v>
      </c>
      <c r="B19193" t="n">
        <v>62736</v>
      </c>
      <c r="C19193" t="inlineStr">
        <is>
          <t>1450/07/13</t>
        </is>
      </c>
    </row>
    <row r="19194">
      <c r="A19194" t="n">
        <v>14500714</v>
      </c>
      <c r="B19194" t="n">
        <v>62737</v>
      </c>
      <c r="C19194" t="inlineStr">
        <is>
          <t>1450/07/14</t>
        </is>
      </c>
    </row>
    <row r="19195">
      <c r="A19195" t="n">
        <v>14500715</v>
      </c>
      <c r="B19195" t="n">
        <v>62738</v>
      </c>
      <c r="C19195" t="inlineStr">
        <is>
          <t>1450/07/15</t>
        </is>
      </c>
    </row>
    <row r="19196">
      <c r="A19196" t="n">
        <v>14500716</v>
      </c>
      <c r="B19196" t="n">
        <v>62739</v>
      </c>
      <c r="C19196" t="inlineStr">
        <is>
          <t>1450/07/16</t>
        </is>
      </c>
    </row>
    <row r="19197">
      <c r="A19197" t="n">
        <v>14500717</v>
      </c>
      <c r="B19197" t="n">
        <v>62740</v>
      </c>
      <c r="C19197" t="inlineStr">
        <is>
          <t>1450/07/17</t>
        </is>
      </c>
    </row>
    <row r="19198">
      <c r="A19198" t="n">
        <v>14500718</v>
      </c>
      <c r="B19198" t="n">
        <v>62741</v>
      </c>
      <c r="C19198" t="inlineStr">
        <is>
          <t>1450/07/18</t>
        </is>
      </c>
    </row>
    <row r="19199">
      <c r="A19199" t="n">
        <v>14500719</v>
      </c>
      <c r="B19199" t="n">
        <v>62742</v>
      </c>
      <c r="C19199" t="inlineStr">
        <is>
          <t>1450/07/19</t>
        </is>
      </c>
    </row>
    <row r="19200">
      <c r="A19200" t="n">
        <v>14500720</v>
      </c>
      <c r="B19200" t="n">
        <v>62743</v>
      </c>
      <c r="C19200" t="inlineStr">
        <is>
          <t>1450/07/20</t>
        </is>
      </c>
    </row>
    <row r="19201">
      <c r="A19201" t="n">
        <v>14500721</v>
      </c>
      <c r="B19201" t="n">
        <v>62744</v>
      </c>
      <c r="C19201" t="inlineStr">
        <is>
          <t>1450/07/21</t>
        </is>
      </c>
    </row>
    <row r="19202">
      <c r="A19202" t="n">
        <v>14500722</v>
      </c>
      <c r="B19202" t="n">
        <v>62745</v>
      </c>
      <c r="C19202" t="inlineStr">
        <is>
          <t>1450/07/22</t>
        </is>
      </c>
    </row>
    <row r="19203">
      <c r="A19203" t="n">
        <v>14500723</v>
      </c>
      <c r="B19203" t="n">
        <v>62746</v>
      </c>
      <c r="C19203" t="inlineStr">
        <is>
          <t>1450/07/23</t>
        </is>
      </c>
    </row>
    <row r="19204">
      <c r="A19204" t="n">
        <v>14500724</v>
      </c>
      <c r="B19204" t="n">
        <v>62747</v>
      </c>
      <c r="C19204" t="inlineStr">
        <is>
          <t>1450/07/24</t>
        </is>
      </c>
    </row>
    <row r="19205">
      <c r="A19205" t="n">
        <v>14500725</v>
      </c>
      <c r="B19205" t="n">
        <v>62748</v>
      </c>
      <c r="C19205" t="inlineStr">
        <is>
          <t>1450/07/25</t>
        </is>
      </c>
    </row>
    <row r="19206">
      <c r="A19206" t="n">
        <v>14500726</v>
      </c>
      <c r="B19206" t="n">
        <v>62749</v>
      </c>
      <c r="C19206" t="inlineStr">
        <is>
          <t>1450/07/26</t>
        </is>
      </c>
    </row>
    <row r="19207">
      <c r="A19207" t="n">
        <v>14500727</v>
      </c>
      <c r="B19207" t="n">
        <v>62750</v>
      </c>
      <c r="C19207" t="inlineStr">
        <is>
          <t>1450/07/27</t>
        </is>
      </c>
    </row>
    <row r="19208">
      <c r="A19208" t="n">
        <v>14500728</v>
      </c>
      <c r="B19208" t="n">
        <v>62751</v>
      </c>
      <c r="C19208" t="inlineStr">
        <is>
          <t>1450/07/28</t>
        </is>
      </c>
    </row>
    <row r="19209">
      <c r="A19209" t="n">
        <v>14500729</v>
      </c>
      <c r="B19209" t="n">
        <v>62752</v>
      </c>
      <c r="C19209" t="inlineStr">
        <is>
          <t>1450/07/29</t>
        </is>
      </c>
    </row>
    <row r="19210">
      <c r="A19210" t="n">
        <v>14500730</v>
      </c>
      <c r="B19210" t="n">
        <v>62753</v>
      </c>
      <c r="C19210" t="inlineStr">
        <is>
          <t>1450/07/30</t>
        </is>
      </c>
    </row>
    <row r="19211">
      <c r="A19211" t="n">
        <v>14500801</v>
      </c>
      <c r="B19211" t="n">
        <v>62754</v>
      </c>
      <c r="C19211" t="inlineStr">
        <is>
          <t>1450/08/01</t>
        </is>
      </c>
    </row>
    <row r="19212">
      <c r="A19212" t="n">
        <v>14500802</v>
      </c>
      <c r="B19212" t="n">
        <v>62755</v>
      </c>
      <c r="C19212" t="inlineStr">
        <is>
          <t>1450/08/02</t>
        </is>
      </c>
    </row>
    <row r="19213">
      <c r="A19213" t="n">
        <v>14500803</v>
      </c>
      <c r="B19213" t="n">
        <v>62756</v>
      </c>
      <c r="C19213" t="inlineStr">
        <is>
          <t>1450/08/03</t>
        </is>
      </c>
    </row>
    <row r="19214">
      <c r="A19214" t="n">
        <v>14500804</v>
      </c>
      <c r="B19214" t="n">
        <v>62757</v>
      </c>
      <c r="C19214" t="inlineStr">
        <is>
          <t>1450/08/04</t>
        </is>
      </c>
    </row>
    <row r="19215">
      <c r="A19215" t="n">
        <v>14500805</v>
      </c>
      <c r="B19215" t="n">
        <v>62758</v>
      </c>
      <c r="C19215" t="inlineStr">
        <is>
          <t>1450/08/05</t>
        </is>
      </c>
    </row>
    <row r="19216">
      <c r="A19216" t="n">
        <v>14500806</v>
      </c>
      <c r="B19216" t="n">
        <v>62759</v>
      </c>
      <c r="C19216" t="inlineStr">
        <is>
          <t>1450/08/06</t>
        </is>
      </c>
    </row>
    <row r="19217">
      <c r="A19217" t="n">
        <v>14500807</v>
      </c>
      <c r="B19217" t="n">
        <v>62760</v>
      </c>
      <c r="C19217" t="inlineStr">
        <is>
          <t>1450/08/07</t>
        </is>
      </c>
    </row>
    <row r="19218">
      <c r="A19218" t="n">
        <v>14500808</v>
      </c>
      <c r="B19218" t="n">
        <v>62761</v>
      </c>
      <c r="C19218" t="inlineStr">
        <is>
          <t>1450/08/08</t>
        </is>
      </c>
    </row>
    <row r="19219">
      <c r="A19219" t="n">
        <v>14500809</v>
      </c>
      <c r="B19219" t="n">
        <v>62762</v>
      </c>
      <c r="C19219" t="inlineStr">
        <is>
          <t>1450/08/09</t>
        </is>
      </c>
    </row>
    <row r="19220">
      <c r="A19220" t="n">
        <v>14500810</v>
      </c>
      <c r="B19220" t="n">
        <v>62763</v>
      </c>
      <c r="C19220" t="inlineStr">
        <is>
          <t>1450/08/10</t>
        </is>
      </c>
    </row>
    <row r="19221">
      <c r="A19221" t="n">
        <v>14500811</v>
      </c>
      <c r="B19221" t="n">
        <v>62764</v>
      </c>
      <c r="C19221" t="inlineStr">
        <is>
          <t>1450/08/11</t>
        </is>
      </c>
    </row>
    <row r="19222">
      <c r="A19222" t="n">
        <v>14500812</v>
      </c>
      <c r="B19222" t="n">
        <v>62765</v>
      </c>
      <c r="C19222" t="inlineStr">
        <is>
          <t>1450/08/12</t>
        </is>
      </c>
    </row>
    <row r="19223">
      <c r="A19223" t="n">
        <v>14500813</v>
      </c>
      <c r="B19223" t="n">
        <v>62766</v>
      </c>
      <c r="C19223" t="inlineStr">
        <is>
          <t>1450/08/13</t>
        </is>
      </c>
    </row>
    <row r="19224">
      <c r="A19224" t="n">
        <v>14500814</v>
      </c>
      <c r="B19224" t="n">
        <v>62767</v>
      </c>
      <c r="C19224" t="inlineStr">
        <is>
          <t>1450/08/14</t>
        </is>
      </c>
    </row>
    <row r="19225">
      <c r="A19225" t="n">
        <v>14500815</v>
      </c>
      <c r="B19225" t="n">
        <v>62768</v>
      </c>
      <c r="C19225" t="inlineStr">
        <is>
          <t>1450/08/15</t>
        </is>
      </c>
    </row>
    <row r="19226">
      <c r="A19226" t="n">
        <v>14500816</v>
      </c>
      <c r="B19226" t="n">
        <v>62769</v>
      </c>
      <c r="C19226" t="inlineStr">
        <is>
          <t>1450/08/16</t>
        </is>
      </c>
    </row>
    <row r="19227">
      <c r="A19227" t="n">
        <v>14500817</v>
      </c>
      <c r="B19227" t="n">
        <v>62770</v>
      </c>
      <c r="C19227" t="inlineStr">
        <is>
          <t>1450/08/17</t>
        </is>
      </c>
    </row>
    <row r="19228">
      <c r="A19228" t="n">
        <v>14500818</v>
      </c>
      <c r="B19228" t="n">
        <v>62771</v>
      </c>
      <c r="C19228" t="inlineStr">
        <is>
          <t>1450/08/18</t>
        </is>
      </c>
    </row>
    <row r="19229">
      <c r="A19229" t="n">
        <v>14500819</v>
      </c>
      <c r="B19229" t="n">
        <v>62772</v>
      </c>
      <c r="C19229" t="inlineStr">
        <is>
          <t>1450/08/19</t>
        </is>
      </c>
    </row>
    <row r="19230">
      <c r="A19230" t="n">
        <v>14500820</v>
      </c>
      <c r="B19230" t="n">
        <v>62773</v>
      </c>
      <c r="C19230" t="inlineStr">
        <is>
          <t>1450/08/20</t>
        </is>
      </c>
    </row>
    <row r="19231">
      <c r="A19231" t="n">
        <v>14500821</v>
      </c>
      <c r="B19231" t="n">
        <v>62774</v>
      </c>
      <c r="C19231" t="inlineStr">
        <is>
          <t>1450/08/21</t>
        </is>
      </c>
    </row>
    <row r="19232">
      <c r="A19232" t="n">
        <v>14500822</v>
      </c>
      <c r="B19232" t="n">
        <v>62775</v>
      </c>
      <c r="C19232" t="inlineStr">
        <is>
          <t>1450/08/22</t>
        </is>
      </c>
    </row>
    <row r="19233">
      <c r="A19233" t="n">
        <v>14500823</v>
      </c>
      <c r="B19233" t="n">
        <v>62776</v>
      </c>
      <c r="C19233" t="inlineStr">
        <is>
          <t>1450/08/23</t>
        </is>
      </c>
    </row>
    <row r="19234">
      <c r="A19234" t="n">
        <v>14500824</v>
      </c>
      <c r="B19234" t="n">
        <v>62777</v>
      </c>
      <c r="C19234" t="inlineStr">
        <is>
          <t>1450/08/24</t>
        </is>
      </c>
    </row>
    <row r="19235">
      <c r="A19235" t="n">
        <v>14500825</v>
      </c>
      <c r="B19235" t="n">
        <v>62778</v>
      </c>
      <c r="C19235" t="inlineStr">
        <is>
          <t>1450/08/25</t>
        </is>
      </c>
    </row>
    <row r="19236">
      <c r="A19236" t="n">
        <v>14500826</v>
      </c>
      <c r="B19236" t="n">
        <v>62779</v>
      </c>
      <c r="C19236" t="inlineStr">
        <is>
          <t>1450/08/26</t>
        </is>
      </c>
    </row>
    <row r="19237">
      <c r="A19237" t="n">
        <v>14500827</v>
      </c>
      <c r="B19237" t="n">
        <v>62780</v>
      </c>
      <c r="C19237" t="inlineStr">
        <is>
          <t>1450/08/27</t>
        </is>
      </c>
    </row>
    <row r="19238">
      <c r="A19238" t="n">
        <v>14500828</v>
      </c>
      <c r="B19238" t="n">
        <v>62781</v>
      </c>
      <c r="C19238" t="inlineStr">
        <is>
          <t>1450/08/28</t>
        </is>
      </c>
    </row>
    <row r="19239">
      <c r="A19239" t="n">
        <v>14500829</v>
      </c>
      <c r="B19239" t="n">
        <v>62782</v>
      </c>
      <c r="C19239" t="inlineStr">
        <is>
          <t>1450/08/29</t>
        </is>
      </c>
    </row>
    <row r="19240">
      <c r="A19240" t="n">
        <v>14500830</v>
      </c>
      <c r="B19240" t="n">
        <v>62783</v>
      </c>
      <c r="C19240" t="inlineStr">
        <is>
          <t>1450/08/30</t>
        </is>
      </c>
    </row>
    <row r="19241">
      <c r="A19241" t="n">
        <v>14500901</v>
      </c>
      <c r="B19241" t="n">
        <v>62784</v>
      </c>
      <c r="C19241" t="inlineStr">
        <is>
          <t>1450/09/01</t>
        </is>
      </c>
    </row>
    <row r="19242">
      <c r="A19242" t="n">
        <v>14500902</v>
      </c>
      <c r="B19242" t="n">
        <v>62785</v>
      </c>
      <c r="C19242" t="inlineStr">
        <is>
          <t>1450/09/02</t>
        </is>
      </c>
    </row>
    <row r="19243">
      <c r="A19243" t="n">
        <v>14500903</v>
      </c>
      <c r="B19243" t="n">
        <v>62786</v>
      </c>
      <c r="C19243" t="inlineStr">
        <is>
          <t>1450/09/03</t>
        </is>
      </c>
    </row>
    <row r="19244">
      <c r="A19244" t="n">
        <v>14500904</v>
      </c>
      <c r="B19244" t="n">
        <v>62787</v>
      </c>
      <c r="C19244" t="inlineStr">
        <is>
          <t>1450/09/04</t>
        </is>
      </c>
    </row>
    <row r="19245">
      <c r="A19245" t="n">
        <v>14500905</v>
      </c>
      <c r="B19245" t="n">
        <v>62788</v>
      </c>
      <c r="C19245" t="inlineStr">
        <is>
          <t>1450/09/05</t>
        </is>
      </c>
    </row>
    <row r="19246">
      <c r="A19246" t="n">
        <v>14500906</v>
      </c>
      <c r="B19246" t="n">
        <v>62789</v>
      </c>
      <c r="C19246" t="inlineStr">
        <is>
          <t>1450/09/06</t>
        </is>
      </c>
    </row>
    <row r="19247">
      <c r="A19247" t="n">
        <v>14500907</v>
      </c>
      <c r="B19247" t="n">
        <v>62790</v>
      </c>
      <c r="C19247" t="inlineStr">
        <is>
          <t>1450/09/07</t>
        </is>
      </c>
    </row>
    <row r="19248">
      <c r="A19248" t="n">
        <v>14500908</v>
      </c>
      <c r="B19248" t="n">
        <v>62791</v>
      </c>
      <c r="C19248" t="inlineStr">
        <is>
          <t>1450/09/08</t>
        </is>
      </c>
    </row>
    <row r="19249">
      <c r="A19249" t="n">
        <v>14500909</v>
      </c>
      <c r="B19249" t="n">
        <v>62792</v>
      </c>
      <c r="C19249" t="inlineStr">
        <is>
          <t>1450/09/09</t>
        </is>
      </c>
    </row>
    <row r="19250">
      <c r="A19250" t="n">
        <v>14500910</v>
      </c>
      <c r="B19250" t="n">
        <v>62793</v>
      </c>
      <c r="C19250" t="inlineStr">
        <is>
          <t>1450/09/10</t>
        </is>
      </c>
    </row>
    <row r="19251">
      <c r="A19251" t="n">
        <v>14500911</v>
      </c>
      <c r="B19251" t="n">
        <v>62794</v>
      </c>
      <c r="C19251" t="inlineStr">
        <is>
          <t>1450/09/11</t>
        </is>
      </c>
    </row>
    <row r="19252">
      <c r="A19252" t="n">
        <v>14500912</v>
      </c>
      <c r="B19252" t="n">
        <v>62795</v>
      </c>
      <c r="C19252" t="inlineStr">
        <is>
          <t>1450/09/12</t>
        </is>
      </c>
    </row>
    <row r="19253">
      <c r="A19253" t="n">
        <v>14500913</v>
      </c>
      <c r="B19253" t="n">
        <v>62796</v>
      </c>
      <c r="C19253" t="inlineStr">
        <is>
          <t>1450/09/13</t>
        </is>
      </c>
    </row>
    <row r="19254">
      <c r="A19254" t="n">
        <v>14500914</v>
      </c>
      <c r="B19254" t="n">
        <v>62797</v>
      </c>
      <c r="C19254" t="inlineStr">
        <is>
          <t>1450/09/14</t>
        </is>
      </c>
    </row>
    <row r="19255">
      <c r="A19255" t="n">
        <v>14500915</v>
      </c>
      <c r="B19255" t="n">
        <v>62798</v>
      </c>
      <c r="C19255" t="inlineStr">
        <is>
          <t>1450/09/15</t>
        </is>
      </c>
    </row>
    <row r="19256">
      <c r="A19256" t="n">
        <v>14500916</v>
      </c>
      <c r="B19256" t="n">
        <v>62799</v>
      </c>
      <c r="C19256" t="inlineStr">
        <is>
          <t>1450/09/16</t>
        </is>
      </c>
    </row>
    <row r="19257">
      <c r="A19257" t="n">
        <v>14500917</v>
      </c>
      <c r="B19257" t="n">
        <v>62800</v>
      </c>
      <c r="C19257" t="inlineStr">
        <is>
          <t>1450/09/17</t>
        </is>
      </c>
    </row>
    <row r="19258">
      <c r="A19258" t="n">
        <v>14500918</v>
      </c>
      <c r="B19258" t="n">
        <v>62801</v>
      </c>
      <c r="C19258" t="inlineStr">
        <is>
          <t>1450/09/18</t>
        </is>
      </c>
    </row>
    <row r="19259">
      <c r="A19259" t="n">
        <v>14500919</v>
      </c>
      <c r="B19259" t="n">
        <v>62802</v>
      </c>
      <c r="C19259" t="inlineStr">
        <is>
          <t>1450/09/19</t>
        </is>
      </c>
    </row>
    <row r="19260">
      <c r="A19260" t="n">
        <v>14500920</v>
      </c>
      <c r="B19260" t="n">
        <v>62803</v>
      </c>
      <c r="C19260" t="inlineStr">
        <is>
          <t>1450/09/20</t>
        </is>
      </c>
    </row>
    <row r="19261">
      <c r="A19261" t="n">
        <v>14500921</v>
      </c>
      <c r="B19261" t="n">
        <v>62804</v>
      </c>
      <c r="C19261" t="inlineStr">
        <is>
          <t>1450/09/21</t>
        </is>
      </c>
    </row>
    <row r="19262">
      <c r="A19262" t="n">
        <v>14500922</v>
      </c>
      <c r="B19262" t="n">
        <v>62805</v>
      </c>
      <c r="C19262" t="inlineStr">
        <is>
          <t>1450/09/22</t>
        </is>
      </c>
    </row>
    <row r="19263">
      <c r="A19263" t="n">
        <v>14500923</v>
      </c>
      <c r="B19263" t="n">
        <v>62806</v>
      </c>
      <c r="C19263" t="inlineStr">
        <is>
          <t>1450/09/23</t>
        </is>
      </c>
    </row>
    <row r="19264">
      <c r="A19264" t="n">
        <v>14500924</v>
      </c>
      <c r="B19264" t="n">
        <v>62807</v>
      </c>
      <c r="C19264" t="inlineStr">
        <is>
          <t>1450/09/24</t>
        </is>
      </c>
    </row>
    <row r="19265">
      <c r="A19265" t="n">
        <v>14500925</v>
      </c>
      <c r="B19265" t="n">
        <v>62808</v>
      </c>
      <c r="C19265" t="inlineStr">
        <is>
          <t>1450/09/25</t>
        </is>
      </c>
    </row>
    <row r="19266">
      <c r="A19266" t="n">
        <v>14500926</v>
      </c>
      <c r="B19266" t="n">
        <v>62809</v>
      </c>
      <c r="C19266" t="inlineStr">
        <is>
          <t>1450/09/26</t>
        </is>
      </c>
    </row>
    <row r="19267">
      <c r="A19267" t="n">
        <v>14500927</v>
      </c>
      <c r="B19267" t="n">
        <v>62810</v>
      </c>
      <c r="C19267" t="inlineStr">
        <is>
          <t>1450/09/27</t>
        </is>
      </c>
    </row>
    <row r="19268">
      <c r="A19268" t="n">
        <v>14500928</v>
      </c>
      <c r="B19268" t="n">
        <v>62811</v>
      </c>
      <c r="C19268" t="inlineStr">
        <is>
          <t>1450/09/28</t>
        </is>
      </c>
    </row>
    <row r="19269">
      <c r="A19269" t="n">
        <v>14500929</v>
      </c>
      <c r="B19269" t="n">
        <v>62812</v>
      </c>
      <c r="C19269" t="inlineStr">
        <is>
          <t>1450/09/29</t>
        </is>
      </c>
    </row>
    <row r="19270">
      <c r="A19270" t="n">
        <v>14500930</v>
      </c>
      <c r="B19270" t="n">
        <v>62813</v>
      </c>
      <c r="C19270" t="inlineStr">
        <is>
          <t>1450/09/30</t>
        </is>
      </c>
    </row>
    <row r="19271">
      <c r="A19271" t="n">
        <v>14501001</v>
      </c>
      <c r="B19271" t="n">
        <v>62814</v>
      </c>
      <c r="C19271" t="inlineStr">
        <is>
          <t>1450/10/01</t>
        </is>
      </c>
    </row>
    <row r="19272">
      <c r="A19272" t="n">
        <v>14501002</v>
      </c>
      <c r="B19272" t="n">
        <v>62815</v>
      </c>
      <c r="C19272" t="inlineStr">
        <is>
          <t>1450/10/02</t>
        </is>
      </c>
    </row>
    <row r="19273">
      <c r="A19273" t="n">
        <v>14501003</v>
      </c>
      <c r="B19273" t="n">
        <v>62816</v>
      </c>
      <c r="C19273" t="inlineStr">
        <is>
          <t>1450/10/03</t>
        </is>
      </c>
    </row>
    <row r="19274">
      <c r="A19274" t="n">
        <v>14501004</v>
      </c>
      <c r="B19274" t="n">
        <v>62817</v>
      </c>
      <c r="C19274" t="inlineStr">
        <is>
          <t>1450/10/04</t>
        </is>
      </c>
    </row>
    <row r="19275">
      <c r="A19275" t="n">
        <v>14501005</v>
      </c>
      <c r="B19275" t="n">
        <v>62818</v>
      </c>
      <c r="C19275" t="inlineStr">
        <is>
          <t>1450/10/05</t>
        </is>
      </c>
    </row>
    <row r="19276">
      <c r="A19276" t="n">
        <v>14501006</v>
      </c>
      <c r="B19276" t="n">
        <v>62819</v>
      </c>
      <c r="C19276" t="inlineStr">
        <is>
          <t>1450/10/06</t>
        </is>
      </c>
    </row>
    <row r="19277">
      <c r="A19277" t="n">
        <v>14501007</v>
      </c>
      <c r="B19277" t="n">
        <v>62820</v>
      </c>
      <c r="C19277" t="inlineStr">
        <is>
          <t>1450/10/07</t>
        </is>
      </c>
    </row>
    <row r="19278">
      <c r="A19278" t="n">
        <v>14501008</v>
      </c>
      <c r="B19278" t="n">
        <v>62821</v>
      </c>
      <c r="C19278" t="inlineStr">
        <is>
          <t>1450/10/08</t>
        </is>
      </c>
    </row>
    <row r="19279">
      <c r="A19279" t="n">
        <v>14501009</v>
      </c>
      <c r="B19279" t="n">
        <v>62822</v>
      </c>
      <c r="C19279" t="inlineStr">
        <is>
          <t>1450/10/09</t>
        </is>
      </c>
    </row>
    <row r="19280">
      <c r="A19280" t="n">
        <v>14501010</v>
      </c>
      <c r="B19280" t="n">
        <v>62823</v>
      </c>
      <c r="C19280" t="inlineStr">
        <is>
          <t>1450/10/10</t>
        </is>
      </c>
    </row>
    <row r="19281">
      <c r="A19281" t="n">
        <v>14501011</v>
      </c>
      <c r="B19281" t="n">
        <v>62824</v>
      </c>
      <c r="C19281" t="inlineStr">
        <is>
          <t>1450/10/11</t>
        </is>
      </c>
    </row>
    <row r="19282">
      <c r="A19282" t="n">
        <v>14501012</v>
      </c>
      <c r="B19282" t="n">
        <v>62825</v>
      </c>
      <c r="C19282" t="inlineStr">
        <is>
          <t>1450/10/12</t>
        </is>
      </c>
    </row>
    <row r="19283">
      <c r="A19283" t="n">
        <v>14501013</v>
      </c>
      <c r="B19283" t="n">
        <v>62826</v>
      </c>
      <c r="C19283" t="inlineStr">
        <is>
          <t>1450/10/13</t>
        </is>
      </c>
    </row>
    <row r="19284">
      <c r="A19284" t="n">
        <v>14501014</v>
      </c>
      <c r="B19284" t="n">
        <v>62827</v>
      </c>
      <c r="C19284" t="inlineStr">
        <is>
          <t>1450/10/14</t>
        </is>
      </c>
    </row>
    <row r="19285">
      <c r="A19285" t="n">
        <v>14501015</v>
      </c>
      <c r="B19285" t="n">
        <v>62828</v>
      </c>
      <c r="C19285" t="inlineStr">
        <is>
          <t>1450/10/15</t>
        </is>
      </c>
    </row>
    <row r="19286">
      <c r="A19286" t="n">
        <v>14501016</v>
      </c>
      <c r="B19286" t="n">
        <v>62829</v>
      </c>
      <c r="C19286" t="inlineStr">
        <is>
          <t>1450/10/16</t>
        </is>
      </c>
    </row>
    <row r="19287">
      <c r="A19287" t="n">
        <v>14501017</v>
      </c>
      <c r="B19287" t="n">
        <v>62830</v>
      </c>
      <c r="C19287" t="inlineStr">
        <is>
          <t>1450/10/17</t>
        </is>
      </c>
    </row>
    <row r="19288">
      <c r="A19288" t="n">
        <v>14501018</v>
      </c>
      <c r="B19288" t="n">
        <v>62831</v>
      </c>
      <c r="C19288" t="inlineStr">
        <is>
          <t>1450/10/18</t>
        </is>
      </c>
    </row>
    <row r="19289">
      <c r="A19289" t="n">
        <v>14501019</v>
      </c>
      <c r="B19289" t="n">
        <v>62832</v>
      </c>
      <c r="C19289" t="inlineStr">
        <is>
          <t>1450/10/19</t>
        </is>
      </c>
    </row>
    <row r="19290">
      <c r="A19290" t="n">
        <v>14501020</v>
      </c>
      <c r="B19290" t="n">
        <v>62833</v>
      </c>
      <c r="C19290" t="inlineStr">
        <is>
          <t>1450/10/20</t>
        </is>
      </c>
    </row>
    <row r="19291">
      <c r="A19291" t="n">
        <v>14501021</v>
      </c>
      <c r="B19291" t="n">
        <v>62834</v>
      </c>
      <c r="C19291" t="inlineStr">
        <is>
          <t>1450/10/21</t>
        </is>
      </c>
    </row>
    <row r="19292">
      <c r="A19292" t="n">
        <v>14501022</v>
      </c>
      <c r="B19292" t="n">
        <v>62835</v>
      </c>
      <c r="C19292" t="inlineStr">
        <is>
          <t>1450/10/22</t>
        </is>
      </c>
    </row>
    <row r="19293">
      <c r="A19293" t="n">
        <v>14501023</v>
      </c>
      <c r="B19293" t="n">
        <v>62836</v>
      </c>
      <c r="C19293" t="inlineStr">
        <is>
          <t>1450/10/23</t>
        </is>
      </c>
    </row>
    <row r="19294">
      <c r="A19294" t="n">
        <v>14501024</v>
      </c>
      <c r="B19294" t="n">
        <v>62837</v>
      </c>
      <c r="C19294" t="inlineStr">
        <is>
          <t>1450/10/24</t>
        </is>
      </c>
    </row>
    <row r="19295">
      <c r="A19295" t="n">
        <v>14501025</v>
      </c>
      <c r="B19295" t="n">
        <v>62838</v>
      </c>
      <c r="C19295" t="inlineStr">
        <is>
          <t>1450/10/25</t>
        </is>
      </c>
    </row>
    <row r="19296">
      <c r="A19296" t="n">
        <v>14501026</v>
      </c>
      <c r="B19296" t="n">
        <v>62839</v>
      </c>
      <c r="C19296" t="inlineStr">
        <is>
          <t>1450/10/26</t>
        </is>
      </c>
    </row>
    <row r="19297">
      <c r="A19297" t="n">
        <v>14501027</v>
      </c>
      <c r="B19297" t="n">
        <v>62840</v>
      </c>
      <c r="C19297" t="inlineStr">
        <is>
          <t>1450/10/27</t>
        </is>
      </c>
    </row>
    <row r="19298">
      <c r="A19298" t="n">
        <v>14501028</v>
      </c>
      <c r="B19298" t="n">
        <v>62841</v>
      </c>
      <c r="C19298" t="inlineStr">
        <is>
          <t>1450/10/28</t>
        </is>
      </c>
    </row>
    <row r="19299">
      <c r="A19299" t="n">
        <v>14501029</v>
      </c>
      <c r="B19299" t="n">
        <v>62842</v>
      </c>
      <c r="C19299" t="inlineStr">
        <is>
          <t>1450/10/29</t>
        </is>
      </c>
    </row>
    <row r="19300">
      <c r="A19300" t="n">
        <v>14501030</v>
      </c>
      <c r="B19300" t="n">
        <v>62843</v>
      </c>
      <c r="C19300" t="inlineStr">
        <is>
          <t>1450/10/30</t>
        </is>
      </c>
    </row>
    <row r="19301">
      <c r="A19301" t="n">
        <v>14501101</v>
      </c>
      <c r="B19301" t="n">
        <v>62844</v>
      </c>
      <c r="C19301" t="inlineStr">
        <is>
          <t>1450/11/01</t>
        </is>
      </c>
    </row>
    <row r="19302">
      <c r="A19302" t="n">
        <v>14501102</v>
      </c>
      <c r="B19302" t="n">
        <v>62845</v>
      </c>
      <c r="C19302" t="inlineStr">
        <is>
          <t>1450/11/02</t>
        </is>
      </c>
    </row>
    <row r="19303">
      <c r="A19303" t="n">
        <v>14501103</v>
      </c>
      <c r="B19303" t="n">
        <v>62846</v>
      </c>
      <c r="C19303" t="inlineStr">
        <is>
          <t>1450/11/03</t>
        </is>
      </c>
    </row>
    <row r="19304">
      <c r="A19304" t="n">
        <v>14501104</v>
      </c>
      <c r="B19304" t="n">
        <v>62847</v>
      </c>
      <c r="C19304" t="inlineStr">
        <is>
          <t>1450/11/04</t>
        </is>
      </c>
    </row>
    <row r="19305">
      <c r="A19305" t="n">
        <v>14501105</v>
      </c>
      <c r="B19305" t="n">
        <v>62848</v>
      </c>
      <c r="C19305" t="inlineStr">
        <is>
          <t>1450/11/05</t>
        </is>
      </c>
    </row>
    <row r="19306">
      <c r="A19306" t="n">
        <v>14501106</v>
      </c>
      <c r="B19306" t="n">
        <v>62849</v>
      </c>
      <c r="C19306" t="inlineStr">
        <is>
          <t>1450/11/06</t>
        </is>
      </c>
    </row>
    <row r="19307">
      <c r="A19307" t="n">
        <v>14501107</v>
      </c>
      <c r="B19307" t="n">
        <v>62850</v>
      </c>
      <c r="C19307" t="inlineStr">
        <is>
          <t>1450/11/07</t>
        </is>
      </c>
    </row>
    <row r="19308">
      <c r="A19308" t="n">
        <v>14501108</v>
      </c>
      <c r="B19308" t="n">
        <v>62851</v>
      </c>
      <c r="C19308" t="inlineStr">
        <is>
          <t>1450/11/08</t>
        </is>
      </c>
    </row>
    <row r="19309">
      <c r="A19309" t="n">
        <v>14501109</v>
      </c>
      <c r="B19309" t="n">
        <v>62852</v>
      </c>
      <c r="C19309" t="inlineStr">
        <is>
          <t>1450/11/09</t>
        </is>
      </c>
    </row>
    <row r="19310">
      <c r="A19310" t="n">
        <v>14501110</v>
      </c>
      <c r="B19310" t="n">
        <v>62853</v>
      </c>
      <c r="C19310" t="inlineStr">
        <is>
          <t>1450/11/10</t>
        </is>
      </c>
    </row>
    <row r="19311">
      <c r="A19311" t="n">
        <v>14501111</v>
      </c>
      <c r="B19311" t="n">
        <v>62854</v>
      </c>
      <c r="C19311" t="inlineStr">
        <is>
          <t>1450/11/11</t>
        </is>
      </c>
    </row>
    <row r="19312">
      <c r="A19312" t="n">
        <v>14501112</v>
      </c>
      <c r="B19312" t="n">
        <v>62855</v>
      </c>
      <c r="C19312" t="inlineStr">
        <is>
          <t>1450/11/12</t>
        </is>
      </c>
    </row>
    <row r="19313">
      <c r="A19313" t="n">
        <v>14501113</v>
      </c>
      <c r="B19313" t="n">
        <v>62856</v>
      </c>
      <c r="C19313" t="inlineStr">
        <is>
          <t>1450/11/13</t>
        </is>
      </c>
    </row>
    <row r="19314">
      <c r="A19314" t="n">
        <v>14501114</v>
      </c>
      <c r="B19314" t="n">
        <v>62857</v>
      </c>
      <c r="C19314" t="inlineStr">
        <is>
          <t>1450/11/14</t>
        </is>
      </c>
    </row>
    <row r="19315">
      <c r="A19315" t="n">
        <v>14501115</v>
      </c>
      <c r="B19315" t="n">
        <v>62858</v>
      </c>
      <c r="C19315" t="inlineStr">
        <is>
          <t>1450/11/15</t>
        </is>
      </c>
    </row>
    <row r="19316">
      <c r="A19316" t="n">
        <v>14501116</v>
      </c>
      <c r="B19316" t="n">
        <v>62859</v>
      </c>
      <c r="C19316" t="inlineStr">
        <is>
          <t>1450/11/16</t>
        </is>
      </c>
    </row>
    <row r="19317">
      <c r="A19317" t="n">
        <v>14501117</v>
      </c>
      <c r="B19317" t="n">
        <v>62860</v>
      </c>
      <c r="C19317" t="inlineStr">
        <is>
          <t>1450/11/17</t>
        </is>
      </c>
    </row>
    <row r="19318">
      <c r="A19318" t="n">
        <v>14501118</v>
      </c>
      <c r="B19318" t="n">
        <v>62861</v>
      </c>
      <c r="C19318" t="inlineStr">
        <is>
          <t>1450/11/18</t>
        </is>
      </c>
    </row>
    <row r="19319">
      <c r="A19319" t="n">
        <v>14501119</v>
      </c>
      <c r="B19319" t="n">
        <v>62862</v>
      </c>
      <c r="C19319" t="inlineStr">
        <is>
          <t>1450/11/19</t>
        </is>
      </c>
    </row>
    <row r="19320">
      <c r="A19320" t="n">
        <v>14501120</v>
      </c>
      <c r="B19320" t="n">
        <v>62863</v>
      </c>
      <c r="C19320" t="inlineStr">
        <is>
          <t>1450/11/20</t>
        </is>
      </c>
    </row>
    <row r="19321">
      <c r="A19321" t="n">
        <v>14501121</v>
      </c>
      <c r="B19321" t="n">
        <v>62864</v>
      </c>
      <c r="C19321" t="inlineStr">
        <is>
          <t>1450/11/21</t>
        </is>
      </c>
    </row>
    <row r="19322">
      <c r="A19322" t="n">
        <v>14501122</v>
      </c>
      <c r="B19322" t="n">
        <v>62865</v>
      </c>
      <c r="C19322" t="inlineStr">
        <is>
          <t>1450/11/22</t>
        </is>
      </c>
    </row>
    <row r="19323">
      <c r="A19323" t="n">
        <v>14501123</v>
      </c>
      <c r="B19323" t="n">
        <v>62866</v>
      </c>
      <c r="C19323" t="inlineStr">
        <is>
          <t>1450/11/23</t>
        </is>
      </c>
    </row>
    <row r="19324">
      <c r="A19324" t="n">
        <v>14501124</v>
      </c>
      <c r="B19324" t="n">
        <v>62867</v>
      </c>
      <c r="C19324" t="inlineStr">
        <is>
          <t>1450/11/24</t>
        </is>
      </c>
    </row>
    <row r="19325">
      <c r="A19325" t="n">
        <v>14501125</v>
      </c>
      <c r="B19325" t="n">
        <v>62868</v>
      </c>
      <c r="C19325" t="inlineStr">
        <is>
          <t>1450/11/25</t>
        </is>
      </c>
    </row>
    <row r="19326">
      <c r="A19326" t="n">
        <v>14501126</v>
      </c>
      <c r="B19326" t="n">
        <v>62869</v>
      </c>
      <c r="C19326" t="inlineStr">
        <is>
          <t>1450/11/26</t>
        </is>
      </c>
    </row>
    <row r="19327">
      <c r="A19327" t="n">
        <v>14501127</v>
      </c>
      <c r="B19327" t="n">
        <v>62870</v>
      </c>
      <c r="C19327" t="inlineStr">
        <is>
          <t>1450/11/27</t>
        </is>
      </c>
    </row>
    <row r="19328">
      <c r="A19328" t="n">
        <v>14501128</v>
      </c>
      <c r="B19328" t="n">
        <v>62871</v>
      </c>
      <c r="C19328" t="inlineStr">
        <is>
          <t>1450/11/28</t>
        </is>
      </c>
    </row>
    <row r="19329">
      <c r="A19329" t="n">
        <v>14501129</v>
      </c>
      <c r="B19329" t="n">
        <v>62872</v>
      </c>
      <c r="C19329" t="inlineStr">
        <is>
          <t>1450/11/29</t>
        </is>
      </c>
    </row>
    <row r="19330">
      <c r="A19330" t="n">
        <v>14501130</v>
      </c>
      <c r="B19330" t="n">
        <v>62873</v>
      </c>
      <c r="C19330" t="inlineStr">
        <is>
          <t>1450/11/30</t>
        </is>
      </c>
    </row>
    <row r="19331">
      <c r="A19331" t="n">
        <v>14501201</v>
      </c>
      <c r="B19331" t="n">
        <v>62874</v>
      </c>
      <c r="C19331" t="inlineStr">
        <is>
          <t>1450/12/01</t>
        </is>
      </c>
    </row>
    <row r="19332">
      <c r="A19332" t="n">
        <v>14501202</v>
      </c>
      <c r="B19332" t="n">
        <v>62875</v>
      </c>
      <c r="C19332" t="inlineStr">
        <is>
          <t>1450/12/02</t>
        </is>
      </c>
    </row>
    <row r="19333">
      <c r="A19333" t="n">
        <v>14501203</v>
      </c>
      <c r="B19333" t="n">
        <v>62876</v>
      </c>
      <c r="C19333" t="inlineStr">
        <is>
          <t>1450/12/03</t>
        </is>
      </c>
    </row>
    <row r="19334">
      <c r="A19334" t="n">
        <v>14501204</v>
      </c>
      <c r="B19334" t="n">
        <v>62877</v>
      </c>
      <c r="C19334" t="inlineStr">
        <is>
          <t>1450/12/04</t>
        </is>
      </c>
    </row>
    <row r="19335">
      <c r="A19335" t="n">
        <v>14501205</v>
      </c>
      <c r="B19335" t="n">
        <v>62878</v>
      </c>
      <c r="C19335" t="inlineStr">
        <is>
          <t>1450/12/05</t>
        </is>
      </c>
    </row>
    <row r="19336">
      <c r="A19336" t="n">
        <v>14501206</v>
      </c>
      <c r="B19336" t="n">
        <v>62879</v>
      </c>
      <c r="C19336" t="inlineStr">
        <is>
          <t>1450/12/06</t>
        </is>
      </c>
    </row>
    <row r="19337">
      <c r="A19337" t="n">
        <v>14501207</v>
      </c>
      <c r="B19337" t="n">
        <v>62880</v>
      </c>
      <c r="C19337" t="inlineStr">
        <is>
          <t>1450/12/07</t>
        </is>
      </c>
    </row>
    <row r="19338">
      <c r="A19338" t="n">
        <v>14501208</v>
      </c>
      <c r="B19338" t="n">
        <v>62881</v>
      </c>
      <c r="C19338" t="inlineStr">
        <is>
          <t>1450/12/08</t>
        </is>
      </c>
    </row>
    <row r="19339">
      <c r="A19339" t="n">
        <v>14501209</v>
      </c>
      <c r="B19339" t="n">
        <v>62882</v>
      </c>
      <c r="C19339" t="inlineStr">
        <is>
          <t>1450/12/09</t>
        </is>
      </c>
    </row>
    <row r="19340">
      <c r="A19340" t="n">
        <v>14501210</v>
      </c>
      <c r="B19340" t="n">
        <v>62883</v>
      </c>
      <c r="C19340" t="inlineStr">
        <is>
          <t>1450/12/10</t>
        </is>
      </c>
    </row>
    <row r="19341">
      <c r="A19341" t="n">
        <v>14501211</v>
      </c>
      <c r="B19341" t="n">
        <v>62884</v>
      </c>
      <c r="C19341" t="inlineStr">
        <is>
          <t>1450/12/11</t>
        </is>
      </c>
    </row>
    <row r="19342">
      <c r="A19342" t="n">
        <v>14501212</v>
      </c>
      <c r="B19342" t="n">
        <v>62885</v>
      </c>
      <c r="C19342" t="inlineStr">
        <is>
          <t>1450/12/12</t>
        </is>
      </c>
    </row>
    <row r="19343">
      <c r="A19343" t="n">
        <v>14501213</v>
      </c>
      <c r="B19343" t="n">
        <v>62886</v>
      </c>
      <c r="C19343" t="inlineStr">
        <is>
          <t>1450/12/13</t>
        </is>
      </c>
    </row>
    <row r="19344">
      <c r="A19344" t="n">
        <v>14501214</v>
      </c>
      <c r="B19344" t="n">
        <v>62887</v>
      </c>
      <c r="C19344" t="inlineStr">
        <is>
          <t>1450/12/14</t>
        </is>
      </c>
    </row>
    <row r="19345">
      <c r="A19345" t="n">
        <v>14501215</v>
      </c>
      <c r="B19345" t="n">
        <v>62888</v>
      </c>
      <c r="C19345" t="inlineStr">
        <is>
          <t>1450/12/15</t>
        </is>
      </c>
    </row>
    <row r="19346">
      <c r="A19346" t="n">
        <v>14501216</v>
      </c>
      <c r="B19346" t="n">
        <v>62889</v>
      </c>
      <c r="C19346" t="inlineStr">
        <is>
          <t>1450/12/16</t>
        </is>
      </c>
    </row>
    <row r="19347">
      <c r="A19347" t="n">
        <v>14501217</v>
      </c>
      <c r="B19347" t="n">
        <v>62890</v>
      </c>
      <c r="C19347" t="inlineStr">
        <is>
          <t>1450/12/17</t>
        </is>
      </c>
    </row>
    <row r="19348">
      <c r="A19348" t="n">
        <v>14501218</v>
      </c>
      <c r="B19348" t="n">
        <v>62891</v>
      </c>
      <c r="C19348" t="inlineStr">
        <is>
          <t>1450/12/18</t>
        </is>
      </c>
    </row>
    <row r="19349">
      <c r="A19349" t="n">
        <v>14501219</v>
      </c>
      <c r="B19349" t="n">
        <v>62892</v>
      </c>
      <c r="C19349" t="inlineStr">
        <is>
          <t>1450/12/19</t>
        </is>
      </c>
    </row>
    <row r="19350">
      <c r="A19350" t="n">
        <v>14501220</v>
      </c>
      <c r="B19350" t="n">
        <v>62893</v>
      </c>
      <c r="C19350" t="inlineStr">
        <is>
          <t>1450/12/20</t>
        </is>
      </c>
    </row>
    <row r="19351">
      <c r="A19351" t="n">
        <v>14501221</v>
      </c>
      <c r="B19351" t="n">
        <v>62894</v>
      </c>
      <c r="C19351" t="inlineStr">
        <is>
          <t>1450/12/21</t>
        </is>
      </c>
    </row>
    <row r="19352">
      <c r="A19352" t="n">
        <v>14501222</v>
      </c>
      <c r="B19352" t="n">
        <v>62895</v>
      </c>
      <c r="C19352" t="inlineStr">
        <is>
          <t>1450/12/22</t>
        </is>
      </c>
    </row>
    <row r="19353">
      <c r="A19353" t="n">
        <v>14501223</v>
      </c>
      <c r="B19353" t="n">
        <v>62896</v>
      </c>
      <c r="C19353" t="inlineStr">
        <is>
          <t>1450/12/23</t>
        </is>
      </c>
    </row>
    <row r="19354">
      <c r="A19354" t="n">
        <v>14501224</v>
      </c>
      <c r="B19354" t="n">
        <v>62897</v>
      </c>
      <c r="C19354" t="inlineStr">
        <is>
          <t>1450/12/24</t>
        </is>
      </c>
    </row>
    <row r="19355">
      <c r="A19355" t="n">
        <v>14501225</v>
      </c>
      <c r="B19355" t="n">
        <v>62898</v>
      </c>
      <c r="C19355" t="inlineStr">
        <is>
          <t>1450/12/25</t>
        </is>
      </c>
    </row>
    <row r="19356">
      <c r="A19356" t="n">
        <v>14501226</v>
      </c>
      <c r="B19356" t="n">
        <v>62899</v>
      </c>
      <c r="C19356" t="inlineStr">
        <is>
          <t>1450/12/26</t>
        </is>
      </c>
    </row>
    <row r="19357">
      <c r="A19357" t="n">
        <v>14501227</v>
      </c>
      <c r="B19357" t="n">
        <v>62900</v>
      </c>
      <c r="C19357" t="inlineStr">
        <is>
          <t>1450/12/27</t>
        </is>
      </c>
    </row>
    <row r="19358">
      <c r="A19358" t="n">
        <v>14501228</v>
      </c>
      <c r="B19358" t="n">
        <v>62901</v>
      </c>
      <c r="C19358" t="inlineStr">
        <is>
          <t>1450/12/28</t>
        </is>
      </c>
    </row>
    <row r="19359">
      <c r="A19359" t="n">
        <v>14501229</v>
      </c>
      <c r="B19359" t="n">
        <v>62902</v>
      </c>
      <c r="C19359" t="inlineStr">
        <is>
          <t>1450/12/29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Riha Cafe</dc:creator>
  <dc:title xmlns:dc="http://purl.org/dc/elements/1.1/">سامانه عملیاتی کافه ریحا v4.1</dc:title>
  <dcterms:created xmlns:dcterms="http://purl.org/dc/terms/" xmlns:xsi="http://www.w3.org/2001/XMLSchema-instance" xsi:type="dcterms:W3CDTF">2026-10-25T17:44:23Z</dcterms:created>
  <dcterms:modified xmlns:dcterms="http://purl.org/dc/terms/" xmlns:xsi="http://www.w3.org/2001/XMLSchema-instance" xsi:type="dcterms:W3CDTF">2026-10-25T17:44:24Z</dcterms:modified>
</cp:coreProperties>
</file>